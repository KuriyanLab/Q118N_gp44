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9F7BB9AC-5C14-A84E-A2BC-6800F2C25A56}" xr6:coauthVersionLast="47" xr6:coauthVersionMax="47" xr10:uidLastSave="{00000000-0000-0000-0000-000000000000}"/>
  <bookViews>
    <workbookView xWindow="4900" yWindow="1860" windowWidth="41000" windowHeight="25840" activeTab="2" xr2:uid="{A19DA7FD-7DC9-7345-8931-9A2D0DDE50E1}"/>
  </bookViews>
  <sheets>
    <sheet name="Wt156_167" sheetId="1" r:id="rId1"/>
    <sheet name="D110C156-167" sheetId="2" r:id="rId2"/>
    <sheet name="D110C_repeat" sheetId="4" r:id="rId3"/>
    <sheet name="QD110C_re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R65" i="4" s="1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Q113" i="4" s="1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Q317" i="4" s="1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R451" i="4" s="1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Q737" i="4" s="1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Q811" i="4" s="1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R105" i="4" s="1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Q140" i="4" s="1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Q188" i="4" s="1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Q861" i="4" s="1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2" i="4"/>
  <c r="K3" i="4"/>
  <c r="Q3" i="4" s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Q28" i="4" s="1"/>
  <c r="K29" i="4"/>
  <c r="K30" i="4"/>
  <c r="K31" i="4"/>
  <c r="K32" i="4"/>
  <c r="K33" i="4"/>
  <c r="K34" i="4"/>
  <c r="K35" i="4"/>
  <c r="K36" i="4"/>
  <c r="K37" i="4"/>
  <c r="K38" i="4"/>
  <c r="K39" i="4"/>
  <c r="K40" i="4"/>
  <c r="Q40" i="4" s="1"/>
  <c r="K41" i="4"/>
  <c r="K42" i="4"/>
  <c r="K43" i="4"/>
  <c r="K44" i="4"/>
  <c r="K45" i="4"/>
  <c r="K46" i="4"/>
  <c r="K47" i="4"/>
  <c r="K48" i="4"/>
  <c r="K49" i="4"/>
  <c r="K50" i="4"/>
  <c r="K51" i="4"/>
  <c r="K52" i="4"/>
  <c r="Q52" i="4" s="1"/>
  <c r="K53" i="4"/>
  <c r="K54" i="4"/>
  <c r="K55" i="4"/>
  <c r="K56" i="4"/>
  <c r="K57" i="4"/>
  <c r="K58" i="4"/>
  <c r="K59" i="4"/>
  <c r="K60" i="4"/>
  <c r="K61" i="4"/>
  <c r="K62" i="4"/>
  <c r="K63" i="4"/>
  <c r="K64" i="4"/>
  <c r="Q64" i="4" s="1"/>
  <c r="K65" i="4"/>
  <c r="K66" i="4"/>
  <c r="K67" i="4"/>
  <c r="K68" i="4"/>
  <c r="K69" i="4"/>
  <c r="K70" i="4"/>
  <c r="K71" i="4"/>
  <c r="K72" i="4"/>
  <c r="K73" i="4"/>
  <c r="K74" i="4"/>
  <c r="K75" i="4"/>
  <c r="K76" i="4"/>
  <c r="Q76" i="4" s="1"/>
  <c r="K77" i="4"/>
  <c r="K78" i="4"/>
  <c r="K79" i="4"/>
  <c r="K80" i="4"/>
  <c r="K81" i="4"/>
  <c r="K82" i="4"/>
  <c r="K83" i="4"/>
  <c r="K84" i="4"/>
  <c r="K85" i="4"/>
  <c r="K86" i="4"/>
  <c r="K87" i="4"/>
  <c r="R87" i="4" s="1"/>
  <c r="K88" i="4"/>
  <c r="Q88" i="4" s="1"/>
  <c r="K89" i="4"/>
  <c r="K90" i="4"/>
  <c r="K91" i="4"/>
  <c r="K92" i="4"/>
  <c r="K93" i="4"/>
  <c r="K94" i="4"/>
  <c r="K95" i="4"/>
  <c r="K96" i="4"/>
  <c r="K97" i="4"/>
  <c r="K98" i="4"/>
  <c r="K99" i="4"/>
  <c r="R99" i="4" s="1"/>
  <c r="K100" i="4"/>
  <c r="Q100" i="4" s="1"/>
  <c r="K101" i="4"/>
  <c r="K102" i="4"/>
  <c r="K103" i="4"/>
  <c r="K104" i="4"/>
  <c r="K105" i="4"/>
  <c r="K106" i="4"/>
  <c r="K107" i="4"/>
  <c r="K108" i="4"/>
  <c r="K109" i="4"/>
  <c r="K110" i="4"/>
  <c r="K111" i="4"/>
  <c r="R111" i="4" s="1"/>
  <c r="K112" i="4"/>
  <c r="Q112" i="4" s="1"/>
  <c r="K113" i="4"/>
  <c r="K114" i="4"/>
  <c r="K115" i="4"/>
  <c r="K116" i="4"/>
  <c r="K117" i="4"/>
  <c r="K118" i="4"/>
  <c r="K119" i="4"/>
  <c r="K120" i="4"/>
  <c r="K121" i="4"/>
  <c r="K122" i="4"/>
  <c r="K123" i="4"/>
  <c r="R123" i="4" s="1"/>
  <c r="K124" i="4"/>
  <c r="R124" i="4" s="1"/>
  <c r="K125" i="4"/>
  <c r="K126" i="4"/>
  <c r="K127" i="4"/>
  <c r="K128" i="4"/>
  <c r="K129" i="4"/>
  <c r="K130" i="4"/>
  <c r="K131" i="4"/>
  <c r="K132" i="4"/>
  <c r="K133" i="4"/>
  <c r="K134" i="4"/>
  <c r="K135" i="4"/>
  <c r="R135" i="4" s="1"/>
  <c r="K136" i="4"/>
  <c r="K137" i="4"/>
  <c r="K138" i="4"/>
  <c r="K139" i="4"/>
  <c r="K140" i="4"/>
  <c r="K141" i="4"/>
  <c r="K142" i="4"/>
  <c r="K143" i="4"/>
  <c r="K144" i="4"/>
  <c r="K145" i="4"/>
  <c r="K146" i="4"/>
  <c r="K147" i="4"/>
  <c r="R147" i="4" s="1"/>
  <c r="K148" i="4"/>
  <c r="Q148" i="4" s="1"/>
  <c r="K149" i="4"/>
  <c r="K150" i="4"/>
  <c r="K151" i="4"/>
  <c r="K152" i="4"/>
  <c r="K153" i="4"/>
  <c r="K154" i="4"/>
  <c r="K155" i="4"/>
  <c r="K156" i="4"/>
  <c r="K157" i="4"/>
  <c r="K158" i="4"/>
  <c r="K159" i="4"/>
  <c r="R159" i="4" s="1"/>
  <c r="K160" i="4"/>
  <c r="R160" i="4" s="1"/>
  <c r="K161" i="4"/>
  <c r="K162" i="4"/>
  <c r="K163" i="4"/>
  <c r="K164" i="4"/>
  <c r="K165" i="4"/>
  <c r="K166" i="4"/>
  <c r="K167" i="4"/>
  <c r="K168" i="4"/>
  <c r="K169" i="4"/>
  <c r="K170" i="4"/>
  <c r="K171" i="4"/>
  <c r="R171" i="4" s="1"/>
  <c r="K172" i="4"/>
  <c r="R172" i="4" s="1"/>
  <c r="K173" i="4"/>
  <c r="K174" i="4"/>
  <c r="K175" i="4"/>
  <c r="K176" i="4"/>
  <c r="K177" i="4"/>
  <c r="K178" i="4"/>
  <c r="K179" i="4"/>
  <c r="K180" i="4"/>
  <c r="K181" i="4"/>
  <c r="K182" i="4"/>
  <c r="K183" i="4"/>
  <c r="R183" i="4" s="1"/>
  <c r="K184" i="4"/>
  <c r="K185" i="4"/>
  <c r="K186" i="4"/>
  <c r="K187" i="4"/>
  <c r="K188" i="4"/>
  <c r="K189" i="4"/>
  <c r="K190" i="4"/>
  <c r="K191" i="4"/>
  <c r="K192" i="4"/>
  <c r="K193" i="4"/>
  <c r="K194" i="4"/>
  <c r="K195" i="4"/>
  <c r="R195" i="4" s="1"/>
  <c r="K196" i="4"/>
  <c r="R196" i="4" s="1"/>
  <c r="K197" i="4"/>
  <c r="K198" i="4"/>
  <c r="K199" i="4"/>
  <c r="K200" i="4"/>
  <c r="K201" i="4"/>
  <c r="K202" i="4"/>
  <c r="K203" i="4"/>
  <c r="K204" i="4"/>
  <c r="K205" i="4"/>
  <c r="K206" i="4"/>
  <c r="K207" i="4"/>
  <c r="R207" i="4" s="1"/>
  <c r="K208" i="4"/>
  <c r="K209" i="4"/>
  <c r="K210" i="4"/>
  <c r="K211" i="4"/>
  <c r="K212" i="4"/>
  <c r="K213" i="4"/>
  <c r="K214" i="4"/>
  <c r="K215" i="4"/>
  <c r="K216" i="4"/>
  <c r="K217" i="4"/>
  <c r="K218" i="4"/>
  <c r="K219" i="4"/>
  <c r="R219" i="4" s="1"/>
  <c r="K220" i="4"/>
  <c r="K221" i="4"/>
  <c r="K222" i="4"/>
  <c r="K223" i="4"/>
  <c r="K224" i="4"/>
  <c r="K225" i="4"/>
  <c r="K226" i="4"/>
  <c r="K227" i="4"/>
  <c r="K228" i="4"/>
  <c r="K229" i="4"/>
  <c r="K230" i="4"/>
  <c r="K231" i="4"/>
  <c r="R231" i="4" s="1"/>
  <c r="K232" i="4"/>
  <c r="R232" i="4" s="1"/>
  <c r="K233" i="4"/>
  <c r="K234" i="4"/>
  <c r="K235" i="4"/>
  <c r="K236" i="4"/>
  <c r="K237" i="4"/>
  <c r="K238" i="4"/>
  <c r="K239" i="4"/>
  <c r="K240" i="4"/>
  <c r="K241" i="4"/>
  <c r="K242" i="4"/>
  <c r="K243" i="4"/>
  <c r="R243" i="4" s="1"/>
  <c r="K244" i="4"/>
  <c r="K245" i="4"/>
  <c r="K246" i="4"/>
  <c r="K247" i="4"/>
  <c r="K248" i="4"/>
  <c r="K249" i="4"/>
  <c r="K250" i="4"/>
  <c r="K251" i="4"/>
  <c r="K252" i="4"/>
  <c r="K253" i="4"/>
  <c r="K254" i="4"/>
  <c r="K255" i="4"/>
  <c r="R255" i="4" s="1"/>
  <c r="K256" i="4"/>
  <c r="R256" i="4" s="1"/>
  <c r="K257" i="4"/>
  <c r="K258" i="4"/>
  <c r="K259" i="4"/>
  <c r="K260" i="4"/>
  <c r="K261" i="4"/>
  <c r="K262" i="4"/>
  <c r="K263" i="4"/>
  <c r="K264" i="4"/>
  <c r="K265" i="4"/>
  <c r="K266" i="4"/>
  <c r="K267" i="4"/>
  <c r="R267" i="4" s="1"/>
  <c r="K268" i="4"/>
  <c r="R268" i="4" s="1"/>
  <c r="K269" i="4"/>
  <c r="K270" i="4"/>
  <c r="K271" i="4"/>
  <c r="K272" i="4"/>
  <c r="K273" i="4"/>
  <c r="K274" i="4"/>
  <c r="K275" i="4"/>
  <c r="K276" i="4"/>
  <c r="K277" i="4"/>
  <c r="K278" i="4"/>
  <c r="K279" i="4"/>
  <c r="R279" i="4" s="1"/>
  <c r="K280" i="4"/>
  <c r="K281" i="4"/>
  <c r="K282" i="4"/>
  <c r="K283" i="4"/>
  <c r="K284" i="4"/>
  <c r="K285" i="4"/>
  <c r="K286" i="4"/>
  <c r="K287" i="4"/>
  <c r="K288" i="4"/>
  <c r="K289" i="4"/>
  <c r="K290" i="4"/>
  <c r="K291" i="4"/>
  <c r="R291" i="4" s="1"/>
  <c r="K292" i="4"/>
  <c r="K293" i="4"/>
  <c r="K294" i="4"/>
  <c r="K295" i="4"/>
  <c r="K296" i="4"/>
  <c r="K297" i="4"/>
  <c r="K298" i="4"/>
  <c r="K299" i="4"/>
  <c r="K300" i="4"/>
  <c r="K301" i="4"/>
  <c r="K302" i="4"/>
  <c r="K303" i="4"/>
  <c r="R303" i="4" s="1"/>
  <c r="K304" i="4"/>
  <c r="R304" i="4" s="1"/>
  <c r="K305" i="4"/>
  <c r="K306" i="4"/>
  <c r="K307" i="4"/>
  <c r="K308" i="4"/>
  <c r="K309" i="4"/>
  <c r="K310" i="4"/>
  <c r="K311" i="4"/>
  <c r="K312" i="4"/>
  <c r="K313" i="4"/>
  <c r="K314" i="4"/>
  <c r="K315" i="4"/>
  <c r="R315" i="4" s="1"/>
  <c r="K316" i="4"/>
  <c r="Q316" i="4" s="1"/>
  <c r="K317" i="4"/>
  <c r="K318" i="4"/>
  <c r="K319" i="4"/>
  <c r="K320" i="4"/>
  <c r="K321" i="4"/>
  <c r="K322" i="4"/>
  <c r="K323" i="4"/>
  <c r="K324" i="4"/>
  <c r="K325" i="4"/>
  <c r="K326" i="4"/>
  <c r="K327" i="4"/>
  <c r="R327" i="4" s="1"/>
  <c r="K328" i="4"/>
  <c r="R328" i="4" s="1"/>
  <c r="K329" i="4"/>
  <c r="K330" i="4"/>
  <c r="K331" i="4"/>
  <c r="K332" i="4"/>
  <c r="K333" i="4"/>
  <c r="K334" i="4"/>
  <c r="K335" i="4"/>
  <c r="K336" i="4"/>
  <c r="K337" i="4"/>
  <c r="K338" i="4"/>
  <c r="K339" i="4"/>
  <c r="R339" i="4" s="1"/>
  <c r="K340" i="4"/>
  <c r="R340" i="4" s="1"/>
  <c r="K341" i="4"/>
  <c r="K342" i="4"/>
  <c r="K343" i="4"/>
  <c r="K344" i="4"/>
  <c r="K345" i="4"/>
  <c r="K346" i="4"/>
  <c r="K347" i="4"/>
  <c r="K348" i="4"/>
  <c r="K349" i="4"/>
  <c r="K350" i="4"/>
  <c r="K351" i="4"/>
  <c r="R351" i="4" s="1"/>
  <c r="K352" i="4"/>
  <c r="Q352" i="4" s="1"/>
  <c r="K353" i="4"/>
  <c r="K354" i="4"/>
  <c r="K355" i="4"/>
  <c r="K356" i="4"/>
  <c r="K357" i="4"/>
  <c r="K358" i="4"/>
  <c r="K359" i="4"/>
  <c r="K360" i="4"/>
  <c r="K361" i="4"/>
  <c r="K362" i="4"/>
  <c r="K363" i="4"/>
  <c r="R363" i="4" s="1"/>
  <c r="K364" i="4"/>
  <c r="R364" i="4" s="1"/>
  <c r="K365" i="4"/>
  <c r="K366" i="4"/>
  <c r="K367" i="4"/>
  <c r="K368" i="4"/>
  <c r="K369" i="4"/>
  <c r="K370" i="4"/>
  <c r="K371" i="4"/>
  <c r="K372" i="4"/>
  <c r="K373" i="4"/>
  <c r="K374" i="4"/>
  <c r="K375" i="4"/>
  <c r="R375" i="4" s="1"/>
  <c r="K376" i="4"/>
  <c r="R376" i="4" s="1"/>
  <c r="K377" i="4"/>
  <c r="K378" i="4"/>
  <c r="K379" i="4"/>
  <c r="K380" i="4"/>
  <c r="K381" i="4"/>
  <c r="K382" i="4"/>
  <c r="K383" i="4"/>
  <c r="K384" i="4"/>
  <c r="K385" i="4"/>
  <c r="K386" i="4"/>
  <c r="K387" i="4"/>
  <c r="R387" i="4" s="1"/>
  <c r="K388" i="4"/>
  <c r="R388" i="4" s="1"/>
  <c r="K389" i="4"/>
  <c r="K390" i="4"/>
  <c r="K391" i="4"/>
  <c r="K392" i="4"/>
  <c r="K393" i="4"/>
  <c r="K394" i="4"/>
  <c r="K395" i="4"/>
  <c r="K396" i="4"/>
  <c r="K397" i="4"/>
  <c r="K398" i="4"/>
  <c r="K399" i="4"/>
  <c r="R399" i="4" s="1"/>
  <c r="K400" i="4"/>
  <c r="K401" i="4"/>
  <c r="K402" i="4"/>
  <c r="K403" i="4"/>
  <c r="K404" i="4"/>
  <c r="K405" i="4"/>
  <c r="K406" i="4"/>
  <c r="K407" i="4"/>
  <c r="K408" i="4"/>
  <c r="K409" i="4"/>
  <c r="K410" i="4"/>
  <c r="K411" i="4"/>
  <c r="R411" i="4" s="1"/>
  <c r="K412" i="4"/>
  <c r="R412" i="4" s="1"/>
  <c r="K413" i="4"/>
  <c r="K414" i="4"/>
  <c r="K415" i="4"/>
  <c r="K416" i="4"/>
  <c r="K417" i="4"/>
  <c r="K418" i="4"/>
  <c r="K419" i="4"/>
  <c r="K420" i="4"/>
  <c r="K421" i="4"/>
  <c r="K422" i="4"/>
  <c r="K423" i="4"/>
  <c r="K424" i="4"/>
  <c r="Q424" i="4" s="1"/>
  <c r="K425" i="4"/>
  <c r="K426" i="4"/>
  <c r="K427" i="4"/>
  <c r="K428" i="4"/>
  <c r="K429" i="4"/>
  <c r="K430" i="4"/>
  <c r="K431" i="4"/>
  <c r="K432" i="4"/>
  <c r="K433" i="4"/>
  <c r="K434" i="4"/>
  <c r="K435" i="4"/>
  <c r="R435" i="4" s="1"/>
  <c r="K436" i="4"/>
  <c r="K437" i="4"/>
  <c r="K438" i="4"/>
  <c r="K439" i="4"/>
  <c r="K440" i="4"/>
  <c r="K441" i="4"/>
  <c r="K442" i="4"/>
  <c r="K443" i="4"/>
  <c r="K444" i="4"/>
  <c r="K445" i="4"/>
  <c r="K446" i="4"/>
  <c r="K447" i="4"/>
  <c r="Q447" i="4" s="1"/>
  <c r="K448" i="4"/>
  <c r="R448" i="4" s="1"/>
  <c r="K449" i="4"/>
  <c r="K450" i="4"/>
  <c r="K451" i="4"/>
  <c r="K452" i="4"/>
  <c r="K453" i="4"/>
  <c r="K454" i="4"/>
  <c r="K455" i="4"/>
  <c r="K456" i="4"/>
  <c r="K457" i="4"/>
  <c r="K458" i="4"/>
  <c r="K459" i="4"/>
  <c r="Q459" i="4" s="1"/>
  <c r="K460" i="4"/>
  <c r="K461" i="4"/>
  <c r="K462" i="4"/>
  <c r="K463" i="4"/>
  <c r="K464" i="4"/>
  <c r="K465" i="4"/>
  <c r="K466" i="4"/>
  <c r="K467" i="4"/>
  <c r="K468" i="4"/>
  <c r="K469" i="4"/>
  <c r="K470" i="4"/>
  <c r="K471" i="4"/>
  <c r="Q471" i="4" s="1"/>
  <c r="K472" i="4"/>
  <c r="Q472" i="4" s="1"/>
  <c r="K473" i="4"/>
  <c r="K474" i="4"/>
  <c r="K475" i="4"/>
  <c r="K476" i="4"/>
  <c r="K477" i="4"/>
  <c r="K478" i="4"/>
  <c r="K479" i="4"/>
  <c r="K480" i="4"/>
  <c r="K481" i="4"/>
  <c r="K482" i="4"/>
  <c r="K483" i="4"/>
  <c r="Q483" i="4" s="1"/>
  <c r="K484" i="4"/>
  <c r="R484" i="4" s="1"/>
  <c r="K485" i="4"/>
  <c r="K486" i="4"/>
  <c r="K487" i="4"/>
  <c r="K488" i="4"/>
  <c r="K489" i="4"/>
  <c r="K490" i="4"/>
  <c r="K491" i="4"/>
  <c r="K492" i="4"/>
  <c r="K493" i="4"/>
  <c r="K494" i="4"/>
  <c r="K495" i="4"/>
  <c r="K496" i="4"/>
  <c r="Q496" i="4" s="1"/>
  <c r="K497" i="4"/>
  <c r="K498" i="4"/>
  <c r="K499" i="4"/>
  <c r="K500" i="4"/>
  <c r="K501" i="4"/>
  <c r="K502" i="4"/>
  <c r="K503" i="4"/>
  <c r="K504" i="4"/>
  <c r="K505" i="4"/>
  <c r="K506" i="4"/>
  <c r="K507" i="4"/>
  <c r="Q507" i="4" s="1"/>
  <c r="K508" i="4"/>
  <c r="Q508" i="4" s="1"/>
  <c r="K509" i="4"/>
  <c r="K510" i="4"/>
  <c r="K511" i="4"/>
  <c r="K512" i="4"/>
  <c r="K513" i="4"/>
  <c r="K514" i="4"/>
  <c r="K515" i="4"/>
  <c r="K516" i="4"/>
  <c r="K517" i="4"/>
  <c r="K518" i="4"/>
  <c r="K519" i="4"/>
  <c r="Q519" i="4" s="1"/>
  <c r="K520" i="4"/>
  <c r="R520" i="4" s="1"/>
  <c r="K521" i="4"/>
  <c r="K522" i="4"/>
  <c r="K523" i="4"/>
  <c r="K524" i="4"/>
  <c r="K525" i="4"/>
  <c r="K526" i="4"/>
  <c r="K527" i="4"/>
  <c r="K528" i="4"/>
  <c r="K529" i="4"/>
  <c r="K530" i="4"/>
  <c r="K531" i="4"/>
  <c r="Q531" i="4" s="1"/>
  <c r="K532" i="4"/>
  <c r="Q532" i="4" s="1"/>
  <c r="K533" i="4"/>
  <c r="K534" i="4"/>
  <c r="K535" i="4"/>
  <c r="K536" i="4"/>
  <c r="K537" i="4"/>
  <c r="K538" i="4"/>
  <c r="K539" i="4"/>
  <c r="K540" i="4"/>
  <c r="K541" i="4"/>
  <c r="K542" i="4"/>
  <c r="K543" i="4"/>
  <c r="Q543" i="4" s="1"/>
  <c r="K544" i="4"/>
  <c r="R544" i="4" s="1"/>
  <c r="K545" i="4"/>
  <c r="K546" i="4"/>
  <c r="K547" i="4"/>
  <c r="K548" i="4"/>
  <c r="K549" i="4"/>
  <c r="K550" i="4"/>
  <c r="K551" i="4"/>
  <c r="K552" i="4"/>
  <c r="K553" i="4"/>
  <c r="K554" i="4"/>
  <c r="K555" i="4"/>
  <c r="Q555" i="4" s="1"/>
  <c r="K556" i="4"/>
  <c r="R556" i="4" s="1"/>
  <c r="K557" i="4"/>
  <c r="K558" i="4"/>
  <c r="K559" i="4"/>
  <c r="K560" i="4"/>
  <c r="K561" i="4"/>
  <c r="K562" i="4"/>
  <c r="K563" i="4"/>
  <c r="K564" i="4"/>
  <c r="K565" i="4"/>
  <c r="K566" i="4"/>
  <c r="K567" i="4"/>
  <c r="Q567" i="4" s="1"/>
  <c r="K568" i="4"/>
  <c r="R568" i="4" s="1"/>
  <c r="K569" i="4"/>
  <c r="K570" i="4"/>
  <c r="K571" i="4"/>
  <c r="K572" i="4"/>
  <c r="K573" i="4"/>
  <c r="K574" i="4"/>
  <c r="K575" i="4"/>
  <c r="K576" i="4"/>
  <c r="K577" i="4"/>
  <c r="K578" i="4"/>
  <c r="K579" i="4"/>
  <c r="Q579" i="4" s="1"/>
  <c r="K580" i="4"/>
  <c r="K581" i="4"/>
  <c r="K582" i="4"/>
  <c r="K583" i="4"/>
  <c r="K584" i="4"/>
  <c r="K585" i="4"/>
  <c r="K586" i="4"/>
  <c r="K587" i="4"/>
  <c r="K588" i="4"/>
  <c r="K589" i="4"/>
  <c r="K590" i="4"/>
  <c r="K591" i="4"/>
  <c r="Q591" i="4" s="1"/>
  <c r="K592" i="4"/>
  <c r="R592" i="4" s="1"/>
  <c r="K593" i="4"/>
  <c r="K594" i="4"/>
  <c r="K595" i="4"/>
  <c r="K596" i="4"/>
  <c r="K597" i="4"/>
  <c r="K598" i="4"/>
  <c r="K599" i="4"/>
  <c r="K600" i="4"/>
  <c r="K601" i="4"/>
  <c r="K602" i="4"/>
  <c r="K603" i="4"/>
  <c r="Q603" i="4" s="1"/>
  <c r="K604" i="4"/>
  <c r="Q604" i="4" s="1"/>
  <c r="K605" i="4"/>
  <c r="K606" i="4"/>
  <c r="K607" i="4"/>
  <c r="K608" i="4"/>
  <c r="K609" i="4"/>
  <c r="K610" i="4"/>
  <c r="K611" i="4"/>
  <c r="K612" i="4"/>
  <c r="K613" i="4"/>
  <c r="K614" i="4"/>
  <c r="K615" i="4"/>
  <c r="Q615" i="4" s="1"/>
  <c r="K616" i="4"/>
  <c r="R616" i="4" s="1"/>
  <c r="K617" i="4"/>
  <c r="K618" i="4"/>
  <c r="K619" i="4"/>
  <c r="K620" i="4"/>
  <c r="K621" i="4"/>
  <c r="K622" i="4"/>
  <c r="K623" i="4"/>
  <c r="K624" i="4"/>
  <c r="K625" i="4"/>
  <c r="K626" i="4"/>
  <c r="K627" i="4"/>
  <c r="Q627" i="4" s="1"/>
  <c r="K628" i="4"/>
  <c r="R628" i="4" s="1"/>
  <c r="K629" i="4"/>
  <c r="K630" i="4"/>
  <c r="K631" i="4"/>
  <c r="K632" i="4"/>
  <c r="K633" i="4"/>
  <c r="K634" i="4"/>
  <c r="K635" i="4"/>
  <c r="K636" i="4"/>
  <c r="K637" i="4"/>
  <c r="K638" i="4"/>
  <c r="K639" i="4"/>
  <c r="K640" i="4"/>
  <c r="R640" i="4" s="1"/>
  <c r="K641" i="4"/>
  <c r="K642" i="4"/>
  <c r="K643" i="4"/>
  <c r="K644" i="4"/>
  <c r="K645" i="4"/>
  <c r="K646" i="4"/>
  <c r="K647" i="4"/>
  <c r="K648" i="4"/>
  <c r="K649" i="4"/>
  <c r="K650" i="4"/>
  <c r="K651" i="4"/>
  <c r="Q651" i="4" s="1"/>
  <c r="K652" i="4"/>
  <c r="Q652" i="4" s="1"/>
  <c r="K653" i="4"/>
  <c r="K654" i="4"/>
  <c r="K655" i="4"/>
  <c r="K656" i="4"/>
  <c r="K657" i="4"/>
  <c r="K658" i="4"/>
  <c r="K659" i="4"/>
  <c r="K660" i="4"/>
  <c r="K661" i="4"/>
  <c r="K662" i="4"/>
  <c r="K663" i="4"/>
  <c r="Q663" i="4" s="1"/>
  <c r="K664" i="4"/>
  <c r="R664" i="4" s="1"/>
  <c r="K665" i="4"/>
  <c r="K666" i="4"/>
  <c r="K667" i="4"/>
  <c r="K668" i="4"/>
  <c r="K669" i="4"/>
  <c r="K670" i="4"/>
  <c r="K671" i="4"/>
  <c r="K672" i="4"/>
  <c r="K673" i="4"/>
  <c r="K674" i="4"/>
  <c r="K675" i="4"/>
  <c r="Q675" i="4" s="1"/>
  <c r="K676" i="4"/>
  <c r="R676" i="4" s="1"/>
  <c r="K677" i="4"/>
  <c r="K678" i="4"/>
  <c r="K679" i="4"/>
  <c r="K680" i="4"/>
  <c r="K681" i="4"/>
  <c r="K682" i="4"/>
  <c r="K683" i="4"/>
  <c r="K684" i="4"/>
  <c r="K685" i="4"/>
  <c r="K686" i="4"/>
  <c r="K687" i="4"/>
  <c r="Q687" i="4" s="1"/>
  <c r="K688" i="4"/>
  <c r="K689" i="4"/>
  <c r="K690" i="4"/>
  <c r="K691" i="4"/>
  <c r="K692" i="4"/>
  <c r="K693" i="4"/>
  <c r="K694" i="4"/>
  <c r="K695" i="4"/>
  <c r="K696" i="4"/>
  <c r="K697" i="4"/>
  <c r="K698" i="4"/>
  <c r="K699" i="4"/>
  <c r="Q699" i="4" s="1"/>
  <c r="K700" i="4"/>
  <c r="R700" i="4" s="1"/>
  <c r="K701" i="4"/>
  <c r="K702" i="4"/>
  <c r="K703" i="4"/>
  <c r="K704" i="4"/>
  <c r="K705" i="4"/>
  <c r="K706" i="4"/>
  <c r="K707" i="4"/>
  <c r="K708" i="4"/>
  <c r="K709" i="4"/>
  <c r="K710" i="4"/>
  <c r="K711" i="4"/>
  <c r="Q711" i="4" s="1"/>
  <c r="K712" i="4"/>
  <c r="R712" i="4" s="1"/>
  <c r="K713" i="4"/>
  <c r="K714" i="4"/>
  <c r="K715" i="4"/>
  <c r="K716" i="4"/>
  <c r="K717" i="4"/>
  <c r="K718" i="4"/>
  <c r="K719" i="4"/>
  <c r="K720" i="4"/>
  <c r="K721" i="4"/>
  <c r="K722" i="4"/>
  <c r="K723" i="4"/>
  <c r="Q723" i="4" s="1"/>
  <c r="K724" i="4"/>
  <c r="Q724" i="4" s="1"/>
  <c r="K725" i="4"/>
  <c r="K726" i="4"/>
  <c r="K727" i="4"/>
  <c r="K728" i="4"/>
  <c r="K729" i="4"/>
  <c r="K730" i="4"/>
  <c r="K731" i="4"/>
  <c r="K732" i="4"/>
  <c r="K733" i="4"/>
  <c r="K734" i="4"/>
  <c r="K735" i="4"/>
  <c r="K736" i="4"/>
  <c r="R736" i="4" s="1"/>
  <c r="K737" i="4"/>
  <c r="K738" i="4"/>
  <c r="K739" i="4"/>
  <c r="K740" i="4"/>
  <c r="K741" i="4"/>
  <c r="K742" i="4"/>
  <c r="K743" i="4"/>
  <c r="K744" i="4"/>
  <c r="K745" i="4"/>
  <c r="K746" i="4"/>
  <c r="K747" i="4"/>
  <c r="Q747" i="4" s="1"/>
  <c r="K748" i="4"/>
  <c r="Q748" i="4" s="1"/>
  <c r="K749" i="4"/>
  <c r="K750" i="4"/>
  <c r="K751" i="4"/>
  <c r="K752" i="4"/>
  <c r="K753" i="4"/>
  <c r="K754" i="4"/>
  <c r="K755" i="4"/>
  <c r="K756" i="4"/>
  <c r="K757" i="4"/>
  <c r="K758" i="4"/>
  <c r="K759" i="4"/>
  <c r="Q759" i="4" s="1"/>
  <c r="K760" i="4"/>
  <c r="R760" i="4" s="1"/>
  <c r="K761" i="4"/>
  <c r="K762" i="4"/>
  <c r="K763" i="4"/>
  <c r="K764" i="4"/>
  <c r="K765" i="4"/>
  <c r="K766" i="4"/>
  <c r="K767" i="4"/>
  <c r="K768" i="4"/>
  <c r="K769" i="4"/>
  <c r="K770" i="4"/>
  <c r="K771" i="4"/>
  <c r="Q771" i="4" s="1"/>
  <c r="K772" i="4"/>
  <c r="R772" i="4" s="1"/>
  <c r="K773" i="4"/>
  <c r="K774" i="4"/>
  <c r="K775" i="4"/>
  <c r="K776" i="4"/>
  <c r="K777" i="4"/>
  <c r="K778" i="4"/>
  <c r="K779" i="4"/>
  <c r="K780" i="4"/>
  <c r="K781" i="4"/>
  <c r="K782" i="4"/>
  <c r="K783" i="4"/>
  <c r="Q783" i="4" s="1"/>
  <c r="K784" i="4"/>
  <c r="Q784" i="4" s="1"/>
  <c r="K785" i="4"/>
  <c r="K786" i="4"/>
  <c r="K787" i="4"/>
  <c r="K788" i="4"/>
  <c r="K789" i="4"/>
  <c r="K790" i="4"/>
  <c r="K791" i="4"/>
  <c r="K792" i="4"/>
  <c r="K793" i="4"/>
  <c r="K794" i="4"/>
  <c r="K795" i="4"/>
  <c r="Q795" i="4" s="1"/>
  <c r="K796" i="4"/>
  <c r="K797" i="4"/>
  <c r="K798" i="4"/>
  <c r="K799" i="4"/>
  <c r="K800" i="4"/>
  <c r="K801" i="4"/>
  <c r="K802" i="4"/>
  <c r="K803" i="4"/>
  <c r="K804" i="4"/>
  <c r="K805" i="4"/>
  <c r="K806" i="4"/>
  <c r="K807" i="4"/>
  <c r="Q807" i="4" s="1"/>
  <c r="K808" i="4"/>
  <c r="R808" i="4" s="1"/>
  <c r="K809" i="4"/>
  <c r="K810" i="4"/>
  <c r="K811" i="4"/>
  <c r="K812" i="4"/>
  <c r="K813" i="4"/>
  <c r="K814" i="4"/>
  <c r="K815" i="4"/>
  <c r="K816" i="4"/>
  <c r="K817" i="4"/>
  <c r="K818" i="4"/>
  <c r="K819" i="4"/>
  <c r="K820" i="4"/>
  <c r="R820" i="4" s="1"/>
  <c r="K821" i="4"/>
  <c r="K822" i="4"/>
  <c r="K823" i="4"/>
  <c r="K824" i="4"/>
  <c r="K825" i="4"/>
  <c r="K826" i="4"/>
  <c r="K827" i="4"/>
  <c r="K828" i="4"/>
  <c r="K829" i="4"/>
  <c r="K830" i="4"/>
  <c r="K831" i="4"/>
  <c r="Q831" i="4" s="1"/>
  <c r="K832" i="4"/>
  <c r="R832" i="4" s="1"/>
  <c r="K833" i="4"/>
  <c r="K834" i="4"/>
  <c r="K835" i="4"/>
  <c r="K836" i="4"/>
  <c r="K837" i="4"/>
  <c r="K838" i="4"/>
  <c r="K839" i="4"/>
  <c r="K840" i="4"/>
  <c r="K841" i="4"/>
  <c r="K842" i="4"/>
  <c r="K843" i="4"/>
  <c r="Q843" i="4" s="1"/>
  <c r="K844" i="4"/>
  <c r="R844" i="4" s="1"/>
  <c r="K845" i="4"/>
  <c r="K846" i="4"/>
  <c r="K847" i="4"/>
  <c r="K848" i="4"/>
  <c r="K849" i="4"/>
  <c r="K850" i="4"/>
  <c r="K851" i="4"/>
  <c r="K852" i="4"/>
  <c r="K853" i="4"/>
  <c r="K854" i="4"/>
  <c r="K855" i="4"/>
  <c r="K856" i="4"/>
  <c r="R856" i="4" s="1"/>
  <c r="K857" i="4"/>
  <c r="K858" i="4"/>
  <c r="K859" i="4"/>
  <c r="K860" i="4"/>
  <c r="K861" i="4"/>
  <c r="K862" i="4"/>
  <c r="K863" i="4"/>
  <c r="K864" i="4"/>
  <c r="K865" i="4"/>
  <c r="K866" i="4"/>
  <c r="K867" i="4"/>
  <c r="Q867" i="4" s="1"/>
  <c r="K868" i="4"/>
  <c r="Q868" i="4" s="1"/>
  <c r="K869" i="4"/>
  <c r="K870" i="4"/>
  <c r="K871" i="4"/>
  <c r="K872" i="4"/>
  <c r="K873" i="4"/>
  <c r="K874" i="4"/>
  <c r="K875" i="4"/>
  <c r="K876" i="4"/>
  <c r="K877" i="4"/>
  <c r="K878" i="4"/>
  <c r="K879" i="4"/>
  <c r="Q879" i="4" s="1"/>
  <c r="K880" i="4"/>
  <c r="R880" i="4" s="1"/>
  <c r="K881" i="4"/>
  <c r="K882" i="4"/>
  <c r="K883" i="4"/>
  <c r="K884" i="4"/>
  <c r="K885" i="4"/>
  <c r="K886" i="4"/>
  <c r="K887" i="4"/>
  <c r="K888" i="4"/>
  <c r="K889" i="4"/>
  <c r="K890" i="4"/>
  <c r="K891" i="4"/>
  <c r="K892" i="4"/>
  <c r="R892" i="4" s="1"/>
  <c r="K893" i="4"/>
  <c r="K894" i="4"/>
  <c r="K895" i="4"/>
  <c r="K896" i="4"/>
  <c r="K897" i="4"/>
  <c r="K898" i="4"/>
  <c r="K899" i="4"/>
  <c r="K900" i="4"/>
  <c r="K901" i="4"/>
  <c r="K902" i="4"/>
  <c r="K903" i="4"/>
  <c r="Q903" i="4" s="1"/>
  <c r="K904" i="4"/>
  <c r="K905" i="4"/>
  <c r="K906" i="4"/>
  <c r="K907" i="4"/>
  <c r="K908" i="4"/>
  <c r="K909" i="4"/>
  <c r="K2" i="4"/>
  <c r="R139" i="4"/>
  <c r="R355" i="4"/>
  <c r="Q423" i="4"/>
  <c r="Q435" i="4"/>
  <c r="Q906" i="4" l="1"/>
  <c r="Q882" i="4"/>
  <c r="R738" i="4"/>
  <c r="R860" i="4"/>
  <c r="R176" i="4"/>
  <c r="R113" i="4"/>
  <c r="R292" i="4"/>
  <c r="Q339" i="4"/>
  <c r="Q620" i="4"/>
  <c r="R427" i="4"/>
  <c r="R788" i="4"/>
  <c r="Q411" i="4"/>
  <c r="Q207" i="4"/>
  <c r="Q135" i="4"/>
  <c r="Q123" i="4"/>
  <c r="Q832" i="4"/>
  <c r="Q195" i="4"/>
  <c r="Q905" i="4"/>
  <c r="Q893" i="4"/>
  <c r="R881" i="4"/>
  <c r="R869" i="4"/>
  <c r="Q857" i="4"/>
  <c r="R845" i="4"/>
  <c r="R833" i="4"/>
  <c r="Q821" i="4"/>
  <c r="R809" i="4"/>
  <c r="R797" i="4"/>
  <c r="R785" i="4"/>
  <c r="R773" i="4"/>
  <c r="Q761" i="4"/>
  <c r="Q749" i="4"/>
  <c r="R737" i="4"/>
  <c r="Q713" i="4"/>
  <c r="Q689" i="4"/>
  <c r="R677" i="4"/>
  <c r="Q665" i="4"/>
  <c r="Q653" i="4"/>
  <c r="Q641" i="4"/>
  <c r="Q629" i="4"/>
  <c r="R617" i="4"/>
  <c r="Q605" i="4"/>
  <c r="R593" i="4"/>
  <c r="R569" i="4"/>
  <c r="R557" i="4"/>
  <c r="R533" i="4"/>
  <c r="R509" i="4"/>
  <c r="R497" i="4"/>
  <c r="R473" i="4"/>
  <c r="Q461" i="4"/>
  <c r="R449" i="4"/>
  <c r="R437" i="4"/>
  <c r="R413" i="4"/>
  <c r="Q401" i="4"/>
  <c r="R389" i="4"/>
  <c r="Q377" i="4"/>
  <c r="Q341" i="4"/>
  <c r="Q329" i="4"/>
  <c r="R317" i="4"/>
  <c r="Q293" i="4"/>
  <c r="Q281" i="4"/>
  <c r="R257" i="4"/>
  <c r="R233" i="4"/>
  <c r="Q221" i="4"/>
  <c r="R209" i="4"/>
  <c r="R197" i="4"/>
  <c r="R185" i="4"/>
  <c r="R173" i="4"/>
  <c r="Q161" i="4"/>
  <c r="R149" i="4"/>
  <c r="Q137" i="4"/>
  <c r="Q125" i="4"/>
  <c r="Q101" i="4"/>
  <c r="R77" i="4"/>
  <c r="Q65" i="4"/>
  <c r="Q29" i="4"/>
  <c r="Q17" i="4"/>
  <c r="R896" i="4"/>
  <c r="Q764" i="4"/>
  <c r="Q740" i="4"/>
  <c r="Q32" i="4"/>
  <c r="Q655" i="4"/>
  <c r="R187" i="4"/>
  <c r="Q163" i="4"/>
  <c r="Q43" i="4"/>
  <c r="Q31" i="4"/>
  <c r="Q328" i="4"/>
  <c r="Q327" i="4"/>
  <c r="Q231" i="4"/>
  <c r="Q219" i="4"/>
  <c r="R508" i="4"/>
  <c r="Q763" i="4"/>
  <c r="Q355" i="4"/>
  <c r="R882" i="4"/>
  <c r="Q870" i="4"/>
  <c r="Q738" i="4"/>
  <c r="Q654" i="4"/>
  <c r="Q570" i="4"/>
  <c r="R342" i="4"/>
  <c r="Q294" i="4"/>
  <c r="Q282" i="4"/>
  <c r="R270" i="4"/>
  <c r="Q246" i="4"/>
  <c r="Q198" i="4"/>
  <c r="R186" i="4"/>
  <c r="Q102" i="4"/>
  <c r="R54" i="4"/>
  <c r="Q617" i="4"/>
  <c r="Q891" i="4"/>
  <c r="Q855" i="4"/>
  <c r="Q509" i="4"/>
  <c r="R377" i="4"/>
  <c r="Q399" i="4"/>
  <c r="Q303" i="4"/>
  <c r="R908" i="4"/>
  <c r="Q884" i="4"/>
  <c r="R872" i="4"/>
  <c r="Q860" i="4"/>
  <c r="Q836" i="4"/>
  <c r="R824" i="4"/>
  <c r="Q812" i="4"/>
  <c r="Q788" i="4"/>
  <c r="R740" i="4"/>
  <c r="R704" i="4"/>
  <c r="R668" i="4"/>
  <c r="Q596" i="4"/>
  <c r="Q572" i="4"/>
  <c r="Q536" i="4"/>
  <c r="Q428" i="4"/>
  <c r="Q368" i="4"/>
  <c r="Q344" i="4"/>
  <c r="Q320" i="4"/>
  <c r="Q296" i="4"/>
  <c r="Q236" i="4"/>
  <c r="R224" i="4"/>
  <c r="Q212" i="4"/>
  <c r="Q164" i="4"/>
  <c r="R140" i="4"/>
  <c r="Q128" i="4"/>
  <c r="Q116" i="4"/>
  <c r="Q80" i="4"/>
  <c r="Q68" i="4"/>
  <c r="Q44" i="4"/>
  <c r="Q20" i="4"/>
  <c r="Q99" i="4"/>
  <c r="R43" i="4"/>
  <c r="R665" i="4"/>
  <c r="Q700" i="4"/>
  <c r="R424" i="4"/>
  <c r="R761" i="4"/>
  <c r="Q87" i="4"/>
  <c r="Q569" i="4"/>
  <c r="Q375" i="4"/>
  <c r="Q171" i="4"/>
  <c r="Q166" i="4"/>
  <c r="Q111" i="4"/>
  <c r="Q185" i="4"/>
  <c r="Q497" i="4"/>
  <c r="R341" i="4"/>
  <c r="Q869" i="4"/>
  <c r="Q279" i="4"/>
  <c r="Q77" i="4"/>
  <c r="R293" i="4"/>
  <c r="R40" i="4"/>
  <c r="Q363" i="4"/>
  <c r="Q267" i="4"/>
  <c r="R653" i="4"/>
  <c r="Q255" i="4"/>
  <c r="Q159" i="4"/>
  <c r="R605" i="4"/>
  <c r="R221" i="4"/>
  <c r="Q297" i="4"/>
  <c r="Q165" i="4"/>
  <c r="Q387" i="4"/>
  <c r="R64" i="4"/>
  <c r="Q291" i="4"/>
  <c r="Q449" i="4"/>
  <c r="Q243" i="4"/>
  <c r="R604" i="4"/>
  <c r="Q315" i="4"/>
  <c r="Q376" i="4"/>
  <c r="Q183" i="4"/>
  <c r="R689" i="4"/>
  <c r="Q833" i="4"/>
  <c r="Q533" i="4"/>
  <c r="Q448" i="4"/>
  <c r="Q351" i="4"/>
  <c r="Q233" i="4"/>
  <c r="Q147" i="4"/>
  <c r="R907" i="4"/>
  <c r="Q871" i="4"/>
  <c r="R847" i="4"/>
  <c r="R835" i="4"/>
  <c r="R811" i="4"/>
  <c r="Q799" i="4"/>
  <c r="R775" i="4"/>
  <c r="R763" i="4"/>
  <c r="R727" i="4"/>
  <c r="R655" i="4"/>
  <c r="R535" i="4"/>
  <c r="Q523" i="4"/>
  <c r="R499" i="4"/>
  <c r="Q451" i="4"/>
  <c r="Q427" i="4"/>
  <c r="R415" i="4"/>
  <c r="R403" i="4"/>
  <c r="R319" i="4"/>
  <c r="Q271" i="4"/>
  <c r="R235" i="4"/>
  <c r="Q187" i="4"/>
  <c r="R163" i="4"/>
  <c r="Q139" i="4"/>
  <c r="R91" i="4"/>
  <c r="R79" i="4"/>
  <c r="Q55" i="4"/>
  <c r="R31" i="4"/>
  <c r="Q19" i="4"/>
  <c r="R7" i="4"/>
  <c r="R2" i="4"/>
  <c r="Q2" i="4"/>
  <c r="R871" i="4"/>
  <c r="R883" i="4"/>
  <c r="Q883" i="4"/>
  <c r="R715" i="4"/>
  <c r="Q715" i="4"/>
  <c r="R619" i="4"/>
  <c r="Q619" i="4"/>
  <c r="R583" i="4"/>
  <c r="Q583" i="4"/>
  <c r="Q547" i="4"/>
  <c r="R547" i="4"/>
  <c r="Q475" i="4"/>
  <c r="R475" i="4"/>
  <c r="R463" i="4"/>
  <c r="Q463" i="4"/>
  <c r="Q439" i="4"/>
  <c r="R439" i="4"/>
  <c r="R391" i="4"/>
  <c r="Q391" i="4"/>
  <c r="R379" i="4"/>
  <c r="Q379" i="4"/>
  <c r="Q367" i="4"/>
  <c r="R367" i="4"/>
  <c r="R343" i="4"/>
  <c r="Q343" i="4"/>
  <c r="Q331" i="4"/>
  <c r="R331" i="4"/>
  <c r="R307" i="4"/>
  <c r="Q307" i="4"/>
  <c r="R295" i="4"/>
  <c r="Q295" i="4"/>
  <c r="Q283" i="4"/>
  <c r="R283" i="4"/>
  <c r="R259" i="4"/>
  <c r="Q259" i="4"/>
  <c r="Q247" i="4"/>
  <c r="R247" i="4"/>
  <c r="R223" i="4"/>
  <c r="Q223" i="4"/>
  <c r="R211" i="4"/>
  <c r="Q211" i="4"/>
  <c r="Q199" i="4"/>
  <c r="R199" i="4"/>
  <c r="Q175" i="4"/>
  <c r="R175" i="4"/>
  <c r="Q151" i="4"/>
  <c r="R151" i="4"/>
  <c r="R127" i="4"/>
  <c r="Q127" i="4"/>
  <c r="R115" i="4"/>
  <c r="Q115" i="4"/>
  <c r="Q103" i="4"/>
  <c r="R103" i="4"/>
  <c r="Q595" i="4"/>
  <c r="R595" i="4"/>
  <c r="R906" i="4"/>
  <c r="R762" i="4"/>
  <c r="Q762" i="4"/>
  <c r="R654" i="4"/>
  <c r="R570" i="4"/>
  <c r="R558" i="4"/>
  <c r="Q558" i="4"/>
  <c r="R546" i="4"/>
  <c r="R534" i="4"/>
  <c r="Q522" i="4"/>
  <c r="R522" i="4"/>
  <c r="Q510" i="4"/>
  <c r="R498" i="4"/>
  <c r="R486" i="4"/>
  <c r="Q486" i="4"/>
  <c r="Q474" i="4"/>
  <c r="R474" i="4"/>
  <c r="R462" i="4"/>
  <c r="Q462" i="4"/>
  <c r="Q450" i="4"/>
  <c r="R450" i="4"/>
  <c r="R438" i="4"/>
  <c r="Q438" i="4"/>
  <c r="R426" i="4"/>
  <c r="Q426" i="4"/>
  <c r="R414" i="4"/>
  <c r="Q414" i="4"/>
  <c r="R402" i="4"/>
  <c r="R390" i="4"/>
  <c r="Q390" i="4"/>
  <c r="R378" i="4"/>
  <c r="Q378" i="4"/>
  <c r="R366" i="4"/>
  <c r="Q366" i="4"/>
  <c r="R354" i="4"/>
  <c r="Q354" i="4"/>
  <c r="Q342" i="4"/>
  <c r="Q330" i="4"/>
  <c r="R330" i="4"/>
  <c r="R318" i="4"/>
  <c r="R294" i="4"/>
  <c r="Q270" i="4"/>
  <c r="R198" i="4"/>
  <c r="Q114" i="4"/>
  <c r="R559" i="4"/>
  <c r="Q559" i="4"/>
  <c r="R858" i="4"/>
  <c r="Q858" i="4"/>
  <c r="R666" i="4"/>
  <c r="Q666" i="4"/>
  <c r="Q787" i="4"/>
  <c r="R787" i="4"/>
  <c r="Q571" i="4"/>
  <c r="R571" i="4"/>
  <c r="R798" i="4"/>
  <c r="Q630" i="4"/>
  <c r="R630" i="4"/>
  <c r="Q798" i="4"/>
  <c r="R751" i="4"/>
  <c r="Q751" i="4"/>
  <c r="R703" i="4"/>
  <c r="Q703" i="4"/>
  <c r="R667" i="4"/>
  <c r="Q667" i="4"/>
  <c r="R870" i="4"/>
  <c r="R786" i="4"/>
  <c r="Q786" i="4"/>
  <c r="R714" i="4"/>
  <c r="Q714" i="4"/>
  <c r="R618" i="4"/>
  <c r="R631" i="4"/>
  <c r="Q631" i="4"/>
  <c r="R487" i="4"/>
  <c r="Q487" i="4"/>
  <c r="R894" i="4"/>
  <c r="Q894" i="4"/>
  <c r="R846" i="4"/>
  <c r="Q846" i="4"/>
  <c r="R774" i="4"/>
  <c r="Q774" i="4"/>
  <c r="R678" i="4"/>
  <c r="Q678" i="4"/>
  <c r="Q582" i="4"/>
  <c r="Q415" i="4"/>
  <c r="Q499" i="4"/>
  <c r="R799" i="4"/>
  <c r="Q847" i="4"/>
  <c r="Q546" i="4"/>
  <c r="Q498" i="4"/>
  <c r="Q403" i="4"/>
  <c r="R523" i="4"/>
  <c r="R271" i="4"/>
  <c r="Q691" i="4"/>
  <c r="R691" i="4"/>
  <c r="Q607" i="4"/>
  <c r="R607" i="4"/>
  <c r="R834" i="4"/>
  <c r="Q726" i="4"/>
  <c r="R726" i="4"/>
  <c r="Q594" i="4"/>
  <c r="Q859" i="4"/>
  <c r="R859" i="4"/>
  <c r="Q823" i="4"/>
  <c r="R823" i="4"/>
  <c r="R739" i="4"/>
  <c r="Q739" i="4"/>
  <c r="Q679" i="4"/>
  <c r="R679" i="4"/>
  <c r="Q643" i="4"/>
  <c r="R643" i="4"/>
  <c r="Q511" i="4"/>
  <c r="R511" i="4"/>
  <c r="R822" i="4"/>
  <c r="Q822" i="4"/>
  <c r="R750" i="4"/>
  <c r="Q750" i="4"/>
  <c r="R702" i="4"/>
  <c r="Q702" i="4"/>
  <c r="R642" i="4"/>
  <c r="Q642" i="4"/>
  <c r="Q775" i="4"/>
  <c r="Q402" i="4"/>
  <c r="Q618" i="4"/>
  <c r="Q895" i="4"/>
  <c r="R895" i="4"/>
  <c r="Q810" i="4"/>
  <c r="R810" i="4"/>
  <c r="R690" i="4"/>
  <c r="R606" i="4"/>
  <c r="Q606" i="4"/>
  <c r="Q727" i="4"/>
  <c r="R594" i="4"/>
  <c r="R582" i="4"/>
  <c r="Q319" i="4"/>
  <c r="R510" i="4"/>
  <c r="Q835" i="4"/>
  <c r="Q535" i="4"/>
  <c r="Q318" i="4"/>
  <c r="Q235" i="4"/>
  <c r="Q907" i="4"/>
  <c r="Q834" i="4"/>
  <c r="Q690" i="4"/>
  <c r="Q534" i="4"/>
  <c r="Q881" i="4"/>
  <c r="Q845" i="4"/>
  <c r="Q809" i="4"/>
  <c r="Q197" i="4"/>
  <c r="R137" i="4"/>
  <c r="R749" i="4"/>
  <c r="Q808" i="4"/>
  <c r="Q773" i="4"/>
  <c r="Q413" i="4"/>
  <c r="Q149" i="4"/>
  <c r="R893" i="4"/>
  <c r="R821" i="4"/>
  <c r="R428" i="4"/>
  <c r="R281" i="4"/>
  <c r="R125" i="4"/>
  <c r="R55" i="4"/>
  <c r="R260" i="4"/>
  <c r="R44" i="4"/>
  <c r="R8" i="4"/>
  <c r="Q67" i="4"/>
  <c r="R67" i="4"/>
  <c r="Q306" i="4"/>
  <c r="R282" i="4"/>
  <c r="R258" i="4"/>
  <c r="R246" i="4"/>
  <c r="Q234" i="4"/>
  <c r="R222" i="4"/>
  <c r="R210" i="4"/>
  <c r="Q210" i="4"/>
  <c r="Q186" i="4"/>
  <c r="R174" i="4"/>
  <c r="R162" i="4"/>
  <c r="Q162" i="4"/>
  <c r="Q150" i="4"/>
  <c r="R150" i="4"/>
  <c r="R138" i="4"/>
  <c r="Q126" i="4"/>
  <c r="R126" i="4"/>
  <c r="R114" i="4"/>
  <c r="R102" i="4"/>
  <c r="R90" i="4"/>
  <c r="Q78" i="4"/>
  <c r="R78" i="4"/>
  <c r="Q66" i="4"/>
  <c r="Q54" i="4"/>
  <c r="Q42" i="4"/>
  <c r="R42" i="4"/>
  <c r="Q30" i="4"/>
  <c r="R30" i="4"/>
  <c r="Q18" i="4"/>
  <c r="Q6" i="4"/>
  <c r="R6" i="4"/>
  <c r="Q909" i="4"/>
  <c r="Q897" i="4"/>
  <c r="R873" i="4"/>
  <c r="R849" i="4"/>
  <c r="R825" i="4"/>
  <c r="Q813" i="4"/>
  <c r="Q801" i="4"/>
  <c r="Q717" i="4"/>
  <c r="Q705" i="4"/>
  <c r="Q657" i="4"/>
  <c r="R633" i="4"/>
  <c r="Q621" i="4"/>
  <c r="R609" i="4"/>
  <c r="Q573" i="4"/>
  <c r="Q537" i="4"/>
  <c r="R513" i="4"/>
  <c r="Q429" i="4"/>
  <c r="Q405" i="4"/>
  <c r="Q393" i="4"/>
  <c r="R321" i="4"/>
  <c r="R297" i="4"/>
  <c r="Q261" i="4"/>
  <c r="R225" i="4"/>
  <c r="R201" i="4"/>
  <c r="Q189" i="4"/>
  <c r="Q153" i="4"/>
  <c r="R81" i="4"/>
  <c r="Q69" i="4"/>
  <c r="Q45" i="4"/>
  <c r="R9" i="4"/>
  <c r="Q53" i="4"/>
  <c r="R53" i="4"/>
  <c r="Q16" i="4"/>
  <c r="R16" i="4"/>
  <c r="Q856" i="4"/>
  <c r="R688" i="4"/>
  <c r="Q640" i="4"/>
  <c r="Q436" i="4"/>
  <c r="R352" i="4"/>
  <c r="Q292" i="4"/>
  <c r="Q268" i="4"/>
  <c r="Q220" i="4"/>
  <c r="Q172" i="4"/>
  <c r="R136" i="4"/>
  <c r="R112" i="4"/>
  <c r="R76" i="4"/>
  <c r="R28" i="4"/>
  <c r="R4" i="4"/>
  <c r="Q701" i="4"/>
  <c r="R701" i="4"/>
  <c r="R353" i="4"/>
  <c r="Q353" i="4"/>
  <c r="R41" i="4"/>
  <c r="Q41" i="4"/>
  <c r="Q797" i="4"/>
  <c r="R580" i="4"/>
  <c r="Q580" i="4"/>
  <c r="R400" i="4"/>
  <c r="Q400" i="4"/>
  <c r="Q104" i="4"/>
  <c r="R104" i="4"/>
  <c r="Q844" i="4"/>
  <c r="R748" i="4"/>
  <c r="Q616" i="4"/>
  <c r="Q544" i="4"/>
  <c r="Q484" i="4"/>
  <c r="Q340" i="4"/>
  <c r="R316" i="4"/>
  <c r="R280" i="4"/>
  <c r="Q256" i="4"/>
  <c r="Q244" i="4"/>
  <c r="Q232" i="4"/>
  <c r="R208" i="4"/>
  <c r="Q196" i="4"/>
  <c r="R184" i="4"/>
  <c r="Q160" i="4"/>
  <c r="R148" i="4"/>
  <c r="Q760" i="4"/>
  <c r="Q389" i="4"/>
  <c r="Q222" i="4"/>
  <c r="Q173" i="4"/>
  <c r="Q138" i="4"/>
  <c r="Q91" i="4"/>
  <c r="R713" i="4"/>
  <c r="R641" i="4"/>
  <c r="R329" i="4"/>
  <c r="R100" i="4"/>
  <c r="R29" i="4"/>
  <c r="Q245" i="4"/>
  <c r="R245" i="4"/>
  <c r="R904" i="4"/>
  <c r="Q880" i="4"/>
  <c r="Q820" i="4"/>
  <c r="Q736" i="4"/>
  <c r="R652" i="4"/>
  <c r="R532" i="4"/>
  <c r="R496" i="4"/>
  <c r="R460" i="4"/>
  <c r="Q412" i="4"/>
  <c r="Q892" i="4"/>
  <c r="Q437" i="4"/>
  <c r="Q304" i="4"/>
  <c r="Q90" i="4"/>
  <c r="Q7" i="4"/>
  <c r="R857" i="4"/>
  <c r="R784" i="4"/>
  <c r="R401" i="4"/>
  <c r="R161" i="4"/>
  <c r="R19" i="4"/>
  <c r="R5" i="4"/>
  <c r="Q5" i="4"/>
  <c r="Q174" i="4"/>
  <c r="R868" i="4"/>
  <c r="R796" i="4"/>
  <c r="Q712" i="4"/>
  <c r="Q592" i="4"/>
  <c r="Q364" i="4"/>
  <c r="Q520" i="4"/>
  <c r="Q725" i="4"/>
  <c r="R725" i="4"/>
  <c r="R581" i="4"/>
  <c r="Q581" i="4"/>
  <c r="Q521" i="4"/>
  <c r="R521" i="4"/>
  <c r="Q425" i="4"/>
  <c r="R425" i="4"/>
  <c r="Q365" i="4"/>
  <c r="R365" i="4"/>
  <c r="Q305" i="4"/>
  <c r="R305" i="4"/>
  <c r="R269" i="4"/>
  <c r="Q269" i="4"/>
  <c r="R89" i="4"/>
  <c r="Q89" i="4"/>
  <c r="Q772" i="4"/>
  <c r="R724" i="4"/>
  <c r="Q664" i="4"/>
  <c r="Q568" i="4"/>
  <c r="R629" i="4"/>
  <c r="R80" i="4"/>
  <c r="Q545" i="4"/>
  <c r="R545" i="4"/>
  <c r="R485" i="4"/>
  <c r="Q485" i="4"/>
  <c r="R101" i="4"/>
  <c r="Q388" i="4"/>
  <c r="Q557" i="4"/>
  <c r="Q258" i="4"/>
  <c r="R472" i="4"/>
  <c r="R234" i="4"/>
  <c r="R18" i="4"/>
  <c r="Q785" i="4"/>
  <c r="Q677" i="4"/>
  <c r="Q556" i="4"/>
  <c r="Q473" i="4"/>
  <c r="Q257" i="4"/>
  <c r="Q209" i="4"/>
  <c r="R306" i="4"/>
  <c r="R17" i="4"/>
  <c r="Q676" i="4"/>
  <c r="Q628" i="4"/>
  <c r="Q593" i="4"/>
  <c r="Q124" i="4"/>
  <c r="Q79" i="4"/>
  <c r="R905" i="4"/>
  <c r="R461" i="4"/>
  <c r="R68" i="4"/>
  <c r="Q671" i="4"/>
  <c r="Q766" i="4"/>
  <c r="Q849" i="4"/>
  <c r="Q765" i="4"/>
  <c r="Q669" i="4"/>
  <c r="R537" i="4"/>
  <c r="Q525" i="4"/>
  <c r="Q501" i="4"/>
  <c r="Q908" i="4"/>
  <c r="Q896" i="4"/>
  <c r="Q848" i="4"/>
  <c r="R836" i="4"/>
  <c r="Q824" i="4"/>
  <c r="R800" i="4"/>
  <c r="R764" i="4"/>
  <c r="Q752" i="4"/>
  <c r="Q716" i="4"/>
  <c r="Q692" i="4"/>
  <c r="Q668" i="4"/>
  <c r="Q644" i="4"/>
  <c r="R632" i="4"/>
  <c r="R608" i="4"/>
  <c r="R596" i="4"/>
  <c r="R572" i="4"/>
  <c r="R560" i="4"/>
  <c r="Q548" i="4"/>
  <c r="R536" i="4"/>
  <c r="Q524" i="4"/>
  <c r="Q500" i="4"/>
  <c r="R488" i="4"/>
  <c r="Q476" i="4"/>
  <c r="R464" i="4"/>
  <c r="Q452" i="4"/>
  <c r="Q416" i="4"/>
  <c r="R404" i="4"/>
  <c r="Q392" i="4"/>
  <c r="R368" i="4"/>
  <c r="R332" i="4"/>
  <c r="R296" i="4"/>
  <c r="Q272" i="4"/>
  <c r="Q248" i="4"/>
  <c r="R188" i="4"/>
  <c r="R152" i="4"/>
  <c r="R116" i="4"/>
  <c r="R903" i="4"/>
  <c r="R879" i="4"/>
  <c r="R855" i="4"/>
  <c r="R831" i="4"/>
  <c r="R807" i="4"/>
  <c r="R783" i="4"/>
  <c r="R759" i="4"/>
  <c r="R735" i="4"/>
  <c r="R711" i="4"/>
  <c r="R687" i="4"/>
  <c r="R663" i="4"/>
  <c r="R651" i="4"/>
  <c r="R627" i="4"/>
  <c r="R615" i="4"/>
  <c r="R603" i="4"/>
  <c r="R591" i="4"/>
  <c r="R579" i="4"/>
  <c r="R567" i="4"/>
  <c r="R555" i="4"/>
  <c r="R543" i="4"/>
  <c r="R531" i="4"/>
  <c r="R519" i="4"/>
  <c r="R507" i="4"/>
  <c r="R495" i="4"/>
  <c r="R483" i="4"/>
  <c r="R471" i="4"/>
  <c r="R459" i="4"/>
  <c r="R447" i="4"/>
  <c r="R423" i="4"/>
  <c r="R891" i="4"/>
  <c r="R867" i="4"/>
  <c r="R843" i="4"/>
  <c r="R819" i="4"/>
  <c r="R795" i="4"/>
  <c r="R771" i="4"/>
  <c r="R747" i="4"/>
  <c r="R723" i="4"/>
  <c r="R699" i="4"/>
  <c r="R675" i="4"/>
  <c r="R639" i="4"/>
  <c r="Q819" i="4"/>
  <c r="Q735" i="4"/>
  <c r="Q639" i="4"/>
  <c r="Q495" i="4"/>
  <c r="R524" i="4"/>
  <c r="R755" i="4"/>
  <c r="R500" i="4"/>
  <c r="Q850" i="4"/>
  <c r="R754" i="4"/>
  <c r="R730" i="4"/>
  <c r="R418" i="4"/>
  <c r="R394" i="4"/>
  <c r="Q753" i="4"/>
  <c r="R729" i="4"/>
  <c r="Q609" i="4"/>
  <c r="Q489" i="4"/>
  <c r="R441" i="4"/>
  <c r="R417" i="4"/>
  <c r="Q357" i="4"/>
  <c r="Q333" i="4"/>
  <c r="R452" i="4"/>
  <c r="R884" i="4"/>
  <c r="Q872" i="4"/>
  <c r="R848" i="4"/>
  <c r="R812" i="4"/>
  <c r="Q800" i="4"/>
  <c r="R776" i="4"/>
  <c r="R752" i="4"/>
  <c r="Q728" i="4"/>
  <c r="R716" i="4"/>
  <c r="Q704" i="4"/>
  <c r="R692" i="4"/>
  <c r="R680" i="4"/>
  <c r="Q656" i="4"/>
  <c r="R644" i="4"/>
  <c r="Q632" i="4"/>
  <c r="R620" i="4"/>
  <c r="Q608" i="4"/>
  <c r="Q584" i="4"/>
  <c r="Q560" i="4"/>
  <c r="R548" i="4"/>
  <c r="R512" i="4"/>
  <c r="Q488" i="4"/>
  <c r="R476" i="4"/>
  <c r="Q464" i="4"/>
  <c r="R440" i="4"/>
  <c r="R416" i="4"/>
  <c r="Q404" i="4"/>
  <c r="R392" i="4"/>
  <c r="R380" i="4"/>
  <c r="Q356" i="4"/>
  <c r="R344" i="4"/>
  <c r="Q332" i="4"/>
  <c r="R320" i="4"/>
  <c r="R308" i="4"/>
  <c r="Q284" i="4"/>
  <c r="R272" i="4"/>
  <c r="Q260" i="4"/>
  <c r="R248" i="4"/>
  <c r="R236" i="4"/>
  <c r="Q224" i="4"/>
  <c r="R212" i="4"/>
  <c r="R200" i="4"/>
  <c r="Q176" i="4"/>
  <c r="R164" i="4"/>
  <c r="Q152" i="4"/>
  <c r="R128" i="4"/>
  <c r="R92" i="4"/>
  <c r="R56" i="4"/>
  <c r="R32" i="4"/>
  <c r="R20" i="4"/>
  <c r="Q8" i="4"/>
  <c r="Q512" i="4"/>
  <c r="Q440" i="4"/>
  <c r="R728" i="4"/>
  <c r="R656" i="4"/>
  <c r="Q863" i="4"/>
  <c r="Q767" i="4"/>
  <c r="R587" i="4"/>
  <c r="Q503" i="4"/>
  <c r="R419" i="4"/>
  <c r="R395" i="4"/>
  <c r="R584" i="4"/>
  <c r="R356" i="4"/>
  <c r="R284" i="4"/>
  <c r="Q862" i="4"/>
  <c r="Q754" i="4"/>
  <c r="R706" i="4"/>
  <c r="Q502" i="4"/>
  <c r="R106" i="4"/>
  <c r="Q680" i="4"/>
  <c r="Q200" i="4"/>
  <c r="Q56" i="4"/>
  <c r="R753" i="4"/>
  <c r="Q776" i="4"/>
  <c r="Q380" i="4"/>
  <c r="Q308" i="4"/>
  <c r="Q92" i="4"/>
  <c r="Q280" i="4"/>
  <c r="Q208" i="4"/>
  <c r="Q184" i="4"/>
  <c r="R220" i="4"/>
  <c r="Q688" i="4"/>
  <c r="R436" i="4"/>
  <c r="Q12" i="4"/>
  <c r="Q796" i="4"/>
  <c r="Q136" i="4"/>
  <c r="Q899" i="4"/>
  <c r="Q851" i="4"/>
  <c r="Q815" i="4"/>
  <c r="Q803" i="4"/>
  <c r="Q755" i="4"/>
  <c r="R731" i="4"/>
  <c r="Q719" i="4"/>
  <c r="R707" i="4"/>
  <c r="R635" i="4"/>
  <c r="Q623" i="4"/>
  <c r="R611" i="4"/>
  <c r="Q575" i="4"/>
  <c r="R539" i="4"/>
  <c r="R515" i="4"/>
  <c r="R491" i="4"/>
  <c r="Q407" i="4"/>
  <c r="Q395" i="4"/>
  <c r="R323" i="4"/>
  <c r="Q299" i="4"/>
  <c r="R275" i="4"/>
  <c r="Q263" i="4"/>
  <c r="R203" i="4"/>
  <c r="R179" i="4"/>
  <c r="Q167" i="4"/>
  <c r="R11" i="4"/>
  <c r="Q904" i="4"/>
  <c r="Q460" i="4"/>
  <c r="R244" i="4"/>
  <c r="Q898" i="4"/>
  <c r="R850" i="4"/>
  <c r="R826" i="4"/>
  <c r="Q814" i="4"/>
  <c r="Q802" i="4"/>
  <c r="Q718" i="4"/>
  <c r="Q706" i="4"/>
  <c r="Q658" i="4"/>
  <c r="R634" i="4"/>
  <c r="R610" i="4"/>
  <c r="R538" i="4"/>
  <c r="R514" i="4"/>
  <c r="R490" i="4"/>
  <c r="Q406" i="4"/>
  <c r="Q394" i="4"/>
  <c r="R322" i="4"/>
  <c r="Q298" i="4"/>
  <c r="Q262" i="4"/>
  <c r="R202" i="4"/>
  <c r="R178" i="4"/>
  <c r="Q154" i="4"/>
  <c r="Q70" i="4"/>
  <c r="R10" i="4"/>
  <c r="Q4" i="4"/>
  <c r="R803" i="4"/>
  <c r="Q538" i="4"/>
  <c r="R657" i="4"/>
  <c r="R298" i="4"/>
  <c r="Q84" i="4"/>
  <c r="Q48" i="4"/>
  <c r="Q539" i="4"/>
  <c r="R899" i="4"/>
  <c r="Q887" i="4"/>
  <c r="R875" i="4"/>
  <c r="R863" i="4"/>
  <c r="R851" i="4"/>
  <c r="R839" i="4"/>
  <c r="R827" i="4"/>
  <c r="R815" i="4"/>
  <c r="Q791" i="4"/>
  <c r="R779" i="4"/>
  <c r="R767" i="4"/>
  <c r="R743" i="4"/>
  <c r="Q731" i="4"/>
  <c r="R719" i="4"/>
  <c r="Q695" i="4"/>
  <c r="R683" i="4"/>
  <c r="R671" i="4"/>
  <c r="R659" i="4"/>
  <c r="R647" i="4"/>
  <c r="Q635" i="4"/>
  <c r="R623" i="4"/>
  <c r="Q611" i="4"/>
  <c r="R599" i="4"/>
  <c r="Q587" i="4"/>
  <c r="R575" i="4"/>
  <c r="R563" i="4"/>
  <c r="R551" i="4"/>
  <c r="Q515" i="4"/>
  <c r="R503" i="4"/>
  <c r="Q491" i="4"/>
  <c r="Q479" i="4"/>
  <c r="R455" i="4"/>
  <c r="R443" i="4"/>
  <c r="Q431" i="4"/>
  <c r="Q419" i="4"/>
  <c r="R407" i="4"/>
  <c r="Q359" i="4"/>
  <c r="R347" i="4"/>
  <c r="Q335" i="4"/>
  <c r="Q323" i="4"/>
  <c r="R311" i="4"/>
  <c r="Q275" i="4"/>
  <c r="R263" i="4"/>
  <c r="R251" i="4"/>
  <c r="Q239" i="4"/>
  <c r="R215" i="4"/>
  <c r="Q203" i="4"/>
  <c r="Q179" i="4"/>
  <c r="R167" i="4"/>
  <c r="R155" i="4"/>
  <c r="Q143" i="4"/>
  <c r="R119" i="4"/>
  <c r="R107" i="4"/>
  <c r="R83" i="4"/>
  <c r="R59" i="4"/>
  <c r="Q47" i="4"/>
  <c r="R35" i="4"/>
  <c r="Q23" i="4"/>
  <c r="Q11" i="4"/>
  <c r="Q707" i="4"/>
  <c r="R898" i="4"/>
  <c r="Q886" i="4"/>
  <c r="R874" i="4"/>
  <c r="R862" i="4"/>
  <c r="R838" i="4"/>
  <c r="Q826" i="4"/>
  <c r="R814" i="4"/>
  <c r="R802" i="4"/>
  <c r="Q790" i="4"/>
  <c r="R778" i="4"/>
  <c r="R766" i="4"/>
  <c r="R742" i="4"/>
  <c r="Q730" i="4"/>
  <c r="R718" i="4"/>
  <c r="Q694" i="4"/>
  <c r="R682" i="4"/>
  <c r="Q670" i="4"/>
  <c r="R658" i="4"/>
  <c r="R646" i="4"/>
  <c r="Q634" i="4"/>
  <c r="Q610" i="4"/>
  <c r="R598" i="4"/>
  <c r="R586" i="4"/>
  <c r="Q574" i="4"/>
  <c r="R562" i="4"/>
  <c r="R550" i="4"/>
  <c r="Q514" i="4"/>
  <c r="R502" i="4"/>
  <c r="Q490" i="4"/>
  <c r="Q478" i="4"/>
  <c r="R454" i="4"/>
  <c r="R442" i="4"/>
  <c r="Q418" i="4"/>
  <c r="R406" i="4"/>
  <c r="Q382" i="4"/>
  <c r="Q358" i="4"/>
  <c r="R346" i="4"/>
  <c r="Q334" i="4"/>
  <c r="Q322" i="4"/>
  <c r="R310" i="4"/>
  <c r="R262" i="4"/>
  <c r="R250" i="4"/>
  <c r="Q238" i="4"/>
  <c r="R214" i="4"/>
  <c r="Q202" i="4"/>
  <c r="Q178" i="4"/>
  <c r="R166" i="4"/>
  <c r="R154" i="4"/>
  <c r="Q142" i="4"/>
  <c r="Q118" i="4"/>
  <c r="Q106" i="4"/>
  <c r="R82" i="4"/>
  <c r="R70" i="4"/>
  <c r="R58" i="4"/>
  <c r="Q46" i="4"/>
  <c r="Q22" i="4"/>
  <c r="Q10" i="4"/>
  <c r="R299" i="4"/>
  <c r="R909" i="4"/>
  <c r="R897" i="4"/>
  <c r="Q885" i="4"/>
  <c r="Q873" i="4"/>
  <c r="R861" i="4"/>
  <c r="R837" i="4"/>
  <c r="Q825" i="4"/>
  <c r="R813" i="4"/>
  <c r="R801" i="4"/>
  <c r="Q789" i="4"/>
  <c r="R777" i="4"/>
  <c r="R765" i="4"/>
  <c r="R741" i="4"/>
  <c r="Q729" i="4"/>
  <c r="R717" i="4"/>
  <c r="R705" i="4"/>
  <c r="Q693" i="4"/>
  <c r="R681" i="4"/>
  <c r="R669" i="4"/>
  <c r="R645" i="4"/>
  <c r="Q633" i="4"/>
  <c r="R621" i="4"/>
  <c r="R597" i="4"/>
  <c r="R585" i="4"/>
  <c r="R573" i="4"/>
  <c r="R561" i="4"/>
  <c r="R549" i="4"/>
  <c r="R525" i="4"/>
  <c r="Q513" i="4"/>
  <c r="R501" i="4"/>
  <c r="R489" i="4"/>
  <c r="R477" i="4"/>
  <c r="R453" i="4"/>
  <c r="Q441" i="4"/>
  <c r="R429" i="4"/>
  <c r="Q417" i="4"/>
  <c r="R405" i="4"/>
  <c r="R393" i="4"/>
  <c r="R381" i="4"/>
  <c r="R357" i="4"/>
  <c r="R345" i="4"/>
  <c r="R333" i="4"/>
  <c r="Q321" i="4"/>
  <c r="R309" i="4"/>
  <c r="Q285" i="4"/>
  <c r="R261" i="4"/>
  <c r="R249" i="4"/>
  <c r="R237" i="4"/>
  <c r="Q225" i="4"/>
  <c r="R213" i="4"/>
  <c r="Q201" i="4"/>
  <c r="R189" i="4"/>
  <c r="R165" i="4"/>
  <c r="R153" i="4"/>
  <c r="Q141" i="4"/>
  <c r="R117" i="4"/>
  <c r="Q105" i="4"/>
  <c r="Q81" i="4"/>
  <c r="R69" i="4"/>
  <c r="R45" i="4"/>
  <c r="R21" i="4"/>
  <c r="Q9" i="4"/>
  <c r="R227" i="4"/>
  <c r="Q227" i="4"/>
  <c r="R47" i="4"/>
  <c r="R878" i="4"/>
  <c r="R818" i="4"/>
  <c r="R746" i="4"/>
  <c r="R662" i="4"/>
  <c r="R590" i="4"/>
  <c r="R518" i="4"/>
  <c r="R446" i="4"/>
  <c r="R374" i="4"/>
  <c r="R302" i="4"/>
  <c r="R242" i="4"/>
  <c r="R170" i="4"/>
  <c r="R86" i="4"/>
  <c r="R466" i="4"/>
  <c r="Q466" i="4"/>
  <c r="Q370" i="4"/>
  <c r="R370" i="4"/>
  <c r="Q274" i="4"/>
  <c r="R274" i="4"/>
  <c r="Q190" i="4"/>
  <c r="R190" i="4"/>
  <c r="R130" i="4"/>
  <c r="Q130" i="4"/>
  <c r="Q94" i="4"/>
  <c r="R94" i="4"/>
  <c r="R34" i="4"/>
  <c r="Q34" i="4"/>
  <c r="R841" i="4"/>
  <c r="R781" i="4"/>
  <c r="R709" i="4"/>
  <c r="R637" i="4"/>
  <c r="R541" i="4"/>
  <c r="R481" i="4"/>
  <c r="R409" i="4"/>
  <c r="R349" i="4"/>
  <c r="R277" i="4"/>
  <c r="R157" i="4"/>
  <c r="Q273" i="4"/>
  <c r="R273" i="4"/>
  <c r="Q93" i="4"/>
  <c r="R93" i="4"/>
  <c r="Q683" i="4"/>
  <c r="Q585" i="4"/>
  <c r="Q551" i="4"/>
  <c r="Q442" i="4"/>
  <c r="Q310" i="4"/>
  <c r="Q237" i="4"/>
  <c r="Q58" i="4"/>
  <c r="R886" i="4"/>
  <c r="R791" i="4"/>
  <c r="R142" i="4"/>
  <c r="R22" i="4"/>
  <c r="Q527" i="4"/>
  <c r="R527" i="4"/>
  <c r="R467" i="4"/>
  <c r="Q467" i="4"/>
  <c r="Q371" i="4"/>
  <c r="R371" i="4"/>
  <c r="Q35" i="4"/>
  <c r="R890" i="4"/>
  <c r="R830" i="4"/>
  <c r="R770" i="4"/>
  <c r="R710" i="4"/>
  <c r="R650" i="4"/>
  <c r="R602" i="4"/>
  <c r="R554" i="4"/>
  <c r="R494" i="4"/>
  <c r="R422" i="4"/>
  <c r="R350" i="4"/>
  <c r="R278" i="4"/>
  <c r="R230" i="4"/>
  <c r="R182" i="4"/>
  <c r="R146" i="4"/>
  <c r="R110" i="4"/>
  <c r="R62" i="4"/>
  <c r="R14" i="4"/>
  <c r="Q430" i="4"/>
  <c r="R430" i="4"/>
  <c r="R286" i="4"/>
  <c r="Q286" i="4"/>
  <c r="Q586" i="4"/>
  <c r="Q443" i="4"/>
  <c r="R901" i="4"/>
  <c r="R853" i="4"/>
  <c r="R805" i="4"/>
  <c r="R733" i="4"/>
  <c r="R661" i="4"/>
  <c r="R601" i="4"/>
  <c r="R529" i="4"/>
  <c r="R457" i="4"/>
  <c r="R373" i="4"/>
  <c r="R289" i="4"/>
  <c r="R217" i="4"/>
  <c r="R145" i="4"/>
  <c r="R465" i="4"/>
  <c r="Q465" i="4"/>
  <c r="Q779" i="4"/>
  <c r="Q874" i="4"/>
  <c r="Q778" i="4"/>
  <c r="Q682" i="4"/>
  <c r="Q599" i="4"/>
  <c r="Q550" i="4"/>
  <c r="Q477" i="4"/>
  <c r="Q347" i="4"/>
  <c r="Q309" i="4"/>
  <c r="Q215" i="4"/>
  <c r="Q83" i="4"/>
  <c r="R885" i="4"/>
  <c r="R790" i="4"/>
  <c r="R695" i="4"/>
  <c r="R335" i="4"/>
  <c r="R239" i="4"/>
  <c r="R141" i="4"/>
  <c r="R287" i="4"/>
  <c r="Q287" i="4"/>
  <c r="Q95" i="4"/>
  <c r="R95" i="4"/>
  <c r="Q71" i="4"/>
  <c r="R71" i="4"/>
  <c r="R902" i="4"/>
  <c r="R842" i="4"/>
  <c r="R782" i="4"/>
  <c r="R722" i="4"/>
  <c r="R674" i="4"/>
  <c r="R614" i="4"/>
  <c r="R542" i="4"/>
  <c r="R470" i="4"/>
  <c r="R410" i="4"/>
  <c r="R362" i="4"/>
  <c r="R314" i="4"/>
  <c r="R254" i="4"/>
  <c r="R194" i="4"/>
  <c r="R134" i="4"/>
  <c r="R98" i="4"/>
  <c r="R50" i="4"/>
  <c r="R26" i="4"/>
  <c r="Q622" i="4"/>
  <c r="R622" i="4"/>
  <c r="Q526" i="4"/>
  <c r="R526" i="4"/>
  <c r="R226" i="4"/>
  <c r="Q226" i="4"/>
  <c r="R887" i="4"/>
  <c r="R118" i="4"/>
  <c r="R23" i="4"/>
  <c r="R865" i="4"/>
  <c r="R793" i="4"/>
  <c r="R721" i="4"/>
  <c r="R649" i="4"/>
  <c r="R589" i="4"/>
  <c r="R517" i="4"/>
  <c r="R445" i="4"/>
  <c r="R385" i="4"/>
  <c r="R313" i="4"/>
  <c r="R241" i="4"/>
  <c r="R181" i="4"/>
  <c r="R121" i="4"/>
  <c r="Q177" i="4"/>
  <c r="R177" i="4"/>
  <c r="Q827" i="4"/>
  <c r="Q777" i="4"/>
  <c r="Q681" i="4"/>
  <c r="Q647" i="4"/>
  <c r="Q598" i="4"/>
  <c r="Q549" i="4"/>
  <c r="Q455" i="4"/>
  <c r="Q346" i="4"/>
  <c r="Q214" i="4"/>
  <c r="Q82" i="4"/>
  <c r="R789" i="4"/>
  <c r="R694" i="4"/>
  <c r="R670" i="4"/>
  <c r="R359" i="4"/>
  <c r="R334" i="4"/>
  <c r="R238" i="4"/>
  <c r="R866" i="4"/>
  <c r="R806" i="4"/>
  <c r="R758" i="4"/>
  <c r="R698" i="4"/>
  <c r="R638" i="4"/>
  <c r="R578" i="4"/>
  <c r="R530" i="4"/>
  <c r="R482" i="4"/>
  <c r="R434" i="4"/>
  <c r="R386" i="4"/>
  <c r="R338" i="4"/>
  <c r="R290" i="4"/>
  <c r="R218" i="4"/>
  <c r="R158" i="4"/>
  <c r="R74" i="4"/>
  <c r="Q311" i="4"/>
  <c r="R143" i="4"/>
  <c r="R889" i="4"/>
  <c r="R829" i="4"/>
  <c r="R769" i="4"/>
  <c r="R697" i="4"/>
  <c r="R625" i="4"/>
  <c r="R565" i="4"/>
  <c r="R493" i="4"/>
  <c r="R421" i="4"/>
  <c r="R337" i="4"/>
  <c r="R265" i="4"/>
  <c r="R193" i="4"/>
  <c r="R109" i="4"/>
  <c r="R129" i="4"/>
  <c r="Q129" i="4"/>
  <c r="Q875" i="4"/>
  <c r="Q839" i="4"/>
  <c r="Q743" i="4"/>
  <c r="Q646" i="4"/>
  <c r="Q597" i="4"/>
  <c r="Q563" i="4"/>
  <c r="Q454" i="4"/>
  <c r="Q381" i="4"/>
  <c r="Q345" i="4"/>
  <c r="Q251" i="4"/>
  <c r="Q213" i="4"/>
  <c r="Q119" i="4"/>
  <c r="R693" i="4"/>
  <c r="R574" i="4"/>
  <c r="R479" i="4"/>
  <c r="R382" i="4"/>
  <c r="R358" i="4"/>
  <c r="R285" i="4"/>
  <c r="R383" i="4"/>
  <c r="Q383" i="4"/>
  <c r="Q191" i="4"/>
  <c r="R191" i="4"/>
  <c r="R131" i="4"/>
  <c r="Q131" i="4"/>
  <c r="R854" i="4"/>
  <c r="R794" i="4"/>
  <c r="R734" i="4"/>
  <c r="R686" i="4"/>
  <c r="R626" i="4"/>
  <c r="R566" i="4"/>
  <c r="R506" i="4"/>
  <c r="R458" i="4"/>
  <c r="R398" i="4"/>
  <c r="R326" i="4"/>
  <c r="R266" i="4"/>
  <c r="R206" i="4"/>
  <c r="R122" i="4"/>
  <c r="R38" i="4"/>
  <c r="Q107" i="4"/>
  <c r="R46" i="4"/>
  <c r="R877" i="4"/>
  <c r="R817" i="4"/>
  <c r="R745" i="4"/>
  <c r="R673" i="4"/>
  <c r="R577" i="4"/>
  <c r="R505" i="4"/>
  <c r="R433" i="4"/>
  <c r="R361" i="4"/>
  <c r="R301" i="4"/>
  <c r="R229" i="4"/>
  <c r="R169" i="4"/>
  <c r="R97" i="4"/>
  <c r="Q369" i="4"/>
  <c r="R369" i="4"/>
  <c r="R57" i="4"/>
  <c r="Q57" i="4"/>
  <c r="Q838" i="4"/>
  <c r="Q742" i="4"/>
  <c r="Q645" i="4"/>
  <c r="Q562" i="4"/>
  <c r="Q453" i="4"/>
  <c r="Q250" i="4"/>
  <c r="Q21" i="4"/>
  <c r="R478" i="4"/>
  <c r="R431" i="4"/>
  <c r="Q59" i="4"/>
  <c r="R757" i="4"/>
  <c r="R685" i="4"/>
  <c r="R613" i="4"/>
  <c r="R553" i="4"/>
  <c r="R469" i="4"/>
  <c r="R397" i="4"/>
  <c r="R325" i="4"/>
  <c r="R253" i="4"/>
  <c r="R205" i="4"/>
  <c r="R133" i="4"/>
  <c r="R33" i="4"/>
  <c r="Q33" i="4"/>
  <c r="Q837" i="4"/>
  <c r="Q741" i="4"/>
  <c r="Q659" i="4"/>
  <c r="Q561" i="4"/>
  <c r="Q249" i="4"/>
  <c r="Q155" i="4"/>
  <c r="Q117" i="4"/>
  <c r="R900" i="4"/>
  <c r="R888" i="4"/>
  <c r="R876" i="4"/>
  <c r="R864" i="4"/>
  <c r="R852" i="4"/>
  <c r="R840" i="4"/>
  <c r="R828" i="4"/>
  <c r="R816" i="4"/>
  <c r="R804" i="4"/>
  <c r="R792" i="4"/>
  <c r="R780" i="4"/>
  <c r="R768" i="4"/>
  <c r="R756" i="4"/>
  <c r="R744" i="4"/>
  <c r="R732" i="4"/>
  <c r="R720" i="4"/>
  <c r="R708" i="4"/>
  <c r="R696" i="4"/>
  <c r="R684" i="4"/>
  <c r="R672" i="4"/>
  <c r="R660" i="4"/>
  <c r="R648" i="4"/>
  <c r="R636" i="4"/>
  <c r="R624" i="4"/>
  <c r="R612" i="4"/>
  <c r="R600" i="4"/>
  <c r="R588" i="4"/>
  <c r="R576" i="4"/>
  <c r="R564" i="4"/>
  <c r="R552" i="4"/>
  <c r="R540" i="4"/>
  <c r="R528" i="4"/>
  <c r="R516" i="4"/>
  <c r="R504" i="4"/>
  <c r="R492" i="4"/>
  <c r="R480" i="4"/>
  <c r="R468" i="4"/>
  <c r="R456" i="4"/>
  <c r="R444" i="4"/>
  <c r="R432" i="4"/>
  <c r="R420" i="4"/>
  <c r="R408" i="4"/>
  <c r="R396" i="4"/>
  <c r="R384" i="4"/>
  <c r="R372" i="4"/>
  <c r="R360" i="4"/>
  <c r="R348" i="4"/>
  <c r="R336" i="4"/>
  <c r="R324" i="4"/>
  <c r="R312" i="4"/>
  <c r="R300" i="4"/>
  <c r="R288" i="4"/>
  <c r="R276" i="4"/>
  <c r="R264" i="4"/>
  <c r="R252" i="4"/>
  <c r="R240" i="4"/>
  <c r="R228" i="4"/>
  <c r="R216" i="4"/>
  <c r="R204" i="4"/>
  <c r="R192" i="4"/>
  <c r="R180" i="4"/>
  <c r="R168" i="4"/>
  <c r="R156" i="4"/>
  <c r="R144" i="4"/>
  <c r="R132" i="4"/>
  <c r="R120" i="4"/>
  <c r="R108" i="4"/>
  <c r="R96" i="4"/>
  <c r="R84" i="4"/>
  <c r="R72" i="4"/>
  <c r="R60" i="4"/>
  <c r="R48" i="4"/>
  <c r="R36" i="4"/>
  <c r="R24" i="4"/>
  <c r="R12" i="4"/>
  <c r="Q13" i="4"/>
  <c r="R13" i="4"/>
  <c r="Q98" i="4"/>
  <c r="Q110" i="4"/>
  <c r="Q890" i="4"/>
  <c r="Q806" i="4"/>
  <c r="Q734" i="4"/>
  <c r="Q662" i="4"/>
  <c r="Q602" i="4"/>
  <c r="Q530" i="4"/>
  <c r="Q470" i="4"/>
  <c r="Q410" i="4"/>
  <c r="Q362" i="4"/>
  <c r="Q302" i="4"/>
  <c r="Q254" i="4"/>
  <c r="Q182" i="4"/>
  <c r="Q109" i="4"/>
  <c r="Q889" i="4"/>
  <c r="Q841" i="4"/>
  <c r="Q781" i="4"/>
  <c r="Q733" i="4"/>
  <c r="Q673" i="4"/>
  <c r="Q613" i="4"/>
  <c r="Q577" i="4"/>
  <c r="Q541" i="4"/>
  <c r="Q481" i="4"/>
  <c r="Q433" i="4"/>
  <c r="Q385" i="4"/>
  <c r="Q349" i="4"/>
  <c r="Q289" i="4"/>
  <c r="Q253" i="4"/>
  <c r="Q217" i="4"/>
  <c r="Q205" i="4"/>
  <c r="Q181" i="4"/>
  <c r="Q157" i="4"/>
  <c r="Q133" i="4"/>
  <c r="Q108" i="4"/>
  <c r="Q888" i="4"/>
  <c r="Q876" i="4"/>
  <c r="Q852" i="4"/>
  <c r="Q828" i="4"/>
  <c r="Q804" i="4"/>
  <c r="Q780" i="4"/>
  <c r="Q756" i="4"/>
  <c r="Q732" i="4"/>
  <c r="Q708" i="4"/>
  <c r="Q684" i="4"/>
  <c r="Q660" i="4"/>
  <c r="Q648" i="4"/>
  <c r="Q636" i="4"/>
  <c r="Q612" i="4"/>
  <c r="Q600" i="4"/>
  <c r="Q588" i="4"/>
  <c r="Q576" i="4"/>
  <c r="Q564" i="4"/>
  <c r="Q552" i="4"/>
  <c r="Q540" i="4"/>
  <c r="Q528" i="4"/>
  <c r="Q516" i="4"/>
  <c r="Q504" i="4"/>
  <c r="Q492" i="4"/>
  <c r="Q480" i="4"/>
  <c r="Q468" i="4"/>
  <c r="Q456" i="4"/>
  <c r="Q444" i="4"/>
  <c r="Q432" i="4"/>
  <c r="Q420" i="4"/>
  <c r="Q408" i="4"/>
  <c r="Q396" i="4"/>
  <c r="Q384" i="4"/>
  <c r="Q372" i="4"/>
  <c r="Q360" i="4"/>
  <c r="Q348" i="4"/>
  <c r="Q336" i="4"/>
  <c r="Q324" i="4"/>
  <c r="Q312" i="4"/>
  <c r="Q300" i="4"/>
  <c r="Q288" i="4"/>
  <c r="Q276" i="4"/>
  <c r="Q264" i="4"/>
  <c r="Q252" i="4"/>
  <c r="Q240" i="4"/>
  <c r="Q228" i="4"/>
  <c r="Q216" i="4"/>
  <c r="Q204" i="4"/>
  <c r="Q192" i="4"/>
  <c r="Q180" i="4"/>
  <c r="Q168" i="4"/>
  <c r="Q156" i="4"/>
  <c r="Q144" i="4"/>
  <c r="Q132" i="4"/>
  <c r="Q120" i="4"/>
  <c r="Q60" i="4"/>
  <c r="Q24" i="4"/>
  <c r="Q73" i="4"/>
  <c r="R73" i="4"/>
  <c r="Q878" i="4"/>
  <c r="Q794" i="4"/>
  <c r="Q686" i="4"/>
  <c r="Q626" i="4"/>
  <c r="Q554" i="4"/>
  <c r="Q482" i="4"/>
  <c r="Q434" i="4"/>
  <c r="Q374" i="4"/>
  <c r="Q314" i="4"/>
  <c r="Q242" i="4"/>
  <c r="Q146" i="4"/>
  <c r="Q865" i="4"/>
  <c r="Q817" i="4"/>
  <c r="Q757" i="4"/>
  <c r="Q685" i="4"/>
  <c r="Q625" i="4"/>
  <c r="Q565" i="4"/>
  <c r="Q517" i="4"/>
  <c r="Q457" i="4"/>
  <c r="Q421" i="4"/>
  <c r="Q373" i="4"/>
  <c r="Q337" i="4"/>
  <c r="Q301" i="4"/>
  <c r="Q277" i="4"/>
  <c r="Q229" i="4"/>
  <c r="Q193" i="4"/>
  <c r="Q169" i="4"/>
  <c r="Q145" i="4"/>
  <c r="Q121" i="4"/>
  <c r="Q26" i="4"/>
  <c r="Q900" i="4"/>
  <c r="Q864" i="4"/>
  <c r="Q840" i="4"/>
  <c r="Q816" i="4"/>
  <c r="Q792" i="4"/>
  <c r="Q768" i="4"/>
  <c r="Q744" i="4"/>
  <c r="Q720" i="4"/>
  <c r="Q696" i="4"/>
  <c r="Q672" i="4"/>
  <c r="Q624" i="4"/>
  <c r="R88" i="4"/>
  <c r="R52" i="4"/>
  <c r="Q14" i="4"/>
  <c r="Q37" i="4"/>
  <c r="R37" i="4"/>
  <c r="Q842" i="4"/>
  <c r="Q770" i="4"/>
  <c r="Q722" i="4"/>
  <c r="Q650" i="4"/>
  <c r="Q590" i="4"/>
  <c r="Q518" i="4"/>
  <c r="Q422" i="4"/>
  <c r="Q350" i="4"/>
  <c r="Q290" i="4"/>
  <c r="Q218" i="4"/>
  <c r="Q96" i="4"/>
  <c r="Q901" i="4"/>
  <c r="Q829" i="4"/>
  <c r="Q769" i="4"/>
  <c r="Q709" i="4"/>
  <c r="Q661" i="4"/>
  <c r="Q601" i="4"/>
  <c r="Q553" i="4"/>
  <c r="Q493" i="4"/>
  <c r="Q445" i="4"/>
  <c r="Q397" i="4"/>
  <c r="Q325" i="4"/>
  <c r="Q241" i="4"/>
  <c r="Q49" i="4"/>
  <c r="R49" i="4"/>
  <c r="Q902" i="4"/>
  <c r="Q830" i="4"/>
  <c r="Q746" i="4"/>
  <c r="Q674" i="4"/>
  <c r="Q614" i="4"/>
  <c r="Q578" i="4"/>
  <c r="Q506" i="4"/>
  <c r="Q446" i="4"/>
  <c r="Q386" i="4"/>
  <c r="Q326" i="4"/>
  <c r="Q266" i="4"/>
  <c r="Q206" i="4"/>
  <c r="Q122" i="4"/>
  <c r="Q853" i="4"/>
  <c r="Q805" i="4"/>
  <c r="Q745" i="4"/>
  <c r="Q697" i="4"/>
  <c r="Q637" i="4"/>
  <c r="Q589" i="4"/>
  <c r="Q529" i="4"/>
  <c r="Q469" i="4"/>
  <c r="Q409" i="4"/>
  <c r="Q361" i="4"/>
  <c r="Q313" i="4"/>
  <c r="Q265" i="4"/>
  <c r="Q62" i="4"/>
  <c r="Q74" i="4"/>
  <c r="Q38" i="4"/>
  <c r="R66" i="4"/>
  <c r="Q50" i="4"/>
  <c r="Q61" i="4"/>
  <c r="R61" i="4"/>
  <c r="Q97" i="4"/>
  <c r="Q866" i="4"/>
  <c r="Q818" i="4"/>
  <c r="Q758" i="4"/>
  <c r="Q710" i="4"/>
  <c r="Q638" i="4"/>
  <c r="Q566" i="4"/>
  <c r="Q494" i="4"/>
  <c r="Q458" i="4"/>
  <c r="Q398" i="4"/>
  <c r="Q338" i="4"/>
  <c r="Q278" i="4"/>
  <c r="Q230" i="4"/>
  <c r="Q194" i="4"/>
  <c r="Q170" i="4"/>
  <c r="Q134" i="4"/>
  <c r="Q877" i="4"/>
  <c r="Q793" i="4"/>
  <c r="Q721" i="4"/>
  <c r="Q649" i="4"/>
  <c r="Q505" i="4"/>
  <c r="Q72" i="4"/>
  <c r="Q36" i="4"/>
  <c r="Q86" i="4"/>
  <c r="Q85" i="4"/>
  <c r="R85" i="4"/>
  <c r="Q25" i="4"/>
  <c r="R25" i="4"/>
  <c r="Q854" i="4"/>
  <c r="Q782" i="4"/>
  <c r="Q698" i="4"/>
  <c r="Q542" i="4"/>
  <c r="Q158" i="4"/>
  <c r="Q75" i="4"/>
  <c r="R75" i="4"/>
  <c r="Q63" i="4"/>
  <c r="R63" i="4"/>
  <c r="Q51" i="4"/>
  <c r="R51" i="4"/>
  <c r="Q39" i="4"/>
  <c r="R39" i="4"/>
  <c r="Q27" i="4"/>
  <c r="R27" i="4"/>
  <c r="Q15" i="4"/>
  <c r="R15" i="4"/>
  <c r="R3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K58" i="2" s="1"/>
  <c r="I59" i="2"/>
  <c r="K59" i="2" s="1"/>
  <c r="I60" i="2"/>
  <c r="K60" i="2" s="1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K658" i="2" s="1"/>
  <c r="I659" i="2"/>
  <c r="K659" i="2" s="1"/>
  <c r="I660" i="2"/>
  <c r="K660" i="2" s="1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K766" i="2" s="1"/>
  <c r="I767" i="2"/>
  <c r="K767" i="2" s="1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K863" i="2" s="1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K898" i="2" s="1"/>
  <c r="I899" i="2"/>
  <c r="K899" i="2" s="1"/>
  <c r="I900" i="2"/>
  <c r="I901" i="2"/>
  <c r="I902" i="2"/>
  <c r="I903" i="2"/>
  <c r="I904" i="2"/>
  <c r="I905" i="2"/>
  <c r="I906" i="2"/>
  <c r="I907" i="2"/>
  <c r="I908" i="2"/>
  <c r="I90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K201" i="2" s="1"/>
  <c r="H202" i="2"/>
  <c r="H203" i="2"/>
  <c r="K203" i="2" s="1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K370" i="2" s="1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K443" i="2" s="1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K477" i="2" s="1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K528" i="2" s="1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K695" i="2" s="1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K143" i="2" s="1"/>
  <c r="G144" i="2"/>
  <c r="K144" i="2" s="1"/>
  <c r="G145" i="2"/>
  <c r="K145" i="2" s="1"/>
  <c r="G146" i="2"/>
  <c r="K146" i="2" s="1"/>
  <c r="G147" i="2"/>
  <c r="G148" i="2"/>
  <c r="G149" i="2"/>
  <c r="G150" i="2"/>
  <c r="G151" i="2"/>
  <c r="G152" i="2"/>
  <c r="G153" i="2"/>
  <c r="G154" i="2"/>
  <c r="G155" i="2"/>
  <c r="G156" i="2"/>
  <c r="K156" i="2" s="1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K179" i="2" s="1"/>
  <c r="G180" i="2"/>
  <c r="K180" i="2" s="1"/>
  <c r="G181" i="2"/>
  <c r="K181" i="2" s="1"/>
  <c r="G182" i="2"/>
  <c r="G183" i="2"/>
  <c r="G184" i="2"/>
  <c r="G185" i="2"/>
  <c r="G186" i="2"/>
  <c r="G187" i="2"/>
  <c r="G188" i="2"/>
  <c r="G189" i="2"/>
  <c r="G190" i="2"/>
  <c r="G191" i="2"/>
  <c r="K191" i="2" s="1"/>
  <c r="G192" i="2"/>
  <c r="K192" i="2" s="1"/>
  <c r="G193" i="2"/>
  <c r="K193" i="2" s="1"/>
  <c r="G194" i="2"/>
  <c r="K194" i="2" s="1"/>
  <c r="G195" i="2"/>
  <c r="G196" i="2"/>
  <c r="G197" i="2"/>
  <c r="G198" i="2"/>
  <c r="G199" i="2"/>
  <c r="G200" i="2"/>
  <c r="G201" i="2"/>
  <c r="G202" i="2"/>
  <c r="G203" i="2"/>
  <c r="G204" i="2"/>
  <c r="G205" i="2"/>
  <c r="K205" i="2" s="1"/>
  <c r="G206" i="2"/>
  <c r="K206" i="2" s="1"/>
  <c r="G207" i="2"/>
  <c r="G208" i="2"/>
  <c r="G209" i="2"/>
  <c r="G210" i="2"/>
  <c r="G211" i="2"/>
  <c r="G212" i="2"/>
  <c r="G213" i="2"/>
  <c r="K213" i="2" s="1"/>
  <c r="G214" i="2"/>
  <c r="K214" i="2" s="1"/>
  <c r="G215" i="2"/>
  <c r="K215" i="2" s="1"/>
  <c r="G216" i="2"/>
  <c r="K216" i="2" s="1"/>
  <c r="G217" i="2"/>
  <c r="G218" i="2"/>
  <c r="K218" i="2" s="1"/>
  <c r="G219" i="2"/>
  <c r="G220" i="2"/>
  <c r="G221" i="2"/>
  <c r="G222" i="2"/>
  <c r="G223" i="2"/>
  <c r="G224" i="2"/>
  <c r="G225" i="2"/>
  <c r="K225" i="2" s="1"/>
  <c r="G226" i="2"/>
  <c r="K226" i="2" s="1"/>
  <c r="G227" i="2"/>
  <c r="K227" i="2" s="1"/>
  <c r="G228" i="2"/>
  <c r="G229" i="2"/>
  <c r="K229" i="2" s="1"/>
  <c r="G230" i="2"/>
  <c r="G231" i="2"/>
  <c r="G232" i="2"/>
  <c r="G233" i="2"/>
  <c r="G234" i="2"/>
  <c r="G235" i="2"/>
  <c r="G236" i="2"/>
  <c r="G237" i="2"/>
  <c r="G238" i="2"/>
  <c r="K238" i="2" s="1"/>
  <c r="G239" i="2"/>
  <c r="G240" i="2"/>
  <c r="G241" i="2"/>
  <c r="G242" i="2"/>
  <c r="K242" i="2" s="1"/>
  <c r="G243" i="2"/>
  <c r="G244" i="2"/>
  <c r="G245" i="2"/>
  <c r="G246" i="2"/>
  <c r="G247" i="2"/>
  <c r="G248" i="2"/>
  <c r="G249" i="2"/>
  <c r="G250" i="2"/>
  <c r="G251" i="2"/>
  <c r="G252" i="2"/>
  <c r="G253" i="2"/>
  <c r="G254" i="2"/>
  <c r="K254" i="2" s="1"/>
  <c r="G255" i="2"/>
  <c r="G256" i="2"/>
  <c r="G257" i="2"/>
  <c r="G258" i="2"/>
  <c r="G259" i="2"/>
  <c r="G260" i="2"/>
  <c r="G261" i="2"/>
  <c r="K261" i="2" s="1"/>
  <c r="G262" i="2"/>
  <c r="K262" i="2" s="1"/>
  <c r="G263" i="2"/>
  <c r="G264" i="2"/>
  <c r="G265" i="2"/>
  <c r="K265" i="2" s="1"/>
  <c r="G266" i="2"/>
  <c r="K266" i="2" s="1"/>
  <c r="G267" i="2"/>
  <c r="G268" i="2"/>
  <c r="G269" i="2"/>
  <c r="G270" i="2"/>
  <c r="G271" i="2"/>
  <c r="G272" i="2"/>
  <c r="G273" i="2"/>
  <c r="K273" i="2" s="1"/>
  <c r="G274" i="2"/>
  <c r="K274" i="2" s="1"/>
  <c r="G275" i="2"/>
  <c r="K275" i="2" s="1"/>
  <c r="G276" i="2"/>
  <c r="G277" i="2"/>
  <c r="G278" i="2"/>
  <c r="G279" i="2"/>
  <c r="G280" i="2"/>
  <c r="G281" i="2"/>
  <c r="G282" i="2"/>
  <c r="G283" i="2"/>
  <c r="G284" i="2"/>
  <c r="G285" i="2"/>
  <c r="G286" i="2"/>
  <c r="G287" i="2"/>
  <c r="K287" i="2" s="1"/>
  <c r="G288" i="2"/>
  <c r="K288" i="2" s="1"/>
  <c r="G289" i="2"/>
  <c r="K289" i="2" s="1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K310" i="2" s="1"/>
  <c r="G311" i="2"/>
  <c r="G312" i="2"/>
  <c r="K312" i="2" s="1"/>
  <c r="G313" i="2"/>
  <c r="K313" i="2" s="1"/>
  <c r="G314" i="2"/>
  <c r="K314" i="2" s="1"/>
  <c r="G315" i="2"/>
  <c r="G316" i="2"/>
  <c r="G317" i="2"/>
  <c r="G318" i="2"/>
  <c r="G319" i="2"/>
  <c r="G320" i="2"/>
  <c r="G321" i="2"/>
  <c r="K321" i="2" s="1"/>
  <c r="G322" i="2"/>
  <c r="G323" i="2"/>
  <c r="K323" i="2" s="1"/>
  <c r="G324" i="2"/>
  <c r="K324" i="2" s="1"/>
  <c r="G325" i="2"/>
  <c r="K325" i="2" s="1"/>
  <c r="G326" i="2"/>
  <c r="K326" i="2" s="1"/>
  <c r="G327" i="2"/>
  <c r="G328" i="2"/>
  <c r="G329" i="2"/>
  <c r="G330" i="2"/>
  <c r="G331" i="2"/>
  <c r="G332" i="2"/>
  <c r="G333" i="2"/>
  <c r="K333" i="2" s="1"/>
  <c r="G334" i="2"/>
  <c r="K334" i="2" s="1"/>
  <c r="G335" i="2"/>
  <c r="K335" i="2" s="1"/>
  <c r="G336" i="2"/>
  <c r="K336" i="2" s="1"/>
  <c r="G337" i="2"/>
  <c r="G338" i="2"/>
  <c r="K338" i="2" s="1"/>
  <c r="G339" i="2"/>
  <c r="G340" i="2"/>
  <c r="G341" i="2"/>
  <c r="G342" i="2"/>
  <c r="G343" i="2"/>
  <c r="G344" i="2"/>
  <c r="G345" i="2"/>
  <c r="K345" i="2" s="1"/>
  <c r="G346" i="2"/>
  <c r="G347" i="2"/>
  <c r="K347" i="2" s="1"/>
  <c r="G348" i="2"/>
  <c r="K348" i="2" s="1"/>
  <c r="G349" i="2"/>
  <c r="K349" i="2" s="1"/>
  <c r="G350" i="2"/>
  <c r="K350" i="2" s="1"/>
  <c r="G351" i="2"/>
  <c r="G352" i="2"/>
  <c r="G353" i="2"/>
  <c r="G354" i="2"/>
  <c r="G355" i="2"/>
  <c r="G356" i="2"/>
  <c r="G357" i="2"/>
  <c r="G358" i="2"/>
  <c r="G359" i="2"/>
  <c r="K359" i="2" s="1"/>
  <c r="G360" i="2"/>
  <c r="K360" i="2" s="1"/>
  <c r="G361" i="2"/>
  <c r="K361" i="2" s="1"/>
  <c r="G362" i="2"/>
  <c r="K362" i="2" s="1"/>
  <c r="G363" i="2"/>
  <c r="G364" i="2"/>
  <c r="G365" i="2"/>
  <c r="G366" i="2"/>
  <c r="G367" i="2"/>
  <c r="G368" i="2"/>
  <c r="G369" i="2"/>
  <c r="G370" i="2"/>
  <c r="G371" i="2"/>
  <c r="G372" i="2"/>
  <c r="G373" i="2"/>
  <c r="K373" i="2" s="1"/>
  <c r="G374" i="2"/>
  <c r="G375" i="2"/>
  <c r="G376" i="2"/>
  <c r="G377" i="2"/>
  <c r="G378" i="2"/>
  <c r="G379" i="2"/>
  <c r="G380" i="2"/>
  <c r="G381" i="2"/>
  <c r="G382" i="2"/>
  <c r="K382" i="2" s="1"/>
  <c r="G383" i="2"/>
  <c r="G384" i="2"/>
  <c r="K384" i="2" s="1"/>
  <c r="G385" i="2"/>
  <c r="K385" i="2" s="1"/>
  <c r="G386" i="2"/>
  <c r="G387" i="2"/>
  <c r="G388" i="2"/>
  <c r="G389" i="2"/>
  <c r="G390" i="2"/>
  <c r="G391" i="2"/>
  <c r="G392" i="2"/>
  <c r="G393" i="2"/>
  <c r="K393" i="2" s="1"/>
  <c r="G394" i="2"/>
  <c r="K394" i="2" s="1"/>
  <c r="G395" i="2"/>
  <c r="G396" i="2"/>
  <c r="G397" i="2"/>
  <c r="K397" i="2" s="1"/>
  <c r="G398" i="2"/>
  <c r="K398" i="2" s="1"/>
  <c r="G399" i="2"/>
  <c r="G400" i="2"/>
  <c r="G401" i="2"/>
  <c r="G402" i="2"/>
  <c r="G403" i="2"/>
  <c r="G404" i="2"/>
  <c r="G405" i="2"/>
  <c r="K405" i="2" s="1"/>
  <c r="G406" i="2"/>
  <c r="K406" i="2" s="1"/>
  <c r="G407" i="2"/>
  <c r="K407" i="2" s="1"/>
  <c r="G408" i="2"/>
  <c r="K408" i="2" s="1"/>
  <c r="G409" i="2"/>
  <c r="K409" i="2" s="1"/>
  <c r="G410" i="2"/>
  <c r="G411" i="2"/>
  <c r="G412" i="2"/>
  <c r="G413" i="2"/>
  <c r="G414" i="2"/>
  <c r="G415" i="2"/>
  <c r="G416" i="2"/>
  <c r="G417" i="2"/>
  <c r="G418" i="2"/>
  <c r="G419" i="2"/>
  <c r="K419" i="2" s="1"/>
  <c r="G420" i="2"/>
  <c r="G421" i="2"/>
  <c r="K421" i="2" s="1"/>
  <c r="G422" i="2"/>
  <c r="K422" i="2" s="1"/>
  <c r="G423" i="2"/>
  <c r="G424" i="2"/>
  <c r="G425" i="2"/>
  <c r="G426" i="2"/>
  <c r="G427" i="2"/>
  <c r="G428" i="2"/>
  <c r="G429" i="2"/>
  <c r="G430" i="2"/>
  <c r="G431" i="2"/>
  <c r="G432" i="2"/>
  <c r="K432" i="2" s="1"/>
  <c r="G433" i="2"/>
  <c r="K433" i="2" s="1"/>
  <c r="G434" i="2"/>
  <c r="K434" i="2" s="1"/>
  <c r="G435" i="2"/>
  <c r="G436" i="2"/>
  <c r="G437" i="2"/>
  <c r="G438" i="2"/>
  <c r="G439" i="2"/>
  <c r="G440" i="2"/>
  <c r="G441" i="2"/>
  <c r="G442" i="2"/>
  <c r="G443" i="2"/>
  <c r="G444" i="2"/>
  <c r="G445" i="2"/>
  <c r="G446" i="2"/>
  <c r="K446" i="2" s="1"/>
  <c r="G447" i="2"/>
  <c r="G448" i="2"/>
  <c r="G449" i="2"/>
  <c r="G450" i="2"/>
  <c r="G451" i="2"/>
  <c r="G452" i="2"/>
  <c r="G453" i="2"/>
  <c r="K453" i="2" s="1"/>
  <c r="G454" i="2"/>
  <c r="K454" i="2" s="1"/>
  <c r="G455" i="2"/>
  <c r="K455" i="2" s="1"/>
  <c r="G456" i="2"/>
  <c r="G457" i="2"/>
  <c r="G458" i="2"/>
  <c r="G459" i="2"/>
  <c r="G460" i="2"/>
  <c r="G461" i="2"/>
  <c r="G462" i="2"/>
  <c r="G463" i="2"/>
  <c r="G464" i="2"/>
  <c r="G465" i="2"/>
  <c r="G466" i="2"/>
  <c r="K466" i="2" s="1"/>
  <c r="G467" i="2"/>
  <c r="G468" i="2"/>
  <c r="G469" i="2"/>
  <c r="K469" i="2" s="1"/>
  <c r="G470" i="2"/>
  <c r="K470" i="2" s="1"/>
  <c r="G471" i="2"/>
  <c r="G472" i="2"/>
  <c r="G473" i="2"/>
  <c r="G474" i="2"/>
  <c r="G475" i="2"/>
  <c r="G476" i="2"/>
  <c r="G477" i="2"/>
  <c r="G478" i="2"/>
  <c r="G479" i="2"/>
  <c r="G480" i="2"/>
  <c r="K480" i="2" s="1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K494" i="2" s="1"/>
  <c r="G495" i="2"/>
  <c r="G496" i="2"/>
  <c r="G497" i="2"/>
  <c r="G498" i="2"/>
  <c r="G499" i="2"/>
  <c r="G500" i="2"/>
  <c r="G501" i="2"/>
  <c r="G502" i="2"/>
  <c r="G503" i="2"/>
  <c r="K503" i="2" s="1"/>
  <c r="G504" i="2"/>
  <c r="G505" i="2"/>
  <c r="G506" i="2"/>
  <c r="G507" i="2"/>
  <c r="G508" i="2"/>
  <c r="G509" i="2"/>
  <c r="G510" i="2"/>
  <c r="G511" i="2"/>
  <c r="G512" i="2"/>
  <c r="G513" i="2"/>
  <c r="G514" i="2"/>
  <c r="G515" i="2"/>
  <c r="K515" i="2" s="1"/>
  <c r="G516" i="2"/>
  <c r="K516" i="2" s="1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K530" i="2" s="1"/>
  <c r="G531" i="2"/>
  <c r="G532" i="2"/>
  <c r="G533" i="2"/>
  <c r="G534" i="2"/>
  <c r="G535" i="2"/>
  <c r="G536" i="2"/>
  <c r="G537" i="2"/>
  <c r="K537" i="2" s="1"/>
  <c r="G538" i="2"/>
  <c r="K538" i="2" s="1"/>
  <c r="G539" i="2"/>
  <c r="K539" i="2" s="1"/>
  <c r="G540" i="2"/>
  <c r="G541" i="2"/>
  <c r="K541" i="2" s="1"/>
  <c r="G542" i="2"/>
  <c r="K542" i="2" s="1"/>
  <c r="G543" i="2"/>
  <c r="G544" i="2"/>
  <c r="G545" i="2"/>
  <c r="G546" i="2"/>
  <c r="G547" i="2"/>
  <c r="G548" i="2"/>
  <c r="G549" i="2"/>
  <c r="G550" i="2"/>
  <c r="K550" i="2" s="1"/>
  <c r="G551" i="2"/>
  <c r="K551" i="2" s="1"/>
  <c r="G552" i="2"/>
  <c r="K552" i="2" s="1"/>
  <c r="G553" i="2"/>
  <c r="K553" i="2" s="1"/>
  <c r="G554" i="2"/>
  <c r="K554" i="2" s="1"/>
  <c r="G555" i="2"/>
  <c r="G556" i="2"/>
  <c r="G557" i="2"/>
  <c r="G558" i="2"/>
  <c r="G559" i="2"/>
  <c r="G560" i="2"/>
  <c r="G561" i="2"/>
  <c r="G562" i="2"/>
  <c r="G563" i="2"/>
  <c r="G564" i="2"/>
  <c r="G565" i="2"/>
  <c r="K565" i="2" s="1"/>
  <c r="G566" i="2"/>
  <c r="K566" i="2" s="1"/>
  <c r="G567" i="2"/>
  <c r="G568" i="2"/>
  <c r="G569" i="2"/>
  <c r="G570" i="2"/>
  <c r="G571" i="2"/>
  <c r="G572" i="2"/>
  <c r="G573" i="2"/>
  <c r="G574" i="2"/>
  <c r="G575" i="2"/>
  <c r="G576" i="2"/>
  <c r="K576" i="2" s="1"/>
  <c r="G577" i="2"/>
  <c r="K577" i="2" s="1"/>
  <c r="G578" i="2"/>
  <c r="G579" i="2"/>
  <c r="G580" i="2"/>
  <c r="G581" i="2"/>
  <c r="G582" i="2"/>
  <c r="G583" i="2"/>
  <c r="G584" i="2"/>
  <c r="G585" i="2"/>
  <c r="K585" i="2" s="1"/>
  <c r="G586" i="2"/>
  <c r="G587" i="2"/>
  <c r="K587" i="2" s="1"/>
  <c r="G588" i="2"/>
  <c r="G589" i="2"/>
  <c r="K589" i="2" s="1"/>
  <c r="G590" i="2"/>
  <c r="K590" i="2" s="1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K635" i="2" s="1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2" i="2"/>
  <c r="G28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K245" i="1" s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K305" i="1" s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K389" i="1" s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K449" i="1" s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K521" i="1" s="1"/>
  <c r="G522" i="1"/>
  <c r="G523" i="1"/>
  <c r="G524" i="1"/>
  <c r="G525" i="1"/>
  <c r="G526" i="1"/>
  <c r="G527" i="1"/>
  <c r="G528" i="1"/>
  <c r="G529" i="1"/>
  <c r="G530" i="1"/>
  <c r="G531" i="1"/>
  <c r="K531" i="1" s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K555" i="1" s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K579" i="1" s="1"/>
  <c r="G580" i="1"/>
  <c r="K580" i="1" s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K603" i="1" s="1"/>
  <c r="G604" i="1"/>
  <c r="G605" i="1"/>
  <c r="K605" i="1" s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K628" i="1" s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K687" i="1" s="1"/>
  <c r="G688" i="1"/>
  <c r="K688" i="1" s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K711" i="1" s="1"/>
  <c r="G712" i="1"/>
  <c r="K712" i="1" s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K725" i="1" s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K749" i="1" s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K772" i="1" s="1"/>
  <c r="G773" i="1"/>
  <c r="K773" i="1" s="1"/>
  <c r="G774" i="1"/>
  <c r="G775" i="1"/>
  <c r="G776" i="1"/>
  <c r="G777" i="1"/>
  <c r="G778" i="1"/>
  <c r="G779" i="1"/>
  <c r="G780" i="1"/>
  <c r="G781" i="1"/>
  <c r="G782" i="1"/>
  <c r="G783" i="1"/>
  <c r="K783" i="1" s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K796" i="1" s="1"/>
  <c r="G797" i="1"/>
  <c r="K797" i="1" s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K821" i="1" s="1"/>
  <c r="G822" i="1"/>
  <c r="G823" i="1"/>
  <c r="G824" i="1"/>
  <c r="G825" i="1"/>
  <c r="G826" i="1"/>
  <c r="G827" i="1"/>
  <c r="G828" i="1"/>
  <c r="G829" i="1"/>
  <c r="G830" i="1"/>
  <c r="G831" i="1"/>
  <c r="K831" i="1" s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K844" i="1" s="1"/>
  <c r="G845" i="1"/>
  <c r="K845" i="1" s="1"/>
  <c r="G846" i="1"/>
  <c r="G847" i="1"/>
  <c r="G848" i="1"/>
  <c r="G849" i="1"/>
  <c r="G850" i="1"/>
  <c r="G851" i="1"/>
  <c r="G852" i="1"/>
  <c r="G853" i="1"/>
  <c r="G854" i="1"/>
  <c r="G855" i="1"/>
  <c r="K855" i="1" s="1"/>
  <c r="G856" i="1"/>
  <c r="K856" i="1" s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K869" i="1" s="1"/>
  <c r="G870" i="1"/>
  <c r="G871" i="1"/>
  <c r="G872" i="1"/>
  <c r="G873" i="1"/>
  <c r="G874" i="1"/>
  <c r="G875" i="1"/>
  <c r="G876" i="1"/>
  <c r="G877" i="1"/>
  <c r="G878" i="1"/>
  <c r="G879" i="1"/>
  <c r="K879" i="1" s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K893" i="1" s="1"/>
  <c r="G894" i="1"/>
  <c r="G895" i="1"/>
  <c r="G896" i="1"/>
  <c r="G897" i="1"/>
  <c r="G898" i="1"/>
  <c r="G899" i="1"/>
  <c r="G900" i="1"/>
  <c r="G901" i="1"/>
  <c r="G902" i="1"/>
  <c r="G903" i="1"/>
  <c r="K903" i="1" s="1"/>
  <c r="G904" i="1"/>
  <c r="K904" i="1" s="1"/>
  <c r="G905" i="1"/>
  <c r="G906" i="1"/>
  <c r="G907" i="1"/>
  <c r="G908" i="1"/>
  <c r="G909" i="1"/>
  <c r="G2" i="1"/>
  <c r="K221" i="2"/>
  <c r="K94" i="2"/>
  <c r="K147" i="2"/>
  <c r="K148" i="2"/>
  <c r="K149" i="2"/>
  <c r="K151" i="2"/>
  <c r="K152" i="2"/>
  <c r="K153" i="2"/>
  <c r="K160" i="2"/>
  <c r="K163" i="2"/>
  <c r="K164" i="2"/>
  <c r="K165" i="2"/>
  <c r="K166" i="2"/>
  <c r="K167" i="2"/>
  <c r="K173" i="2"/>
  <c r="K175" i="2"/>
  <c r="K185" i="2"/>
  <c r="K188" i="2"/>
  <c r="K189" i="2"/>
  <c r="K190" i="2"/>
  <c r="K195" i="2"/>
  <c r="K197" i="2"/>
  <c r="K199" i="2"/>
  <c r="K200" i="2"/>
  <c r="K202" i="2"/>
  <c r="K204" i="2"/>
  <c r="K208" i="2"/>
  <c r="K209" i="2"/>
  <c r="K212" i="2"/>
  <c r="K219" i="2"/>
  <c r="K220" i="2"/>
  <c r="K223" i="2"/>
  <c r="K224" i="2"/>
  <c r="K231" i="2"/>
  <c r="K232" i="2"/>
  <c r="K233" i="2"/>
  <c r="K236" i="2"/>
  <c r="K243" i="2"/>
  <c r="K245" i="2"/>
  <c r="K247" i="2"/>
  <c r="K250" i="2"/>
  <c r="K251" i="2"/>
  <c r="K252" i="2"/>
  <c r="K256" i="2"/>
  <c r="K257" i="2"/>
  <c r="K259" i="2"/>
  <c r="K260" i="2"/>
  <c r="K267" i="2"/>
  <c r="K268" i="2"/>
  <c r="K269" i="2"/>
  <c r="K271" i="2"/>
  <c r="K272" i="2"/>
  <c r="K279" i="2"/>
  <c r="K280" i="2"/>
  <c r="K283" i="2"/>
  <c r="K284" i="2"/>
  <c r="K285" i="2"/>
  <c r="K291" i="2"/>
  <c r="K295" i="2"/>
  <c r="K297" i="2"/>
  <c r="K298" i="2"/>
  <c r="K299" i="2"/>
  <c r="K300" i="2"/>
  <c r="K301" i="2"/>
  <c r="K303" i="2"/>
  <c r="K304" i="2"/>
  <c r="K307" i="2"/>
  <c r="K308" i="2"/>
  <c r="K315" i="2"/>
  <c r="K316" i="2"/>
  <c r="K317" i="2"/>
  <c r="K319" i="2"/>
  <c r="K320" i="2"/>
  <c r="K327" i="2"/>
  <c r="K328" i="2"/>
  <c r="K329" i="2"/>
  <c r="K331" i="2"/>
  <c r="K332" i="2"/>
  <c r="K339" i="2"/>
  <c r="K342" i="2"/>
  <c r="K343" i="2"/>
  <c r="K344" i="2"/>
  <c r="K351" i="2"/>
  <c r="K352" i="2"/>
  <c r="K353" i="2"/>
  <c r="K356" i="2"/>
  <c r="K357" i="2"/>
  <c r="K358" i="2"/>
  <c r="K363" i="2"/>
  <c r="K364" i="2"/>
  <c r="K365" i="2"/>
  <c r="K366" i="2"/>
  <c r="K367" i="2"/>
  <c r="K371" i="2"/>
  <c r="K372" i="2"/>
  <c r="K375" i="2"/>
  <c r="K377" i="2"/>
  <c r="K380" i="2"/>
  <c r="K387" i="2"/>
  <c r="K388" i="2"/>
  <c r="K390" i="2"/>
  <c r="K392" i="2"/>
  <c r="K399" i="2"/>
  <c r="K400" i="2"/>
  <c r="K402" i="2"/>
  <c r="K403" i="2"/>
  <c r="K404" i="2"/>
  <c r="K411" i="2"/>
  <c r="K412" i="2"/>
  <c r="K414" i="2"/>
  <c r="K417" i="2"/>
  <c r="K418" i="2"/>
  <c r="K423" i="2"/>
  <c r="K424" i="2"/>
  <c r="K425" i="2"/>
  <c r="K426" i="2"/>
  <c r="K427" i="2"/>
  <c r="K428" i="2"/>
  <c r="K429" i="2"/>
  <c r="K430" i="2"/>
  <c r="K436" i="2"/>
  <c r="K438" i="2"/>
  <c r="K439" i="2"/>
  <c r="K440" i="2"/>
  <c r="K441" i="2"/>
  <c r="K442" i="2"/>
  <c r="K444" i="2"/>
  <c r="K447" i="2"/>
  <c r="K448" i="2"/>
  <c r="K450" i="2"/>
  <c r="K452" i="2"/>
  <c r="K461" i="2"/>
  <c r="K462" i="2"/>
  <c r="K473" i="2"/>
  <c r="K474" i="2"/>
  <c r="K476" i="2"/>
  <c r="K478" i="2"/>
  <c r="K479" i="2"/>
  <c r="K484" i="2"/>
  <c r="K485" i="2"/>
  <c r="K486" i="2"/>
  <c r="K488" i="2"/>
  <c r="K489" i="2"/>
  <c r="K490" i="2"/>
  <c r="K491" i="2"/>
  <c r="K492" i="2"/>
  <c r="K495" i="2"/>
  <c r="K496" i="2"/>
  <c r="K499" i="2"/>
  <c r="K500" i="2"/>
  <c r="K507" i="2"/>
  <c r="K509" i="2"/>
  <c r="K512" i="2"/>
  <c r="K513" i="2"/>
  <c r="K514" i="2"/>
  <c r="K519" i="2"/>
  <c r="K520" i="2"/>
  <c r="K523" i="2"/>
  <c r="K524" i="2"/>
  <c r="K526" i="2"/>
  <c r="K531" i="2"/>
  <c r="K534" i="2"/>
  <c r="K543" i="2"/>
  <c r="K544" i="2"/>
  <c r="K545" i="2"/>
  <c r="K546" i="2"/>
  <c r="K548" i="2"/>
  <c r="K555" i="2"/>
  <c r="K557" i="2"/>
  <c r="K558" i="2"/>
  <c r="K560" i="2"/>
  <c r="K561" i="2"/>
  <c r="K562" i="2"/>
  <c r="K563" i="2"/>
  <c r="K569" i="2"/>
  <c r="K570" i="2"/>
  <c r="K571" i="2"/>
  <c r="K579" i="2"/>
  <c r="K581" i="2"/>
  <c r="K583" i="2"/>
  <c r="K595" i="2"/>
  <c r="K596" i="2"/>
  <c r="K597" i="2"/>
  <c r="K634" i="2"/>
  <c r="K651" i="2"/>
  <c r="K680" i="2"/>
  <c r="K711" i="2"/>
  <c r="K790" i="2"/>
  <c r="K791" i="2"/>
  <c r="K810" i="2"/>
  <c r="K836" i="2"/>
  <c r="K862" i="2"/>
  <c r="K2" i="2"/>
  <c r="K4" i="1"/>
  <c r="K5" i="1"/>
  <c r="K8" i="1"/>
  <c r="K19" i="1"/>
  <c r="K27" i="1"/>
  <c r="K28" i="1"/>
  <c r="K29" i="1"/>
  <c r="K30" i="1"/>
  <c r="K31" i="1"/>
  <c r="K32" i="1"/>
  <c r="K44" i="1"/>
  <c r="K52" i="1"/>
  <c r="K53" i="1"/>
  <c r="K54" i="1"/>
  <c r="K55" i="1"/>
  <c r="K56" i="1"/>
  <c r="K63" i="1"/>
  <c r="K68" i="1"/>
  <c r="K77" i="1"/>
  <c r="K78" i="1"/>
  <c r="K79" i="1"/>
  <c r="K80" i="1"/>
  <c r="K87" i="1"/>
  <c r="K90" i="1"/>
  <c r="K91" i="1"/>
  <c r="K92" i="1"/>
  <c r="K100" i="1"/>
  <c r="K103" i="1"/>
  <c r="K104" i="1"/>
  <c r="K111" i="1"/>
  <c r="K114" i="1"/>
  <c r="K115" i="1"/>
  <c r="K116" i="1"/>
  <c r="K136" i="1"/>
  <c r="K139" i="1"/>
  <c r="K140" i="1"/>
  <c r="K147" i="1"/>
  <c r="K148" i="1"/>
  <c r="K149" i="1"/>
  <c r="K163" i="1"/>
  <c r="K171" i="1"/>
  <c r="K172" i="1"/>
  <c r="K173" i="1"/>
  <c r="K174" i="1"/>
  <c r="K175" i="1"/>
  <c r="K176" i="1"/>
  <c r="K185" i="1"/>
  <c r="K188" i="1"/>
  <c r="K189" i="1"/>
  <c r="K195" i="1"/>
  <c r="K196" i="1"/>
  <c r="K197" i="1"/>
  <c r="K198" i="1"/>
  <c r="K211" i="1"/>
  <c r="K212" i="1"/>
  <c r="K219" i="1"/>
  <c r="K220" i="1"/>
  <c r="K221" i="1"/>
  <c r="K222" i="1"/>
  <c r="K223" i="1"/>
  <c r="K232" i="1"/>
  <c r="K233" i="1"/>
  <c r="K243" i="1"/>
  <c r="K246" i="1"/>
  <c r="K247" i="1"/>
  <c r="K248" i="1"/>
  <c r="K257" i="1"/>
  <c r="K258" i="1"/>
  <c r="K259" i="1"/>
  <c r="K260" i="1"/>
  <c r="K269" i="1"/>
  <c r="K279" i="1"/>
  <c r="K282" i="1"/>
  <c r="K283" i="1"/>
  <c r="K284" i="1"/>
  <c r="K291" i="1"/>
  <c r="K292" i="1"/>
  <c r="K293" i="1"/>
  <c r="K296" i="1"/>
  <c r="K306" i="1"/>
  <c r="K307" i="1"/>
  <c r="K315" i="1"/>
  <c r="K316" i="1"/>
  <c r="K317" i="1"/>
  <c r="K318" i="1"/>
  <c r="K320" i="1"/>
  <c r="K329" i="1"/>
  <c r="K332" i="1"/>
  <c r="K333" i="1"/>
  <c r="K339" i="1"/>
  <c r="K340" i="1"/>
  <c r="K341" i="1"/>
  <c r="K342" i="1"/>
  <c r="K355" i="1"/>
  <c r="K356" i="1"/>
  <c r="K363" i="1"/>
  <c r="K364" i="1"/>
  <c r="K365" i="1"/>
  <c r="K366" i="1"/>
  <c r="K367" i="1"/>
  <c r="K376" i="1"/>
  <c r="K377" i="1"/>
  <c r="K387" i="1"/>
  <c r="K390" i="1"/>
  <c r="K391" i="1"/>
  <c r="K392" i="1"/>
  <c r="K401" i="1"/>
  <c r="K402" i="1"/>
  <c r="K403" i="1"/>
  <c r="K404" i="1"/>
  <c r="K413" i="1"/>
  <c r="K423" i="1"/>
  <c r="K426" i="1"/>
  <c r="K427" i="1"/>
  <c r="K428" i="1"/>
  <c r="K435" i="1"/>
  <c r="K436" i="1"/>
  <c r="K437" i="1"/>
  <c r="K440" i="1"/>
  <c r="K450" i="1"/>
  <c r="K451" i="1"/>
  <c r="K459" i="1"/>
  <c r="K460" i="1"/>
  <c r="K461" i="1"/>
  <c r="K462" i="1"/>
  <c r="K464" i="1"/>
  <c r="K483" i="1"/>
  <c r="K484" i="1"/>
  <c r="K485" i="1"/>
  <c r="K486" i="1"/>
  <c r="K487" i="1"/>
  <c r="K499" i="1"/>
  <c r="K507" i="1"/>
  <c r="K508" i="1"/>
  <c r="K509" i="1"/>
  <c r="K510" i="1"/>
  <c r="K511" i="1"/>
  <c r="K512" i="1"/>
  <c r="K532" i="1"/>
  <c r="K533" i="1"/>
  <c r="K534" i="1"/>
  <c r="K535" i="1"/>
  <c r="K536" i="1"/>
  <c r="K537" i="1"/>
  <c r="K547" i="1"/>
  <c r="K556" i="1"/>
  <c r="K557" i="1"/>
  <c r="K558" i="1"/>
  <c r="K559" i="1"/>
  <c r="K567" i="1"/>
  <c r="K569" i="1"/>
  <c r="K581" i="1"/>
  <c r="K582" i="1"/>
  <c r="K583" i="1"/>
  <c r="K584" i="1"/>
  <c r="K592" i="1"/>
  <c r="K593" i="1"/>
  <c r="K604" i="1"/>
  <c r="K607" i="1"/>
  <c r="K608" i="1"/>
  <c r="K615" i="1"/>
  <c r="K617" i="1"/>
  <c r="K618" i="1"/>
  <c r="K619" i="1"/>
  <c r="K620" i="1"/>
  <c r="K629" i="1"/>
  <c r="K639" i="1"/>
  <c r="K640" i="1"/>
  <c r="K642" i="1"/>
  <c r="K643" i="1"/>
  <c r="K644" i="1"/>
  <c r="K651" i="1"/>
  <c r="K655" i="1"/>
  <c r="K663" i="1"/>
  <c r="K665" i="1"/>
  <c r="K666" i="1"/>
  <c r="K667" i="1"/>
  <c r="K675" i="1"/>
  <c r="K676" i="1"/>
  <c r="K680" i="1"/>
  <c r="K689" i="1"/>
  <c r="K690" i="1"/>
  <c r="K691" i="1"/>
  <c r="K692" i="1"/>
  <c r="K693" i="1"/>
  <c r="K699" i="1"/>
  <c r="K703" i="1"/>
  <c r="K713" i="1"/>
  <c r="K714" i="1"/>
  <c r="K715" i="1"/>
  <c r="K716" i="1"/>
  <c r="K717" i="1"/>
  <c r="K723" i="1"/>
  <c r="K727" i="1"/>
  <c r="K735" i="1"/>
  <c r="K736" i="1"/>
  <c r="K737" i="1"/>
  <c r="K738" i="1"/>
  <c r="K739" i="1"/>
  <c r="K747" i="1"/>
  <c r="K751" i="1"/>
  <c r="K759" i="1"/>
  <c r="K760" i="1"/>
  <c r="K761" i="1"/>
  <c r="K762" i="1"/>
  <c r="K763" i="1"/>
  <c r="K764" i="1"/>
  <c r="K784" i="1"/>
  <c r="K785" i="1"/>
  <c r="K786" i="1"/>
  <c r="K787" i="1"/>
  <c r="K788" i="1"/>
  <c r="K789" i="1"/>
  <c r="K807" i="1"/>
  <c r="K808" i="1"/>
  <c r="K809" i="1"/>
  <c r="K810" i="1"/>
  <c r="K811" i="1"/>
  <c r="K819" i="1"/>
  <c r="K823" i="1"/>
  <c r="K832" i="1"/>
  <c r="K833" i="1"/>
  <c r="K834" i="1"/>
  <c r="K835" i="1"/>
  <c r="K836" i="1"/>
  <c r="K843" i="1"/>
  <c r="K847" i="1"/>
  <c r="K857" i="1"/>
  <c r="K858" i="1"/>
  <c r="K859" i="1"/>
  <c r="K860" i="1"/>
  <c r="K867" i="1"/>
  <c r="K868" i="1"/>
  <c r="K872" i="1"/>
  <c r="K880" i="1"/>
  <c r="K881" i="1"/>
  <c r="K882" i="1"/>
  <c r="K883" i="1"/>
  <c r="K891" i="1"/>
  <c r="K892" i="1"/>
  <c r="K896" i="1"/>
  <c r="K905" i="1"/>
  <c r="K906" i="1"/>
  <c r="K907" i="1"/>
  <c r="K908" i="1"/>
  <c r="K909" i="1"/>
  <c r="K2" i="1"/>
  <c r="I3" i="1"/>
  <c r="I4" i="1"/>
  <c r="I5" i="1"/>
  <c r="I6" i="1"/>
  <c r="K6" i="1" s="1"/>
  <c r="I7" i="1"/>
  <c r="K7" i="1" s="1"/>
  <c r="I8" i="1"/>
  <c r="I9" i="1"/>
  <c r="K9" i="1" s="1"/>
  <c r="I10" i="1"/>
  <c r="I11" i="1"/>
  <c r="I12" i="1"/>
  <c r="I13" i="1"/>
  <c r="I14" i="1"/>
  <c r="I15" i="1"/>
  <c r="K15" i="1" s="1"/>
  <c r="I16" i="1"/>
  <c r="K16" i="1" s="1"/>
  <c r="I17" i="1"/>
  <c r="K17" i="1" s="1"/>
  <c r="I18" i="1"/>
  <c r="K18" i="1" s="1"/>
  <c r="I19" i="1"/>
  <c r="I20" i="1"/>
  <c r="K20" i="1" s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K33" i="1" s="1"/>
  <c r="I34" i="1"/>
  <c r="I35" i="1"/>
  <c r="I36" i="1"/>
  <c r="I37" i="1"/>
  <c r="I38" i="1"/>
  <c r="I39" i="1"/>
  <c r="K39" i="1" s="1"/>
  <c r="I40" i="1"/>
  <c r="K40" i="1" s="1"/>
  <c r="I41" i="1"/>
  <c r="K41" i="1" s="1"/>
  <c r="I42" i="1"/>
  <c r="K42" i="1" s="1"/>
  <c r="I43" i="1"/>
  <c r="K43" i="1" s="1"/>
  <c r="I44" i="1"/>
  <c r="I45" i="1"/>
  <c r="I46" i="1"/>
  <c r="I47" i="1"/>
  <c r="I48" i="1"/>
  <c r="I49" i="1"/>
  <c r="I50" i="1"/>
  <c r="I51" i="1"/>
  <c r="K51" i="1" s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K64" i="1" s="1"/>
  <c r="I65" i="1"/>
  <c r="K65" i="1" s="1"/>
  <c r="I66" i="1"/>
  <c r="K66" i="1" s="1"/>
  <c r="I67" i="1"/>
  <c r="K67" i="1" s="1"/>
  <c r="I68" i="1"/>
  <c r="I69" i="1"/>
  <c r="K69" i="1" s="1"/>
  <c r="I70" i="1"/>
  <c r="I71" i="1"/>
  <c r="I72" i="1"/>
  <c r="I73" i="1"/>
  <c r="I74" i="1"/>
  <c r="I75" i="1"/>
  <c r="K75" i="1" s="1"/>
  <c r="I76" i="1"/>
  <c r="K76" i="1" s="1"/>
  <c r="I77" i="1"/>
  <c r="I78" i="1"/>
  <c r="I79" i="1"/>
  <c r="I80" i="1"/>
  <c r="I81" i="1"/>
  <c r="I82" i="1"/>
  <c r="I83" i="1"/>
  <c r="I84" i="1"/>
  <c r="I85" i="1"/>
  <c r="I86" i="1"/>
  <c r="I87" i="1"/>
  <c r="I88" i="1"/>
  <c r="K88" i="1" s="1"/>
  <c r="I89" i="1"/>
  <c r="I90" i="1"/>
  <c r="I91" i="1"/>
  <c r="I92" i="1"/>
  <c r="I93" i="1"/>
  <c r="I94" i="1"/>
  <c r="I95" i="1"/>
  <c r="I96" i="1"/>
  <c r="I97" i="1"/>
  <c r="I98" i="1"/>
  <c r="I99" i="1"/>
  <c r="K99" i="1" s="1"/>
  <c r="I100" i="1"/>
  <c r="I101" i="1"/>
  <c r="K101" i="1" s="1"/>
  <c r="I102" i="1"/>
  <c r="K102" i="1" s="1"/>
  <c r="I103" i="1"/>
  <c r="I104" i="1"/>
  <c r="I105" i="1"/>
  <c r="I106" i="1"/>
  <c r="I107" i="1"/>
  <c r="I108" i="1"/>
  <c r="I109" i="1"/>
  <c r="I110" i="1"/>
  <c r="I111" i="1"/>
  <c r="I112" i="1"/>
  <c r="K112" i="1" s="1"/>
  <c r="I113" i="1"/>
  <c r="I114" i="1"/>
  <c r="I115" i="1"/>
  <c r="I116" i="1"/>
  <c r="I117" i="1"/>
  <c r="I118" i="1"/>
  <c r="I119" i="1"/>
  <c r="I120" i="1"/>
  <c r="I121" i="1"/>
  <c r="I122" i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I129" i="1"/>
  <c r="I130" i="1"/>
  <c r="I131" i="1"/>
  <c r="I132" i="1"/>
  <c r="I133" i="1"/>
  <c r="I134" i="1"/>
  <c r="I135" i="1"/>
  <c r="K135" i="1" s="1"/>
  <c r="I136" i="1"/>
  <c r="I137" i="1"/>
  <c r="I138" i="1"/>
  <c r="K138" i="1" s="1"/>
  <c r="I139" i="1"/>
  <c r="I140" i="1"/>
  <c r="I141" i="1"/>
  <c r="I142" i="1"/>
  <c r="I143" i="1"/>
  <c r="I144" i="1"/>
  <c r="I145" i="1"/>
  <c r="I146" i="1"/>
  <c r="I147" i="1"/>
  <c r="I148" i="1"/>
  <c r="I149" i="1"/>
  <c r="I150" i="1"/>
  <c r="K150" i="1" s="1"/>
  <c r="I151" i="1"/>
  <c r="K151" i="1" s="1"/>
  <c r="I152" i="1"/>
  <c r="K152" i="1" s="1"/>
  <c r="I153" i="1"/>
  <c r="K153" i="1" s="1"/>
  <c r="I154" i="1"/>
  <c r="I155" i="1"/>
  <c r="I156" i="1"/>
  <c r="I157" i="1"/>
  <c r="I158" i="1"/>
  <c r="I159" i="1"/>
  <c r="K159" i="1" s="1"/>
  <c r="I160" i="1"/>
  <c r="I161" i="1"/>
  <c r="I162" i="1"/>
  <c r="K162" i="1" s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K177" i="1" s="1"/>
  <c r="I178" i="1"/>
  <c r="I179" i="1"/>
  <c r="I180" i="1"/>
  <c r="I181" i="1"/>
  <c r="I182" i="1"/>
  <c r="K182" i="1" s="1"/>
  <c r="I183" i="1"/>
  <c r="I184" i="1"/>
  <c r="I185" i="1"/>
  <c r="I186" i="1"/>
  <c r="K186" i="1" s="1"/>
  <c r="I187" i="1"/>
  <c r="K187" i="1" s="1"/>
  <c r="I188" i="1"/>
  <c r="I189" i="1"/>
  <c r="I190" i="1"/>
  <c r="I191" i="1"/>
  <c r="I192" i="1"/>
  <c r="I193" i="1"/>
  <c r="I194" i="1"/>
  <c r="I195" i="1"/>
  <c r="I196" i="1"/>
  <c r="I197" i="1"/>
  <c r="I198" i="1"/>
  <c r="I199" i="1"/>
  <c r="K199" i="1" s="1"/>
  <c r="I200" i="1"/>
  <c r="I201" i="1"/>
  <c r="I202" i="1"/>
  <c r="I203" i="1"/>
  <c r="I204" i="1"/>
  <c r="I205" i="1"/>
  <c r="I206" i="1"/>
  <c r="I207" i="1"/>
  <c r="I208" i="1"/>
  <c r="I209" i="1"/>
  <c r="K209" i="1" s="1"/>
  <c r="I210" i="1"/>
  <c r="K210" i="1" s="1"/>
  <c r="I211" i="1"/>
  <c r="I212" i="1"/>
  <c r="I213" i="1"/>
  <c r="K213" i="1" s="1"/>
  <c r="I214" i="1"/>
  <c r="I215" i="1"/>
  <c r="I216" i="1"/>
  <c r="I217" i="1"/>
  <c r="I218" i="1"/>
  <c r="I219" i="1"/>
  <c r="I220" i="1"/>
  <c r="I221" i="1"/>
  <c r="I222" i="1"/>
  <c r="I223" i="1"/>
  <c r="I224" i="1"/>
  <c r="K224" i="1" s="1"/>
  <c r="I225" i="1"/>
  <c r="I226" i="1"/>
  <c r="I227" i="1"/>
  <c r="I228" i="1"/>
  <c r="I229" i="1"/>
  <c r="I230" i="1"/>
  <c r="I231" i="1"/>
  <c r="I232" i="1"/>
  <c r="I233" i="1"/>
  <c r="I234" i="1"/>
  <c r="K234" i="1" s="1"/>
  <c r="I235" i="1"/>
  <c r="K235" i="1" s="1"/>
  <c r="I236" i="1"/>
  <c r="I237" i="1"/>
  <c r="I238" i="1"/>
  <c r="I239" i="1"/>
  <c r="I240" i="1"/>
  <c r="I241" i="1"/>
  <c r="I242" i="1"/>
  <c r="I243" i="1"/>
  <c r="I244" i="1"/>
  <c r="K244" i="1" s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K267" i="1" s="1"/>
  <c r="I268" i="1"/>
  <c r="K268" i="1" s="1"/>
  <c r="I269" i="1"/>
  <c r="I270" i="1"/>
  <c r="K270" i="1" s="1"/>
  <c r="I271" i="1"/>
  <c r="K271" i="1" s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K294" i="1" s="1"/>
  <c r="I295" i="1"/>
  <c r="K295" i="1" s="1"/>
  <c r="I296" i="1"/>
  <c r="I297" i="1"/>
  <c r="K297" i="1" s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K319" i="1" s="1"/>
  <c r="I320" i="1"/>
  <c r="I321" i="1"/>
  <c r="K321" i="1" s="1"/>
  <c r="I322" i="1"/>
  <c r="I323" i="1"/>
  <c r="I324" i="1"/>
  <c r="I325" i="1"/>
  <c r="I326" i="1"/>
  <c r="I327" i="1"/>
  <c r="I328" i="1"/>
  <c r="I329" i="1"/>
  <c r="I330" i="1"/>
  <c r="K330" i="1" s="1"/>
  <c r="I331" i="1"/>
  <c r="K331" i="1" s="1"/>
  <c r="I332" i="1"/>
  <c r="I333" i="1"/>
  <c r="I334" i="1"/>
  <c r="I335" i="1"/>
  <c r="I336" i="1"/>
  <c r="I337" i="1"/>
  <c r="I338" i="1"/>
  <c r="I339" i="1"/>
  <c r="I340" i="1"/>
  <c r="I341" i="1"/>
  <c r="I342" i="1"/>
  <c r="I343" i="1"/>
  <c r="K343" i="1" s="1"/>
  <c r="I344" i="1"/>
  <c r="I345" i="1"/>
  <c r="I346" i="1"/>
  <c r="I347" i="1"/>
  <c r="I348" i="1"/>
  <c r="I349" i="1"/>
  <c r="I350" i="1"/>
  <c r="I351" i="1"/>
  <c r="I352" i="1"/>
  <c r="I353" i="1"/>
  <c r="K353" i="1" s="1"/>
  <c r="I354" i="1"/>
  <c r="K354" i="1" s="1"/>
  <c r="I355" i="1"/>
  <c r="I356" i="1"/>
  <c r="I357" i="1"/>
  <c r="K357" i="1" s="1"/>
  <c r="I358" i="1"/>
  <c r="I359" i="1"/>
  <c r="I360" i="1"/>
  <c r="I361" i="1"/>
  <c r="I362" i="1"/>
  <c r="I363" i="1"/>
  <c r="I364" i="1"/>
  <c r="I365" i="1"/>
  <c r="I366" i="1"/>
  <c r="I367" i="1"/>
  <c r="I368" i="1"/>
  <c r="K368" i="1" s="1"/>
  <c r="I369" i="1"/>
  <c r="I370" i="1"/>
  <c r="I371" i="1"/>
  <c r="I372" i="1"/>
  <c r="I373" i="1"/>
  <c r="I374" i="1"/>
  <c r="I375" i="1"/>
  <c r="I376" i="1"/>
  <c r="I377" i="1"/>
  <c r="I378" i="1"/>
  <c r="K378" i="1" s="1"/>
  <c r="I379" i="1"/>
  <c r="K379" i="1" s="1"/>
  <c r="I380" i="1"/>
  <c r="I381" i="1"/>
  <c r="I382" i="1"/>
  <c r="I383" i="1"/>
  <c r="I384" i="1"/>
  <c r="I385" i="1"/>
  <c r="I386" i="1"/>
  <c r="I387" i="1"/>
  <c r="I388" i="1"/>
  <c r="K388" i="1" s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K411" i="1" s="1"/>
  <c r="I412" i="1"/>
  <c r="K412" i="1" s="1"/>
  <c r="I413" i="1"/>
  <c r="I414" i="1"/>
  <c r="K414" i="1" s="1"/>
  <c r="I415" i="1"/>
  <c r="K415" i="1" s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K438" i="1" s="1"/>
  <c r="I439" i="1"/>
  <c r="K439" i="1" s="1"/>
  <c r="I440" i="1"/>
  <c r="I441" i="1"/>
  <c r="K441" i="1" s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K463" i="1" s="1"/>
  <c r="I464" i="1"/>
  <c r="I465" i="1"/>
  <c r="I466" i="1"/>
  <c r="I467" i="1"/>
  <c r="I468" i="1"/>
  <c r="I469" i="1"/>
  <c r="I470" i="1"/>
  <c r="I471" i="1"/>
  <c r="K471" i="1" s="1"/>
  <c r="I472" i="1"/>
  <c r="I473" i="1"/>
  <c r="I474" i="1"/>
  <c r="K474" i="1" s="1"/>
  <c r="I475" i="1"/>
  <c r="K475" i="1" s="1"/>
  <c r="I476" i="1"/>
  <c r="K476" i="1" s="1"/>
  <c r="I477" i="1"/>
  <c r="K477" i="1" s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K495" i="1" s="1"/>
  <c r="I496" i="1"/>
  <c r="K496" i="1" s="1"/>
  <c r="I497" i="1"/>
  <c r="I498" i="1"/>
  <c r="K498" i="1" s="1"/>
  <c r="I499" i="1"/>
  <c r="I500" i="1"/>
  <c r="K500" i="1" s="1"/>
  <c r="I501" i="1"/>
  <c r="K501" i="1" s="1"/>
  <c r="I502" i="1"/>
  <c r="I503" i="1"/>
  <c r="I504" i="1"/>
  <c r="I505" i="1"/>
  <c r="I506" i="1"/>
  <c r="I507" i="1"/>
  <c r="I508" i="1"/>
  <c r="I509" i="1"/>
  <c r="I510" i="1"/>
  <c r="I511" i="1"/>
  <c r="I512" i="1"/>
  <c r="I513" i="1"/>
  <c r="K513" i="1" s="1"/>
  <c r="I514" i="1"/>
  <c r="I515" i="1"/>
  <c r="I516" i="1"/>
  <c r="I517" i="1"/>
  <c r="I518" i="1"/>
  <c r="I519" i="1"/>
  <c r="I520" i="1"/>
  <c r="K520" i="1" s="1"/>
  <c r="I521" i="1"/>
  <c r="I522" i="1"/>
  <c r="K522" i="1" s="1"/>
  <c r="I523" i="1"/>
  <c r="K523" i="1" s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K544" i="1" s="1"/>
  <c r="I545" i="1"/>
  <c r="K545" i="1" s="1"/>
  <c r="I546" i="1"/>
  <c r="K546" i="1" s="1"/>
  <c r="I547" i="1"/>
  <c r="I548" i="1"/>
  <c r="K548" i="1" s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K570" i="1" s="1"/>
  <c r="I571" i="1"/>
  <c r="K571" i="1" s="1"/>
  <c r="I572" i="1"/>
  <c r="K572" i="1" s="1"/>
  <c r="I573" i="1"/>
  <c r="K573" i="1" s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K594" i="1" s="1"/>
  <c r="I595" i="1"/>
  <c r="K595" i="1" s="1"/>
  <c r="I596" i="1"/>
  <c r="I597" i="1"/>
  <c r="I598" i="1"/>
  <c r="I599" i="1"/>
  <c r="I600" i="1"/>
  <c r="I601" i="1"/>
  <c r="I602" i="1"/>
  <c r="I603" i="1"/>
  <c r="I604" i="1"/>
  <c r="I605" i="1"/>
  <c r="I606" i="1"/>
  <c r="K606" i="1" s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K627" i="1" s="1"/>
  <c r="I628" i="1"/>
  <c r="I629" i="1"/>
  <c r="I630" i="1"/>
  <c r="K630" i="1" s="1"/>
  <c r="I631" i="1"/>
  <c r="K631" i="1" s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K652" i="1" s="1"/>
  <c r="I653" i="1"/>
  <c r="K653" i="1" s="1"/>
  <c r="I654" i="1"/>
  <c r="K654" i="1" s="1"/>
  <c r="I655" i="1"/>
  <c r="I656" i="1"/>
  <c r="K656" i="1" s="1"/>
  <c r="I657" i="1"/>
  <c r="K657" i="1" s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K677" i="1" s="1"/>
  <c r="I678" i="1"/>
  <c r="K678" i="1" s="1"/>
  <c r="I679" i="1"/>
  <c r="K679" i="1" s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K700" i="1" s="1"/>
  <c r="I701" i="1"/>
  <c r="K701" i="1" s="1"/>
  <c r="I702" i="1"/>
  <c r="K702" i="1" s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K724" i="1" s="1"/>
  <c r="I725" i="1"/>
  <c r="I726" i="1"/>
  <c r="K726" i="1" s="1"/>
  <c r="I727" i="1"/>
  <c r="I728" i="1"/>
  <c r="K728" i="1" s="1"/>
  <c r="I729" i="1"/>
  <c r="K729" i="1" s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K748" i="1" s="1"/>
  <c r="I749" i="1"/>
  <c r="I750" i="1"/>
  <c r="K750" i="1" s="1"/>
  <c r="I751" i="1"/>
  <c r="I752" i="1"/>
  <c r="K752" i="1" s="1"/>
  <c r="I753" i="1"/>
  <c r="K753" i="1" s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K771" i="1" s="1"/>
  <c r="I772" i="1"/>
  <c r="I773" i="1"/>
  <c r="I774" i="1"/>
  <c r="K774" i="1" s="1"/>
  <c r="I775" i="1"/>
  <c r="K775" i="1" s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K795" i="1" s="1"/>
  <c r="I796" i="1"/>
  <c r="I797" i="1"/>
  <c r="I798" i="1"/>
  <c r="K798" i="1" s="1"/>
  <c r="I799" i="1"/>
  <c r="K799" i="1" s="1"/>
  <c r="I800" i="1"/>
  <c r="K800" i="1" s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K820" i="1" s="1"/>
  <c r="I821" i="1"/>
  <c r="I822" i="1"/>
  <c r="K822" i="1" s="1"/>
  <c r="I823" i="1"/>
  <c r="I824" i="1"/>
  <c r="K824" i="1" s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K846" i="1" s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K870" i="1" s="1"/>
  <c r="I871" i="1"/>
  <c r="K871" i="1" s="1"/>
  <c r="I872" i="1"/>
  <c r="I873" i="1"/>
  <c r="K873" i="1" s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K894" i="1" s="1"/>
  <c r="I895" i="1"/>
  <c r="K895" i="1" s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2" i="1"/>
  <c r="K828" i="2" l="1"/>
  <c r="K792" i="2"/>
  <c r="K696" i="2"/>
  <c r="K624" i="2"/>
  <c r="K168" i="2"/>
  <c r="K132" i="2"/>
  <c r="K96" i="2"/>
  <c r="K24" i="2"/>
  <c r="K827" i="2"/>
  <c r="K731" i="2"/>
  <c r="K623" i="2"/>
  <c r="K527" i="2"/>
  <c r="K131" i="2"/>
  <c r="K95" i="2"/>
  <c r="K23" i="2"/>
  <c r="K170" i="2"/>
  <c r="K826" i="2"/>
  <c r="K802" i="2"/>
  <c r="K730" i="2"/>
  <c r="K694" i="2"/>
  <c r="K622" i="2"/>
  <c r="K598" i="2"/>
  <c r="K130" i="2"/>
  <c r="K22" i="2"/>
  <c r="K830" i="2"/>
  <c r="K662" i="2"/>
  <c r="K854" i="2"/>
  <c r="K794" i="2"/>
  <c r="K722" i="2"/>
  <c r="K686" i="2"/>
  <c r="K602" i="2"/>
  <c r="K482" i="2"/>
  <c r="K302" i="2"/>
  <c r="K158" i="2"/>
  <c r="K110" i="2"/>
  <c r="K62" i="2"/>
  <c r="K900" i="2"/>
  <c r="K888" i="2"/>
  <c r="K876" i="2"/>
  <c r="K864" i="2"/>
  <c r="K852" i="2"/>
  <c r="K840" i="2"/>
  <c r="K816" i="2"/>
  <c r="K804" i="2"/>
  <c r="K780" i="2"/>
  <c r="K768" i="2"/>
  <c r="K756" i="2"/>
  <c r="K744" i="2"/>
  <c r="K732" i="2"/>
  <c r="K720" i="2"/>
  <c r="K708" i="2"/>
  <c r="K684" i="2"/>
  <c r="K672" i="2"/>
  <c r="K648" i="2"/>
  <c r="K636" i="2"/>
  <c r="K612" i="2"/>
  <c r="K600" i="2"/>
  <c r="K588" i="2"/>
  <c r="K564" i="2"/>
  <c r="K540" i="2"/>
  <c r="K504" i="2"/>
  <c r="K468" i="2"/>
  <c r="K456" i="2"/>
  <c r="K420" i="2"/>
  <c r="K396" i="2"/>
  <c r="K276" i="2"/>
  <c r="K264" i="2"/>
  <c r="K240" i="2"/>
  <c r="K228" i="2"/>
  <c r="K120" i="2"/>
  <c r="K108" i="2"/>
  <c r="K84" i="2"/>
  <c r="K72" i="2"/>
  <c r="K48" i="2"/>
  <c r="K36" i="2"/>
  <c r="K12" i="2"/>
  <c r="K902" i="2"/>
  <c r="K842" i="2"/>
  <c r="K770" i="2"/>
  <c r="K710" i="2"/>
  <c r="K638" i="2"/>
  <c r="K578" i="2"/>
  <c r="K458" i="2"/>
  <c r="K386" i="2"/>
  <c r="K278" i="2"/>
  <c r="K134" i="2"/>
  <c r="K38" i="2"/>
  <c r="K887" i="2"/>
  <c r="K875" i="2"/>
  <c r="K851" i="2"/>
  <c r="K839" i="2"/>
  <c r="K815" i="2"/>
  <c r="K803" i="2"/>
  <c r="K779" i="2"/>
  <c r="K755" i="2"/>
  <c r="K743" i="2"/>
  <c r="K719" i="2"/>
  <c r="K707" i="2"/>
  <c r="K683" i="2"/>
  <c r="K671" i="2"/>
  <c r="K647" i="2"/>
  <c r="K611" i="2"/>
  <c r="K599" i="2"/>
  <c r="K575" i="2"/>
  <c r="K467" i="2"/>
  <c r="K431" i="2"/>
  <c r="K395" i="2"/>
  <c r="K383" i="2"/>
  <c r="K311" i="2"/>
  <c r="K263" i="2"/>
  <c r="K239" i="2"/>
  <c r="K155" i="2"/>
  <c r="K119" i="2"/>
  <c r="K107" i="2"/>
  <c r="K83" i="2"/>
  <c r="K71" i="2"/>
  <c r="K47" i="2"/>
  <c r="K35" i="2"/>
  <c r="K11" i="2"/>
  <c r="K890" i="2"/>
  <c r="K806" i="2"/>
  <c r="K758" i="2"/>
  <c r="K698" i="2"/>
  <c r="K626" i="2"/>
  <c r="K518" i="2"/>
  <c r="K410" i="2"/>
  <c r="K98" i="2"/>
  <c r="K50" i="2"/>
  <c r="K886" i="2"/>
  <c r="K874" i="2"/>
  <c r="K850" i="2"/>
  <c r="K838" i="2"/>
  <c r="K814" i="2"/>
  <c r="K778" i="2"/>
  <c r="K754" i="2"/>
  <c r="K742" i="2"/>
  <c r="K718" i="2"/>
  <c r="K706" i="2"/>
  <c r="K682" i="2"/>
  <c r="K670" i="2"/>
  <c r="K646" i="2"/>
  <c r="K610" i="2"/>
  <c r="K586" i="2"/>
  <c r="K574" i="2"/>
  <c r="K502" i="2"/>
  <c r="K346" i="2"/>
  <c r="K322" i="2"/>
  <c r="K286" i="2"/>
  <c r="K178" i="2"/>
  <c r="K154" i="2"/>
  <c r="K142" i="2"/>
  <c r="K118" i="2"/>
  <c r="K106" i="2"/>
  <c r="K82" i="2"/>
  <c r="K70" i="2"/>
  <c r="K46" i="2"/>
  <c r="K34" i="2"/>
  <c r="K10" i="2"/>
  <c r="K837" i="2"/>
  <c r="K777" i="2"/>
  <c r="K465" i="2"/>
  <c r="K309" i="2"/>
  <c r="K177" i="2"/>
  <c r="K866" i="2"/>
  <c r="K782" i="2"/>
  <c r="K734" i="2"/>
  <c r="K650" i="2"/>
  <c r="K374" i="2"/>
  <c r="K290" i="2"/>
  <c r="K230" i="2"/>
  <c r="K122" i="2"/>
  <c r="K74" i="2"/>
  <c r="K26" i="2"/>
  <c r="K878" i="2"/>
  <c r="K818" i="2"/>
  <c r="K746" i="2"/>
  <c r="K674" i="2"/>
  <c r="K614" i="2"/>
  <c r="K506" i="2"/>
  <c r="K182" i="2"/>
  <c r="K86" i="2"/>
  <c r="K14" i="2"/>
  <c r="K897" i="2"/>
  <c r="K885" i="2"/>
  <c r="K873" i="2"/>
  <c r="K861" i="2"/>
  <c r="K849" i="2"/>
  <c r="K825" i="2"/>
  <c r="K813" i="2"/>
  <c r="K801" i="2"/>
  <c r="K789" i="2"/>
  <c r="K765" i="2"/>
  <c r="K753" i="2"/>
  <c r="K741" i="2"/>
  <c r="K729" i="2"/>
  <c r="K717" i="2"/>
  <c r="K705" i="2"/>
  <c r="K693" i="2"/>
  <c r="K681" i="2"/>
  <c r="K669" i="2"/>
  <c r="K657" i="2"/>
  <c r="K645" i="2"/>
  <c r="K633" i="2"/>
  <c r="K621" i="2"/>
  <c r="K609" i="2"/>
  <c r="K573" i="2"/>
  <c r="K549" i="2"/>
  <c r="K525" i="2"/>
  <c r="K501" i="2"/>
  <c r="K381" i="2"/>
  <c r="K369" i="2"/>
  <c r="K249" i="2"/>
  <c r="K237" i="2"/>
  <c r="K141" i="2"/>
  <c r="K129" i="2"/>
  <c r="K117" i="2"/>
  <c r="K105" i="2"/>
  <c r="K93" i="2"/>
  <c r="K81" i="2"/>
  <c r="K69" i="2"/>
  <c r="K57" i="2"/>
  <c r="K45" i="2"/>
  <c r="K33" i="2"/>
  <c r="K21" i="2"/>
  <c r="K9" i="2"/>
  <c r="K908" i="2"/>
  <c r="K896" i="2"/>
  <c r="K884" i="2"/>
  <c r="K872" i="2"/>
  <c r="K860" i="2"/>
  <c r="K848" i="2"/>
  <c r="K824" i="2"/>
  <c r="K812" i="2"/>
  <c r="K800" i="2"/>
  <c r="K788" i="2"/>
  <c r="K776" i="2"/>
  <c r="K764" i="2"/>
  <c r="K752" i="2"/>
  <c r="K740" i="2"/>
  <c r="K728" i="2"/>
  <c r="K716" i="2"/>
  <c r="K704" i="2"/>
  <c r="K692" i="2"/>
  <c r="K668" i="2"/>
  <c r="K656" i="2"/>
  <c r="K632" i="2"/>
  <c r="K620" i="2"/>
  <c r="K584" i="2"/>
  <c r="K140" i="2"/>
  <c r="K116" i="2"/>
  <c r="K104" i="2"/>
  <c r="K80" i="2"/>
  <c r="K32" i="2"/>
  <c r="K8" i="2"/>
  <c r="K644" i="2"/>
  <c r="K608" i="2"/>
  <c r="K572" i="2"/>
  <c r="K92" i="2"/>
  <c r="K56" i="2"/>
  <c r="K20" i="2"/>
  <c r="K871" i="2"/>
  <c r="K857" i="2"/>
  <c r="K797" i="2"/>
  <c r="K749" i="2"/>
  <c r="K689" i="2"/>
  <c r="K629" i="2"/>
  <c r="K449" i="2"/>
  <c r="K401" i="2"/>
  <c r="K341" i="2"/>
  <c r="K281" i="2"/>
  <c r="K137" i="2"/>
  <c r="K29" i="2"/>
  <c r="K904" i="2"/>
  <c r="K892" i="2"/>
  <c r="K880" i="2"/>
  <c r="K868" i="2"/>
  <c r="K856" i="2"/>
  <c r="K844" i="2"/>
  <c r="K832" i="2"/>
  <c r="K820" i="2"/>
  <c r="K808" i="2"/>
  <c r="K796" i="2"/>
  <c r="K784" i="2"/>
  <c r="K772" i="2"/>
  <c r="K760" i="2"/>
  <c r="K748" i="2"/>
  <c r="K736" i="2"/>
  <c r="K724" i="2"/>
  <c r="K712" i="2"/>
  <c r="K700" i="2"/>
  <c r="K688" i="2"/>
  <c r="K676" i="2"/>
  <c r="K664" i="2"/>
  <c r="K652" i="2"/>
  <c r="K640" i="2"/>
  <c r="K628" i="2"/>
  <c r="K616" i="2"/>
  <c r="K604" i="2"/>
  <c r="K592" i="2"/>
  <c r="K580" i="2"/>
  <c r="K568" i="2"/>
  <c r="K556" i="2"/>
  <c r="K532" i="2"/>
  <c r="K508" i="2"/>
  <c r="K472" i="2"/>
  <c r="K460" i="2"/>
  <c r="K376" i="2"/>
  <c r="K340" i="2"/>
  <c r="K292" i="2"/>
  <c r="K244" i="2"/>
  <c r="K196" i="2"/>
  <c r="K184" i="2"/>
  <c r="K172" i="2"/>
  <c r="K136" i="2"/>
  <c r="K124" i="2"/>
  <c r="K112" i="2"/>
  <c r="K100" i="2"/>
  <c r="K88" i="2"/>
  <c r="K76" i="2"/>
  <c r="K64" i="2"/>
  <c r="K52" i="2"/>
  <c r="K40" i="2"/>
  <c r="K28" i="2"/>
  <c r="K16" i="2"/>
  <c r="K4" i="2"/>
  <c r="K905" i="2"/>
  <c r="K845" i="2"/>
  <c r="K785" i="2"/>
  <c r="K701" i="2"/>
  <c r="K641" i="2"/>
  <c r="K521" i="2"/>
  <c r="K389" i="2"/>
  <c r="K89" i="2"/>
  <c r="K65" i="2"/>
  <c r="K17" i="2"/>
  <c r="K903" i="2"/>
  <c r="K891" i="2"/>
  <c r="K879" i="2"/>
  <c r="K867" i="2"/>
  <c r="K855" i="2"/>
  <c r="K843" i="2"/>
  <c r="K831" i="2"/>
  <c r="K819" i="2"/>
  <c r="K807" i="2"/>
  <c r="K795" i="2"/>
  <c r="K783" i="2"/>
  <c r="K771" i="2"/>
  <c r="K759" i="2"/>
  <c r="K747" i="2"/>
  <c r="K735" i="2"/>
  <c r="K723" i="2"/>
  <c r="K699" i="2"/>
  <c r="K687" i="2"/>
  <c r="K675" i="2"/>
  <c r="K663" i="2"/>
  <c r="K639" i="2"/>
  <c r="K627" i="2"/>
  <c r="K615" i="2"/>
  <c r="K603" i="2"/>
  <c r="K591" i="2"/>
  <c r="K567" i="2"/>
  <c r="K483" i="2"/>
  <c r="K471" i="2"/>
  <c r="K459" i="2"/>
  <c r="K435" i="2"/>
  <c r="K255" i="2"/>
  <c r="K207" i="2"/>
  <c r="K183" i="2"/>
  <c r="K171" i="2"/>
  <c r="K159" i="2"/>
  <c r="K135" i="2"/>
  <c r="K123" i="2"/>
  <c r="K111" i="2"/>
  <c r="K99" i="2"/>
  <c r="K87" i="2"/>
  <c r="K75" i="2"/>
  <c r="K63" i="2"/>
  <c r="K51" i="2"/>
  <c r="K39" i="2"/>
  <c r="K27" i="2"/>
  <c r="K15" i="2"/>
  <c r="K3" i="2"/>
  <c r="K881" i="2"/>
  <c r="K821" i="2"/>
  <c r="K761" i="2"/>
  <c r="K713" i="2"/>
  <c r="K665" i="2"/>
  <c r="K617" i="2"/>
  <c r="K533" i="2"/>
  <c r="K413" i="2"/>
  <c r="K293" i="2"/>
  <c r="K161" i="2"/>
  <c r="K113" i="2"/>
  <c r="K53" i="2"/>
  <c r="K893" i="2"/>
  <c r="K833" i="2"/>
  <c r="K773" i="2"/>
  <c r="K737" i="2"/>
  <c r="K677" i="2"/>
  <c r="K605" i="2"/>
  <c r="K497" i="2"/>
  <c r="K437" i="2"/>
  <c r="K125" i="2"/>
  <c r="K77" i="2"/>
  <c r="K41" i="2"/>
  <c r="K901" i="2"/>
  <c r="K889" i="2"/>
  <c r="K877" i="2"/>
  <c r="K865" i="2"/>
  <c r="K853" i="2"/>
  <c r="K841" i="2"/>
  <c r="K829" i="2"/>
  <c r="K817" i="2"/>
  <c r="K805" i="2"/>
  <c r="K793" i="2"/>
  <c r="K781" i="2"/>
  <c r="K769" i="2"/>
  <c r="K757" i="2"/>
  <c r="K745" i="2"/>
  <c r="K733" i="2"/>
  <c r="K721" i="2"/>
  <c r="K709" i="2"/>
  <c r="K697" i="2"/>
  <c r="K685" i="2"/>
  <c r="K673" i="2"/>
  <c r="K661" i="2"/>
  <c r="K649" i="2"/>
  <c r="K637" i="2"/>
  <c r="K625" i="2"/>
  <c r="K613" i="2"/>
  <c r="K601" i="2"/>
  <c r="K529" i="2"/>
  <c r="K517" i="2"/>
  <c r="K505" i="2"/>
  <c r="K493" i="2"/>
  <c r="K481" i="2"/>
  <c r="K457" i="2"/>
  <c r="K445" i="2"/>
  <c r="K337" i="2"/>
  <c r="K277" i="2"/>
  <c r="K253" i="2"/>
  <c r="K241" i="2"/>
  <c r="K217" i="2"/>
  <c r="K169" i="2"/>
  <c r="K157" i="2"/>
  <c r="K133" i="2"/>
  <c r="K121" i="2"/>
  <c r="K109" i="2"/>
  <c r="K97" i="2"/>
  <c r="K85" i="2"/>
  <c r="K73" i="2"/>
  <c r="K61" i="2"/>
  <c r="K49" i="2"/>
  <c r="K37" i="2"/>
  <c r="K25" i="2"/>
  <c r="K13" i="2"/>
  <c r="K869" i="2"/>
  <c r="K809" i="2"/>
  <c r="K725" i="2"/>
  <c r="K653" i="2"/>
  <c r="K593" i="2"/>
  <c r="K305" i="2"/>
  <c r="K101" i="2"/>
  <c r="K5" i="2"/>
  <c r="K907" i="2"/>
  <c r="K895" i="2"/>
  <c r="K883" i="2"/>
  <c r="K859" i="2"/>
  <c r="K847" i="2"/>
  <c r="K835" i="2"/>
  <c r="K823" i="2"/>
  <c r="K811" i="2"/>
  <c r="K799" i="2"/>
  <c r="K787" i="2"/>
  <c r="K775" i="2"/>
  <c r="K763" i="2"/>
  <c r="K751" i="2"/>
  <c r="K739" i="2"/>
  <c r="K727" i="2"/>
  <c r="K715" i="2"/>
  <c r="K703" i="2"/>
  <c r="K691" i="2"/>
  <c r="K679" i="2"/>
  <c r="K667" i="2"/>
  <c r="K655" i="2"/>
  <c r="K643" i="2"/>
  <c r="K631" i="2"/>
  <c r="K619" i="2"/>
  <c r="K607" i="2"/>
  <c r="K559" i="2"/>
  <c r="K547" i="2"/>
  <c r="K535" i="2"/>
  <c r="K511" i="2"/>
  <c r="K487" i="2"/>
  <c r="K475" i="2"/>
  <c r="K463" i="2"/>
  <c r="K451" i="2"/>
  <c r="K415" i="2"/>
  <c r="K391" i="2"/>
  <c r="K379" i="2"/>
  <c r="K355" i="2"/>
  <c r="K235" i="2"/>
  <c r="K211" i="2"/>
  <c r="K187" i="2"/>
  <c r="K139" i="2"/>
  <c r="K127" i="2"/>
  <c r="K115" i="2"/>
  <c r="K103" i="2"/>
  <c r="K91" i="2"/>
  <c r="K79" i="2"/>
  <c r="K67" i="2"/>
  <c r="K55" i="2"/>
  <c r="K43" i="2"/>
  <c r="K31" i="2"/>
  <c r="K19" i="2"/>
  <c r="K7" i="2"/>
  <c r="K906" i="2"/>
  <c r="K894" i="2"/>
  <c r="K882" i="2"/>
  <c r="K870" i="2"/>
  <c r="K858" i="2"/>
  <c r="K846" i="2"/>
  <c r="K834" i="2"/>
  <c r="K822" i="2"/>
  <c r="K798" i="2"/>
  <c r="K786" i="2"/>
  <c r="K774" i="2"/>
  <c r="K762" i="2"/>
  <c r="K750" i="2"/>
  <c r="K738" i="2"/>
  <c r="K726" i="2"/>
  <c r="K714" i="2"/>
  <c r="K702" i="2"/>
  <c r="K690" i="2"/>
  <c r="K678" i="2"/>
  <c r="K666" i="2"/>
  <c r="K654" i="2"/>
  <c r="K642" i="2"/>
  <c r="K630" i="2"/>
  <c r="K618" i="2"/>
  <c r="K606" i="2"/>
  <c r="K594" i="2"/>
  <c r="K582" i="2"/>
  <c r="K522" i="2"/>
  <c r="K510" i="2"/>
  <c r="K498" i="2"/>
  <c r="K378" i="2"/>
  <c r="K354" i="2"/>
  <c r="K909" i="2"/>
  <c r="K536" i="2"/>
  <c r="K464" i="2"/>
  <c r="K416" i="2"/>
  <c r="K368" i="2"/>
  <c r="K296" i="2"/>
  <c r="K248" i="2"/>
  <c r="K176" i="2"/>
  <c r="K128" i="2"/>
  <c r="K68" i="2"/>
  <c r="K44" i="2"/>
  <c r="K641" i="1"/>
  <c r="K497" i="1"/>
  <c r="K473" i="1"/>
  <c r="K425" i="1"/>
  <c r="K281" i="1"/>
  <c r="K161" i="1"/>
  <c r="K137" i="1"/>
  <c r="K113" i="1"/>
  <c r="K89" i="1"/>
  <c r="K664" i="1"/>
  <c r="K616" i="1"/>
  <c r="K568" i="1"/>
  <c r="K472" i="1"/>
  <c r="K448" i="1"/>
  <c r="K424" i="1"/>
  <c r="K400" i="1"/>
  <c r="K352" i="1"/>
  <c r="K328" i="1"/>
  <c r="K304" i="1"/>
  <c r="K280" i="1"/>
  <c r="K256" i="1"/>
  <c r="K208" i="1"/>
  <c r="K184" i="1"/>
  <c r="K160" i="1"/>
  <c r="K591" i="1"/>
  <c r="K543" i="1"/>
  <c r="K519" i="1"/>
  <c r="K447" i="1"/>
  <c r="K399" i="1"/>
  <c r="K375" i="1"/>
  <c r="K351" i="1"/>
  <c r="K327" i="1"/>
  <c r="K303" i="1"/>
  <c r="K255" i="1"/>
  <c r="K231" i="1"/>
  <c r="K207" i="1"/>
  <c r="K183" i="1"/>
  <c r="K3" i="1"/>
  <c r="K897" i="1"/>
  <c r="K885" i="1"/>
  <c r="K861" i="1"/>
  <c r="K849" i="1"/>
  <c r="K837" i="1"/>
  <c r="K825" i="1"/>
  <c r="K813" i="1"/>
  <c r="K801" i="1"/>
  <c r="K777" i="1"/>
  <c r="K765" i="1"/>
  <c r="K741" i="1"/>
  <c r="K705" i="1"/>
  <c r="K681" i="1"/>
  <c r="K669" i="1"/>
  <c r="K645" i="1"/>
  <c r="K633" i="1"/>
  <c r="K621" i="1"/>
  <c r="K609" i="1"/>
  <c r="K597" i="1"/>
  <c r="K585" i="1"/>
  <c r="K561" i="1"/>
  <c r="K549" i="1"/>
  <c r="K525" i="1"/>
  <c r="K489" i="1"/>
  <c r="K465" i="1"/>
  <c r="K453" i="1"/>
  <c r="K429" i="1"/>
  <c r="K417" i="1"/>
  <c r="K405" i="1"/>
  <c r="K393" i="1"/>
  <c r="K381" i="1"/>
  <c r="K369" i="1"/>
  <c r="K345" i="1"/>
  <c r="K309" i="1"/>
  <c r="K285" i="1"/>
  <c r="K273" i="1"/>
  <c r="K261" i="1"/>
  <c r="K249" i="1"/>
  <c r="K237" i="1"/>
  <c r="K225" i="1"/>
  <c r="K201" i="1"/>
  <c r="K165" i="1"/>
  <c r="K141" i="1"/>
  <c r="K129" i="1"/>
  <c r="K117" i="1"/>
  <c r="K105" i="1"/>
  <c r="K884" i="1"/>
  <c r="K848" i="1"/>
  <c r="K812" i="1"/>
  <c r="K776" i="1"/>
  <c r="K740" i="1"/>
  <c r="K704" i="1"/>
  <c r="K668" i="1"/>
  <c r="K632" i="1"/>
  <c r="K596" i="1"/>
  <c r="K560" i="1"/>
  <c r="K524" i="1"/>
  <c r="K488" i="1"/>
  <c r="K452" i="1"/>
  <c r="K416" i="1"/>
  <c r="K380" i="1"/>
  <c r="K344" i="1"/>
  <c r="K308" i="1"/>
  <c r="K272" i="1"/>
  <c r="K236" i="1"/>
  <c r="K200" i="1"/>
  <c r="K164" i="1"/>
  <c r="K128" i="1"/>
  <c r="K330" i="2"/>
  <c r="K318" i="2"/>
  <c r="K306" i="2"/>
  <c r="K294" i="2"/>
  <c r="K282" i="2"/>
  <c r="K270" i="2"/>
  <c r="K258" i="2"/>
  <c r="K246" i="2"/>
  <c r="K234" i="2"/>
  <c r="K222" i="2"/>
  <c r="K210" i="2"/>
  <c r="K198" i="2"/>
  <c r="K186" i="2"/>
  <c r="K174" i="2"/>
  <c r="K162" i="2"/>
  <c r="K150" i="2"/>
  <c r="K138" i="2"/>
  <c r="K126" i="2"/>
  <c r="K114" i="2"/>
  <c r="K102" i="2"/>
  <c r="K90" i="2"/>
  <c r="K78" i="2"/>
  <c r="K66" i="2"/>
  <c r="K54" i="2"/>
  <c r="K42" i="2"/>
  <c r="K30" i="2"/>
  <c r="K18" i="2"/>
  <c r="K6" i="2"/>
  <c r="K902" i="1"/>
  <c r="K890" i="1"/>
  <c r="K878" i="1"/>
  <c r="K866" i="1"/>
  <c r="K854" i="1"/>
  <c r="K842" i="1"/>
  <c r="K830" i="1"/>
  <c r="K818" i="1"/>
  <c r="K806" i="1"/>
  <c r="K794" i="1"/>
  <c r="K782" i="1"/>
  <c r="K770" i="1"/>
  <c r="K758" i="1"/>
  <c r="K746" i="1"/>
  <c r="K734" i="1"/>
  <c r="K722" i="1"/>
  <c r="K710" i="1"/>
  <c r="K698" i="1"/>
  <c r="K686" i="1"/>
  <c r="K674" i="1"/>
  <c r="K662" i="1"/>
  <c r="K650" i="1"/>
  <c r="K638" i="1"/>
  <c r="K626" i="1"/>
  <c r="K614" i="1"/>
  <c r="K602" i="1"/>
  <c r="K590" i="1"/>
  <c r="K578" i="1"/>
  <c r="K566" i="1"/>
  <c r="K554" i="1"/>
  <c r="K542" i="1"/>
  <c r="K530" i="1"/>
  <c r="K518" i="1"/>
  <c r="K506" i="1"/>
  <c r="K494" i="1"/>
  <c r="K482" i="1"/>
  <c r="K470" i="1"/>
  <c r="K458" i="1"/>
  <c r="K446" i="1"/>
  <c r="K434" i="1"/>
  <c r="K422" i="1"/>
  <c r="K410" i="1"/>
  <c r="K398" i="1"/>
  <c r="K386" i="1"/>
  <c r="K374" i="1"/>
  <c r="K362" i="1"/>
  <c r="K350" i="1"/>
  <c r="K338" i="1"/>
  <c r="K326" i="1"/>
  <c r="K314" i="1"/>
  <c r="K302" i="1"/>
  <c r="K290" i="1"/>
  <c r="K278" i="1"/>
  <c r="K266" i="1"/>
  <c r="K254" i="1"/>
  <c r="K242" i="1"/>
  <c r="K230" i="1"/>
  <c r="K218" i="1"/>
  <c r="K206" i="1"/>
  <c r="K194" i="1"/>
  <c r="K170" i="1"/>
  <c r="K158" i="1"/>
  <c r="K146" i="1"/>
  <c r="K134" i="1"/>
  <c r="K122" i="1"/>
  <c r="K110" i="1"/>
  <c r="K98" i="1"/>
  <c r="K86" i="1"/>
  <c r="K74" i="1"/>
  <c r="K62" i="1"/>
  <c r="K50" i="1"/>
  <c r="K38" i="1"/>
  <c r="K26" i="1"/>
  <c r="K14" i="1"/>
  <c r="K93" i="1"/>
  <c r="K81" i="1"/>
  <c r="K57" i="1"/>
  <c r="K45" i="1"/>
  <c r="K21" i="1"/>
  <c r="K889" i="1"/>
  <c r="K817" i="1"/>
  <c r="K745" i="1"/>
  <c r="K697" i="1"/>
  <c r="K649" i="1"/>
  <c r="K577" i="1"/>
  <c r="K541" i="1"/>
  <c r="K493" i="1"/>
  <c r="K433" i="1"/>
  <c r="K373" i="1"/>
  <c r="K313" i="1"/>
  <c r="K253" i="1"/>
  <c r="K193" i="1"/>
  <c r="K133" i="1"/>
  <c r="K73" i="1"/>
  <c r="K13" i="1"/>
  <c r="K864" i="1"/>
  <c r="K804" i="1"/>
  <c r="K732" i="1"/>
  <c r="K672" i="1"/>
  <c r="K624" i="1"/>
  <c r="K576" i="1"/>
  <c r="K516" i="1"/>
  <c r="K456" i="1"/>
  <c r="K408" i="1"/>
  <c r="K348" i="1"/>
  <c r="K276" i="1"/>
  <c r="K216" i="1"/>
  <c r="K168" i="1"/>
  <c r="K96" i="1"/>
  <c r="K877" i="1"/>
  <c r="K829" i="1"/>
  <c r="K769" i="1"/>
  <c r="K721" i="1"/>
  <c r="K637" i="1"/>
  <c r="K589" i="1"/>
  <c r="K529" i="1"/>
  <c r="K469" i="1"/>
  <c r="K421" i="1"/>
  <c r="K361" i="1"/>
  <c r="K265" i="1"/>
  <c r="K229" i="1"/>
  <c r="K157" i="1"/>
  <c r="K121" i="1"/>
  <c r="K61" i="1"/>
  <c r="K876" i="1"/>
  <c r="K816" i="1"/>
  <c r="K756" i="1"/>
  <c r="K696" i="1"/>
  <c r="K636" i="1"/>
  <c r="K552" i="1"/>
  <c r="K480" i="1"/>
  <c r="K432" i="1"/>
  <c r="K372" i="1"/>
  <c r="K300" i="1"/>
  <c r="K228" i="1"/>
  <c r="K156" i="1"/>
  <c r="K108" i="1"/>
  <c r="K901" i="1"/>
  <c r="K841" i="1"/>
  <c r="K781" i="1"/>
  <c r="K709" i="1"/>
  <c r="K661" i="1"/>
  <c r="K601" i="1"/>
  <c r="K505" i="1"/>
  <c r="K445" i="1"/>
  <c r="K385" i="1"/>
  <c r="K325" i="1"/>
  <c r="K289" i="1"/>
  <c r="K205" i="1"/>
  <c r="K145" i="1"/>
  <c r="K109" i="1"/>
  <c r="K49" i="1"/>
  <c r="K852" i="1"/>
  <c r="K792" i="1"/>
  <c r="K720" i="1"/>
  <c r="K648" i="1"/>
  <c r="K600" i="1"/>
  <c r="K564" i="1"/>
  <c r="K504" i="1"/>
  <c r="K444" i="1"/>
  <c r="K384" i="1"/>
  <c r="K324" i="1"/>
  <c r="K240" i="1"/>
  <c r="K180" i="1"/>
  <c r="K120" i="1"/>
  <c r="K853" i="1"/>
  <c r="K805" i="1"/>
  <c r="K757" i="1"/>
  <c r="K685" i="1"/>
  <c r="K625" i="1"/>
  <c r="K553" i="1"/>
  <c r="K481" i="1"/>
  <c r="K409" i="1"/>
  <c r="K349" i="1"/>
  <c r="K277" i="1"/>
  <c r="K217" i="1"/>
  <c r="K181" i="1"/>
  <c r="K97" i="1"/>
  <c r="K37" i="1"/>
  <c r="K888" i="1"/>
  <c r="K840" i="1"/>
  <c r="K780" i="1"/>
  <c r="K744" i="1"/>
  <c r="K684" i="1"/>
  <c r="K612" i="1"/>
  <c r="K528" i="1"/>
  <c r="K468" i="1"/>
  <c r="K420" i="1"/>
  <c r="K360" i="1"/>
  <c r="K312" i="1"/>
  <c r="K264" i="1"/>
  <c r="K192" i="1"/>
  <c r="K144" i="1"/>
  <c r="K865" i="1"/>
  <c r="K793" i="1"/>
  <c r="K733" i="1"/>
  <c r="K673" i="1"/>
  <c r="K613" i="1"/>
  <c r="K565" i="1"/>
  <c r="K517" i="1"/>
  <c r="K457" i="1"/>
  <c r="K397" i="1"/>
  <c r="K337" i="1"/>
  <c r="K301" i="1"/>
  <c r="K241" i="1"/>
  <c r="K169" i="1"/>
  <c r="K85" i="1"/>
  <c r="K25" i="1"/>
  <c r="K900" i="1"/>
  <c r="K828" i="1"/>
  <c r="K768" i="1"/>
  <c r="K708" i="1"/>
  <c r="K660" i="1"/>
  <c r="K588" i="1"/>
  <c r="K540" i="1"/>
  <c r="K492" i="1"/>
  <c r="K396" i="1"/>
  <c r="K336" i="1"/>
  <c r="K288" i="1"/>
  <c r="K252" i="1"/>
  <c r="K204" i="1"/>
  <c r="K132" i="1"/>
  <c r="K84" i="1"/>
  <c r="K72" i="1"/>
  <c r="K60" i="1"/>
  <c r="K48" i="1"/>
  <c r="K36" i="1"/>
  <c r="K24" i="1"/>
  <c r="K12" i="1"/>
  <c r="K899" i="1"/>
  <c r="K887" i="1"/>
  <c r="K875" i="1"/>
  <c r="K863" i="1"/>
  <c r="K851" i="1"/>
  <c r="K839" i="1"/>
  <c r="K827" i="1"/>
  <c r="K815" i="1"/>
  <c r="K803" i="1"/>
  <c r="K791" i="1"/>
  <c r="K779" i="1"/>
  <c r="K767" i="1"/>
  <c r="K755" i="1"/>
  <c r="K743" i="1"/>
  <c r="K731" i="1"/>
  <c r="K719" i="1"/>
  <c r="K707" i="1"/>
  <c r="K695" i="1"/>
  <c r="K683" i="1"/>
  <c r="K671" i="1"/>
  <c r="K659" i="1"/>
  <c r="K647" i="1"/>
  <c r="K635" i="1"/>
  <c r="K623" i="1"/>
  <c r="K611" i="1"/>
  <c r="K599" i="1"/>
  <c r="K587" i="1"/>
  <c r="K575" i="1"/>
  <c r="K563" i="1"/>
  <c r="K551" i="1"/>
  <c r="K539" i="1"/>
  <c r="K527" i="1"/>
  <c r="K515" i="1"/>
  <c r="K503" i="1"/>
  <c r="K491" i="1"/>
  <c r="K479" i="1"/>
  <c r="K467" i="1"/>
  <c r="K455" i="1"/>
  <c r="K443" i="1"/>
  <c r="K431" i="1"/>
  <c r="K419" i="1"/>
  <c r="K407" i="1"/>
  <c r="K395" i="1"/>
  <c r="K383" i="1"/>
  <c r="K371" i="1"/>
  <c r="K359" i="1"/>
  <c r="K347" i="1"/>
  <c r="K335" i="1"/>
  <c r="K323" i="1"/>
  <c r="K311" i="1"/>
  <c r="K299" i="1"/>
  <c r="K287" i="1"/>
  <c r="K275" i="1"/>
  <c r="K263" i="1"/>
  <c r="K251" i="1"/>
  <c r="K239" i="1"/>
  <c r="K227" i="1"/>
  <c r="K215" i="1"/>
  <c r="K203" i="1"/>
  <c r="K191" i="1"/>
  <c r="K179" i="1"/>
  <c r="K167" i="1"/>
  <c r="K155" i="1"/>
  <c r="K143" i="1"/>
  <c r="K131" i="1"/>
  <c r="K119" i="1"/>
  <c r="K107" i="1"/>
  <c r="K95" i="1"/>
  <c r="K83" i="1"/>
  <c r="K71" i="1"/>
  <c r="K59" i="1"/>
  <c r="K47" i="1"/>
  <c r="K35" i="1"/>
  <c r="K23" i="1"/>
  <c r="K11" i="1"/>
  <c r="K898" i="1"/>
  <c r="K886" i="1"/>
  <c r="K874" i="1"/>
  <c r="K862" i="1"/>
  <c r="K850" i="1"/>
  <c r="K838" i="1"/>
  <c r="K826" i="1"/>
  <c r="K814" i="1"/>
  <c r="K802" i="1"/>
  <c r="K790" i="1"/>
  <c r="K778" i="1"/>
  <c r="K766" i="1"/>
  <c r="K754" i="1"/>
  <c r="K742" i="1"/>
  <c r="K730" i="1"/>
  <c r="K718" i="1"/>
  <c r="K706" i="1"/>
  <c r="K694" i="1"/>
  <c r="K682" i="1"/>
  <c r="K670" i="1"/>
  <c r="K658" i="1"/>
  <c r="K646" i="1"/>
  <c r="K634" i="1"/>
  <c r="K622" i="1"/>
  <c r="K610" i="1"/>
  <c r="K598" i="1"/>
  <c r="K586" i="1"/>
  <c r="K574" i="1"/>
  <c r="K562" i="1"/>
  <c r="K550" i="1"/>
  <c r="K538" i="1"/>
  <c r="K526" i="1"/>
  <c r="K514" i="1"/>
  <c r="K502" i="1"/>
  <c r="K490" i="1"/>
  <c r="K478" i="1"/>
  <c r="K466" i="1"/>
  <c r="K454" i="1"/>
  <c r="K442" i="1"/>
  <c r="K430" i="1"/>
  <c r="K418" i="1"/>
  <c r="K406" i="1"/>
  <c r="K394" i="1"/>
  <c r="K382" i="1"/>
  <c r="K370" i="1"/>
  <c r="K358" i="1"/>
  <c r="K346" i="1"/>
  <c r="K334" i="1"/>
  <c r="K322" i="1"/>
  <c r="K310" i="1"/>
  <c r="K298" i="1"/>
  <c r="K286" i="1"/>
  <c r="K274" i="1"/>
  <c r="K262" i="1"/>
  <c r="K250" i="1"/>
  <c r="K238" i="1"/>
  <c r="K226" i="1"/>
  <c r="K214" i="1"/>
  <c r="K202" i="1"/>
  <c r="K190" i="1"/>
  <c r="K178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K10" i="1"/>
</calcChain>
</file>

<file path=xl/sharedStrings.xml><?xml version="1.0" encoding="utf-8"?>
<sst xmlns="http://schemas.openxmlformats.org/spreadsheetml/2006/main" count="41" uniqueCount="18">
  <si>
    <t>Seq</t>
  </si>
  <si>
    <t>S1</t>
  </si>
  <si>
    <t>S2</t>
  </si>
  <si>
    <t>S3</t>
  </si>
  <si>
    <t>WT</t>
  </si>
  <si>
    <t>inp</t>
  </si>
  <si>
    <t>Average</t>
  </si>
  <si>
    <t xml:space="preserve"> </t>
  </si>
  <si>
    <t>Inp</t>
  </si>
  <si>
    <t>S4</t>
  </si>
  <si>
    <t>S5</t>
  </si>
  <si>
    <t>S6</t>
  </si>
  <si>
    <t>Enc1</t>
  </si>
  <si>
    <t>Enc3</t>
  </si>
  <si>
    <t>Enc4</t>
  </si>
  <si>
    <t>Enc5</t>
  </si>
  <si>
    <t>Enc6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</si>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</sst>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ArialMT"/>
      <family val="2"/>
    </font>
    <font>
      <sz val="8"/>
      <name val="ArialMT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0495-BE61-7640-97AD-470ACD31D97D}">
  <dimension ref="A1:N909"/>
  <sheetViews>
    <sheetView workbookViewId="0">
      <selection activeCell="H36" sqref="H36"/>
    </sheetView>
  </sheetViews>
  <sheetFormatPr baseColWidth="10" defaultRowHeight="18"/>
  <sheetData>
    <row r="1" spans="1:14">
      <c r="A1" t="s">
        <v>0</v>
      </c>
      <c r="B1" t="s">
        <v>5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6</v>
      </c>
      <c r="M1" t="s">
        <v>0</v>
      </c>
      <c r="N1" t="s">
        <v>7</v>
      </c>
    </row>
    <row r="2" spans="1:14">
      <c r="A2">
        <v>1</v>
      </c>
      <c r="B2">
        <v>980</v>
      </c>
      <c r="C2">
        <v>128</v>
      </c>
      <c r="D2">
        <v>42</v>
      </c>
      <c r="E2">
        <v>244</v>
      </c>
      <c r="G2">
        <f>LOG10(C2/B2)-LOG10(151582/23714)</f>
        <v>-1.6896589234406365</v>
      </c>
      <c r="H2">
        <f>LOG10(D2/B2)-LOG10(126279/23714)</f>
        <v>-2.0943031038314461</v>
      </c>
      <c r="I2">
        <f>LOG10(E2/B2)-LOG10(697226/23714)</f>
        <v>-2.0722050076798855</v>
      </c>
      <c r="K2">
        <f>AVERAGE(G2:I2)</f>
        <v>-1.9520556783173226</v>
      </c>
      <c r="M2">
        <v>1</v>
      </c>
      <c r="N2">
        <v>-1.9520556783173226</v>
      </c>
    </row>
    <row r="3" spans="1:14">
      <c r="A3">
        <v>2</v>
      </c>
      <c r="B3">
        <v>600</v>
      </c>
      <c r="C3">
        <v>483</v>
      </c>
      <c r="D3">
        <v>183</v>
      </c>
      <c r="E3">
        <v>126</v>
      </c>
      <c r="G3">
        <f t="shared" ref="G3:G66" si="0">LOG10(C3/B3)-LOG10(151582/23714)</f>
        <v>-0.89984693702814145</v>
      </c>
      <c r="H3">
        <f t="shared" ref="H3:H66" si="1">LOG10(D3/B3)-LOG10(126279/23714)</f>
        <v>-1.2420264791900659</v>
      </c>
      <c r="I3">
        <f t="shared" ref="I3:I66" si="2">LOG10(E3/B3)-LOG10(697226/23714)</f>
        <v>-2.1461494635922005</v>
      </c>
      <c r="K3">
        <f t="shared" ref="K3:K66" si="3">AVERAGE(G3:I3)</f>
        <v>-1.4293409599368025</v>
      </c>
      <c r="M3">
        <v>2</v>
      </c>
      <c r="N3">
        <v>-1.4293409599368025</v>
      </c>
    </row>
    <row r="4" spans="1:14">
      <c r="A4">
        <v>3</v>
      </c>
      <c r="B4">
        <v>901</v>
      </c>
      <c r="C4">
        <v>318</v>
      </c>
      <c r="D4">
        <v>177</v>
      </c>
      <c r="E4">
        <v>174</v>
      </c>
      <c r="G4">
        <f t="shared" si="0"/>
        <v>-1.2579404883906402</v>
      </c>
      <c r="H4">
        <f t="shared" si="1"/>
        <v>-1.433077843154108</v>
      </c>
      <c r="I4">
        <f t="shared" si="2"/>
        <v>-2.1825443010225833</v>
      </c>
      <c r="K4">
        <f t="shared" si="3"/>
        <v>-1.6245208775224438</v>
      </c>
      <c r="M4">
        <v>3</v>
      </c>
      <c r="N4">
        <v>-1.6245208775224438</v>
      </c>
    </row>
    <row r="5" spans="1:14">
      <c r="A5">
        <v>4</v>
      </c>
      <c r="B5">
        <v>1059</v>
      </c>
      <c r="C5">
        <v>125</v>
      </c>
      <c r="D5">
        <v>207</v>
      </c>
      <c r="E5">
        <v>385</v>
      </c>
      <c r="G5">
        <f t="shared" si="0"/>
        <v>-1.7336287644954385</v>
      </c>
      <c r="H5">
        <f t="shared" si="1"/>
        <v>-1.4352519331874189</v>
      </c>
      <c r="I5">
        <f t="shared" si="2"/>
        <v>-1.9078039889251044</v>
      </c>
      <c r="K5">
        <f t="shared" si="3"/>
        <v>-1.6922282288693207</v>
      </c>
      <c r="M5">
        <v>4</v>
      </c>
      <c r="N5">
        <v>-1.6922282288693207</v>
      </c>
    </row>
    <row r="6" spans="1:14">
      <c r="A6">
        <v>5</v>
      </c>
      <c r="B6">
        <v>1779</v>
      </c>
      <c r="C6">
        <v>356</v>
      </c>
      <c r="D6">
        <v>282</v>
      </c>
      <c r="E6">
        <v>441</v>
      </c>
      <c r="G6">
        <f t="shared" si="0"/>
        <v>-1.5043687675070598</v>
      </c>
      <c r="H6">
        <f t="shared" si="1"/>
        <v>-1.5262531583014156</v>
      </c>
      <c r="I6">
        <f t="shared" si="2"/>
        <v>-2.0741061169422066</v>
      </c>
      <c r="K6">
        <f t="shared" si="3"/>
        <v>-1.7015760142502272</v>
      </c>
      <c r="M6">
        <v>5</v>
      </c>
      <c r="N6">
        <v>-1.7015760142502272</v>
      </c>
    </row>
    <row r="7" spans="1:14">
      <c r="A7">
        <v>6</v>
      </c>
      <c r="B7">
        <v>1200</v>
      </c>
      <c r="C7">
        <v>108</v>
      </c>
      <c r="D7">
        <v>386</v>
      </c>
      <c r="E7">
        <v>289</v>
      </c>
      <c r="G7">
        <f t="shared" si="0"/>
        <v>-1.8514003079566852</v>
      </c>
      <c r="H7">
        <f t="shared" si="1"/>
        <v>-1.2189202599127216</v>
      </c>
      <c r="I7">
        <f t="shared" si="2"/>
        <v>-2.0866521616171969</v>
      </c>
      <c r="K7">
        <f t="shared" si="3"/>
        <v>-1.718990909828868</v>
      </c>
      <c r="M7">
        <v>6</v>
      </c>
      <c r="N7">
        <v>-1.718990909828868</v>
      </c>
    </row>
    <row r="8" spans="1:14">
      <c r="A8">
        <v>7</v>
      </c>
      <c r="B8">
        <v>845</v>
      </c>
      <c r="C8">
        <v>53</v>
      </c>
      <c r="D8">
        <v>131</v>
      </c>
      <c r="E8">
        <v>92</v>
      </c>
      <c r="G8">
        <f t="shared" si="0"/>
        <v>-2.0082236567449132</v>
      </c>
      <c r="H8">
        <f t="shared" si="1"/>
        <v>-1.5359117318307798</v>
      </c>
      <c r="I8">
        <f t="shared" si="2"/>
        <v>-2.4314376399302571</v>
      </c>
      <c r="K8">
        <f t="shared" si="3"/>
        <v>-1.9918576761686502</v>
      </c>
      <c r="M8">
        <v>7</v>
      </c>
      <c r="N8">
        <v>-1.9918576761686502</v>
      </c>
    </row>
    <row r="9" spans="1:14">
      <c r="A9">
        <v>8</v>
      </c>
      <c r="B9">
        <v>1703</v>
      </c>
      <c r="C9">
        <v>478</v>
      </c>
      <c r="D9">
        <v>405</v>
      </c>
      <c r="E9">
        <v>451</v>
      </c>
      <c r="G9">
        <f t="shared" si="0"/>
        <v>-1.3574295687464921</v>
      </c>
      <c r="H9">
        <f t="shared" si="1"/>
        <v>-1.350085943284784</v>
      </c>
      <c r="I9">
        <f t="shared" si="2"/>
        <v>-2.0454068644107606</v>
      </c>
      <c r="K9">
        <f t="shared" si="3"/>
        <v>-1.5843074588140122</v>
      </c>
      <c r="M9">
        <v>8</v>
      </c>
      <c r="N9">
        <v>-1.5843074588140122</v>
      </c>
    </row>
    <row r="10" spans="1:14">
      <c r="A10">
        <v>9</v>
      </c>
      <c r="B10">
        <v>1040</v>
      </c>
      <c r="C10">
        <v>815</v>
      </c>
      <c r="D10">
        <v>243</v>
      </c>
      <c r="E10">
        <v>235</v>
      </c>
      <c r="G10">
        <f t="shared" si="0"/>
        <v>-0.91151854795481368</v>
      </c>
      <c r="H10">
        <f t="shared" si="1"/>
        <v>-1.3577533842373199</v>
      </c>
      <c r="I10">
        <f t="shared" si="2"/>
        <v>-2.114334235353164</v>
      </c>
      <c r="K10">
        <f t="shared" si="3"/>
        <v>-1.4612020558484324</v>
      </c>
      <c r="M10">
        <v>9</v>
      </c>
      <c r="N10">
        <v>-1.4612020558484324</v>
      </c>
    </row>
    <row r="11" spans="1:14">
      <c r="A11">
        <v>10</v>
      </c>
      <c r="B11">
        <v>1078</v>
      </c>
      <c r="C11">
        <v>269</v>
      </c>
      <c r="D11">
        <v>427</v>
      </c>
      <c r="E11">
        <v>689</v>
      </c>
      <c r="G11">
        <f t="shared" si="0"/>
        <v>-1.4085092982443219</v>
      </c>
      <c r="H11">
        <f t="shared" si="1"/>
        <v>-1.1285172043625478</v>
      </c>
      <c r="I11">
        <f t="shared" si="2"/>
        <v>-1.6627682972692142</v>
      </c>
      <c r="K11">
        <f t="shared" si="3"/>
        <v>-1.3999315999586948</v>
      </c>
      <c r="M11">
        <v>10</v>
      </c>
      <c r="N11">
        <v>-1.3999315999586948</v>
      </c>
    </row>
    <row r="12" spans="1:14">
      <c r="A12">
        <v>11</v>
      </c>
      <c r="B12">
        <v>1367</v>
      </c>
      <c r="C12">
        <v>1174</v>
      </c>
      <c r="D12">
        <v>430</v>
      </c>
      <c r="E12">
        <v>941</v>
      </c>
      <c r="G12">
        <f t="shared" si="0"/>
        <v>-0.87174323505223661</v>
      </c>
      <c r="H12">
        <f t="shared" si="1"/>
        <v>-1.2286263775250874</v>
      </c>
      <c r="I12">
        <f t="shared" si="2"/>
        <v>-1.6305476494666853</v>
      </c>
      <c r="K12">
        <f t="shared" si="3"/>
        <v>-1.2436390873480032</v>
      </c>
      <c r="M12">
        <v>11</v>
      </c>
      <c r="N12">
        <v>-1.2436390873480032</v>
      </c>
    </row>
    <row r="13" spans="1:14">
      <c r="A13">
        <v>12</v>
      </c>
      <c r="B13">
        <v>853</v>
      </c>
      <c r="C13">
        <v>327</v>
      </c>
      <c r="D13">
        <v>177</v>
      </c>
      <c r="E13">
        <v>275</v>
      </c>
      <c r="G13">
        <f t="shared" si="0"/>
        <v>-1.222044095903247</v>
      </c>
      <c r="H13">
        <f t="shared" si="1"/>
        <v>-1.4093020833425682</v>
      </c>
      <c r="I13">
        <f t="shared" si="2"/>
        <v>-1.9599850956633804</v>
      </c>
      <c r="K13">
        <f t="shared" si="3"/>
        <v>-1.5304437583030654</v>
      </c>
      <c r="M13">
        <v>12</v>
      </c>
      <c r="N13">
        <v>-1.5304437583030654</v>
      </c>
    </row>
    <row r="14" spans="1:14">
      <c r="A14">
        <v>13</v>
      </c>
      <c r="B14">
        <v>1176</v>
      </c>
      <c r="C14">
        <v>108</v>
      </c>
      <c r="D14">
        <v>655</v>
      </c>
      <c r="E14">
        <v>114</v>
      </c>
      <c r="G14">
        <f t="shared" si="0"/>
        <v>-1.8426263836491799</v>
      </c>
      <c r="H14">
        <f t="shared" si="1"/>
        <v>-0.98049234028518828</v>
      </c>
      <c r="I14">
        <f t="shared" si="2"/>
        <v>-2.4818712287297671</v>
      </c>
      <c r="K14">
        <f t="shared" si="3"/>
        <v>-1.7683299842213784</v>
      </c>
      <c r="M14">
        <v>13</v>
      </c>
      <c r="N14">
        <v>-1.7683299842213784</v>
      </c>
    </row>
    <row r="15" spans="1:14">
      <c r="A15">
        <v>14</v>
      </c>
      <c r="B15">
        <v>1209</v>
      </c>
      <c r="C15">
        <v>122</v>
      </c>
      <c r="D15">
        <v>3691</v>
      </c>
      <c r="E15">
        <v>259</v>
      </c>
      <c r="G15">
        <f t="shared" si="0"/>
        <v>-1.8017092875820335</v>
      </c>
      <c r="H15">
        <f t="shared" si="1"/>
        <v>-0.24160857420196641</v>
      </c>
      <c r="I15">
        <f t="shared" si="2"/>
        <v>-2.1374952951056398</v>
      </c>
      <c r="K15">
        <f t="shared" si="3"/>
        <v>-1.3936043856298799</v>
      </c>
      <c r="M15">
        <v>14</v>
      </c>
      <c r="N15">
        <v>-1.3936043856298799</v>
      </c>
    </row>
    <row r="16" spans="1:14">
      <c r="A16">
        <v>15</v>
      </c>
      <c r="B16">
        <v>1258</v>
      </c>
      <c r="C16">
        <v>124</v>
      </c>
      <c r="D16">
        <v>47</v>
      </c>
      <c r="E16">
        <v>84</v>
      </c>
      <c r="G16">
        <f t="shared" si="0"/>
        <v>-1.8119017733430249</v>
      </c>
      <c r="H16">
        <f t="shared" si="1"/>
        <v>-2.1539091017103842</v>
      </c>
      <c r="I16">
        <f t="shared" si="2"/>
        <v>-2.6437701133734883</v>
      </c>
      <c r="K16">
        <f t="shared" si="3"/>
        <v>-2.2031936628089657</v>
      </c>
      <c r="M16">
        <v>15</v>
      </c>
      <c r="N16">
        <v>-2.2031936628089657</v>
      </c>
    </row>
    <row r="17" spans="1:14">
      <c r="A17">
        <v>16</v>
      </c>
      <c r="B17">
        <v>1382</v>
      </c>
      <c r="C17">
        <v>113</v>
      </c>
      <c r="D17">
        <v>122</v>
      </c>
      <c r="E17">
        <v>1200</v>
      </c>
      <c r="G17">
        <f t="shared" si="0"/>
        <v>-1.8930724169507698</v>
      </c>
      <c r="H17">
        <f t="shared" si="1"/>
        <v>-1.7804745309002832</v>
      </c>
      <c r="I17">
        <f t="shared" si="2"/>
        <v>-1.5296955553166749</v>
      </c>
      <c r="K17">
        <f t="shared" si="3"/>
        <v>-1.7344141677225757</v>
      </c>
      <c r="M17">
        <v>16</v>
      </c>
      <c r="N17">
        <v>-1.7344141677225757</v>
      </c>
    </row>
    <row r="18" spans="1:14">
      <c r="A18">
        <v>17</v>
      </c>
      <c r="B18">
        <v>1127</v>
      </c>
      <c r="C18">
        <v>165</v>
      </c>
      <c r="D18">
        <v>146</v>
      </c>
      <c r="E18">
        <v>187</v>
      </c>
      <c r="G18">
        <f t="shared" si="0"/>
        <v>-1.6400827892282104</v>
      </c>
      <c r="H18">
        <f t="shared" si="1"/>
        <v>-1.6138973787985211</v>
      </c>
      <c r="I18">
        <f t="shared" si="2"/>
        <v>-2.2484510678357275</v>
      </c>
      <c r="K18">
        <f t="shared" si="3"/>
        <v>-1.8341437452874862</v>
      </c>
      <c r="M18">
        <v>17</v>
      </c>
      <c r="N18">
        <v>-1.8341437452874862</v>
      </c>
    </row>
    <row r="19" spans="1:14">
      <c r="A19">
        <v>18</v>
      </c>
      <c r="B19">
        <v>1160</v>
      </c>
      <c r="C19">
        <v>81</v>
      </c>
      <c r="D19">
        <v>72</v>
      </c>
      <c r="E19">
        <v>78</v>
      </c>
      <c r="G19">
        <f t="shared" si="0"/>
        <v>-1.9616157877442786</v>
      </c>
      <c r="H19">
        <f t="shared" si="1"/>
        <v>-1.9334518113325019</v>
      </c>
      <c r="I19">
        <f t="shared" si="2"/>
        <v>-2.6407321448625583</v>
      </c>
      <c r="K19">
        <f t="shared" si="3"/>
        <v>-2.1785999146464463</v>
      </c>
      <c r="M19">
        <v>18</v>
      </c>
      <c r="N19">
        <v>-2.1785999146464463</v>
      </c>
    </row>
    <row r="20" spans="1:14">
      <c r="A20">
        <v>19</v>
      </c>
      <c r="B20">
        <v>1326</v>
      </c>
      <c r="C20">
        <v>277</v>
      </c>
      <c r="D20">
        <v>636</v>
      </c>
      <c r="E20">
        <v>148</v>
      </c>
      <c r="G20">
        <f t="shared" si="0"/>
        <v>-1.4857065724003156</v>
      </c>
      <c r="H20">
        <f t="shared" si="1"/>
        <v>-1.045412726957192</v>
      </c>
      <c r="I20">
        <f t="shared" si="2"/>
        <v>-2.420650566999917</v>
      </c>
      <c r="K20">
        <f t="shared" si="3"/>
        <v>-1.6505899554524748</v>
      </c>
      <c r="M20">
        <v>19</v>
      </c>
      <c r="N20">
        <v>-1.6505899554524748</v>
      </c>
    </row>
    <row r="21" spans="1:14">
      <c r="A21">
        <v>20</v>
      </c>
      <c r="B21">
        <v>932</v>
      </c>
      <c r="C21">
        <v>174</v>
      </c>
      <c r="D21">
        <v>46</v>
      </c>
      <c r="E21">
        <v>239</v>
      </c>
      <c r="G21">
        <f t="shared" si="0"/>
        <v>-1.5345094814673916</v>
      </c>
      <c r="H21">
        <f t="shared" si="1"/>
        <v>-2.0329843992092589</v>
      </c>
      <c r="I21">
        <f t="shared" si="2"/>
        <v>-2.0593867697319634</v>
      </c>
      <c r="K21">
        <f t="shared" si="3"/>
        <v>-1.875626883469538</v>
      </c>
      <c r="M21">
        <v>20</v>
      </c>
      <c r="N21">
        <v>-1.875626883469538</v>
      </c>
    </row>
    <row r="22" spans="1:14">
      <c r="A22">
        <v>21</v>
      </c>
      <c r="B22">
        <v>1388</v>
      </c>
      <c r="C22">
        <v>119</v>
      </c>
      <c r="D22">
        <v>402</v>
      </c>
      <c r="E22">
        <v>180</v>
      </c>
      <c r="G22">
        <f t="shared" si="0"/>
        <v>-1.8724853221223152</v>
      </c>
      <c r="H22">
        <f t="shared" si="1"/>
        <v>-1.2644897315712178</v>
      </c>
      <c r="I22">
        <f t="shared" si="2"/>
        <v>-2.3554857193416501</v>
      </c>
      <c r="K22">
        <f t="shared" si="3"/>
        <v>-1.8308202576783943</v>
      </c>
      <c r="M22">
        <v>21</v>
      </c>
      <c r="N22">
        <v>-1.8308202576783943</v>
      </c>
    </row>
    <row r="23" spans="1:14">
      <c r="A23">
        <v>22</v>
      </c>
      <c r="B23">
        <v>1291</v>
      </c>
      <c r="C23">
        <v>218</v>
      </c>
      <c r="D23">
        <v>596</v>
      </c>
      <c r="E23">
        <v>197</v>
      </c>
      <c r="G23">
        <f t="shared" si="0"/>
        <v>-1.5781125660578255</v>
      </c>
      <c r="H23">
        <f t="shared" si="1"/>
        <v>-1.0620063010630356</v>
      </c>
      <c r="I23">
        <f t="shared" si="2"/>
        <v>-2.2848287744309475</v>
      </c>
      <c r="K23">
        <f t="shared" si="3"/>
        <v>-1.6416492138506029</v>
      </c>
      <c r="M23">
        <v>22</v>
      </c>
      <c r="N23">
        <v>-1.6416492138506029</v>
      </c>
    </row>
    <row r="24" spans="1:14">
      <c r="A24">
        <v>23</v>
      </c>
      <c r="B24">
        <v>930</v>
      </c>
      <c r="C24">
        <v>53</v>
      </c>
      <c r="D24">
        <v>169</v>
      </c>
      <c r="E24">
        <v>33</v>
      </c>
      <c r="G24">
        <f t="shared" si="0"/>
        <v>-2.0498498963491558</v>
      </c>
      <c r="H24">
        <f t="shared" si="1"/>
        <v>-1.4669225624771132</v>
      </c>
      <c r="I24">
        <f t="shared" si="2"/>
        <v>-2.9183377670021677</v>
      </c>
      <c r="K24">
        <f t="shared" si="3"/>
        <v>-2.1450367419428122</v>
      </c>
      <c r="M24">
        <v>23</v>
      </c>
      <c r="N24">
        <v>-2.1450367419428122</v>
      </c>
    </row>
    <row r="25" spans="1:14">
      <c r="A25">
        <v>24</v>
      </c>
      <c r="B25">
        <v>1243</v>
      </c>
      <c r="C25">
        <v>510</v>
      </c>
      <c r="D25">
        <v>1378</v>
      </c>
      <c r="E25">
        <v>666</v>
      </c>
      <c r="G25">
        <f t="shared" si="0"/>
        <v>-1.1925437699397183</v>
      </c>
      <c r="H25">
        <f t="shared" si="1"/>
        <v>-0.68154822960688943</v>
      </c>
      <c r="I25">
        <f t="shared" si="2"/>
        <v>-1.7393656577974639</v>
      </c>
      <c r="K25">
        <f t="shared" si="3"/>
        <v>-1.2044858857813572</v>
      </c>
      <c r="M25">
        <v>24</v>
      </c>
      <c r="N25">
        <v>-1.2044858857813572</v>
      </c>
    </row>
    <row r="26" spans="1:14">
      <c r="A26">
        <v>25</v>
      </c>
      <c r="B26">
        <v>768</v>
      </c>
      <c r="C26">
        <v>471</v>
      </c>
      <c r="D26">
        <v>655</v>
      </c>
      <c r="E26">
        <v>75</v>
      </c>
      <c r="G26">
        <f t="shared" si="0"/>
        <v>-1.0179831302986257</v>
      </c>
      <c r="H26">
        <f t="shared" si="1"/>
        <v>-0.79544623857658059</v>
      </c>
      <c r="I26">
        <f t="shared" si="2"/>
        <v>-2.4786687149659317</v>
      </c>
      <c r="K26">
        <f t="shared" si="3"/>
        <v>-1.4306993612803793</v>
      </c>
      <c r="M26">
        <v>25</v>
      </c>
      <c r="N26">
        <v>-1.4306993612803793</v>
      </c>
    </row>
    <row r="27" spans="1:14">
      <c r="A27">
        <v>26</v>
      </c>
      <c r="B27">
        <v>1114</v>
      </c>
      <c r="C27">
        <v>813</v>
      </c>
      <c r="D27">
        <v>467</v>
      </c>
      <c r="E27">
        <v>503</v>
      </c>
      <c r="G27">
        <f t="shared" si="0"/>
        <v>-0.94243746263965189</v>
      </c>
      <c r="H27">
        <f t="shared" si="1"/>
        <v>-1.1038946288084497</v>
      </c>
      <c r="I27">
        <f t="shared" si="2"/>
        <v>-1.8136859641079028</v>
      </c>
      <c r="K27">
        <f t="shared" si="3"/>
        <v>-1.2866726851853347</v>
      </c>
      <c r="M27">
        <v>26</v>
      </c>
      <c r="N27">
        <v>-1.2866726851853347</v>
      </c>
    </row>
    <row r="28" spans="1:14">
      <c r="A28">
        <v>27</v>
      </c>
      <c r="B28">
        <v>1285</v>
      </c>
      <c r="C28">
        <v>175</v>
      </c>
      <c r="D28">
        <v>903</v>
      </c>
      <c r="E28">
        <v>335</v>
      </c>
      <c r="G28">
        <f t="shared" si="0"/>
        <v>-1.6715078963770289</v>
      </c>
      <c r="H28">
        <f t="shared" si="1"/>
        <v>-0.87954169589065923</v>
      </c>
      <c r="I28">
        <f t="shared" si="2"/>
        <v>-2.0522270789565882</v>
      </c>
      <c r="K28">
        <f t="shared" si="3"/>
        <v>-1.5344255570747587</v>
      </c>
      <c r="M28">
        <v>27</v>
      </c>
      <c r="N28">
        <v>-1.5344255570747587</v>
      </c>
    </row>
    <row r="29" spans="1:14">
      <c r="A29">
        <v>28</v>
      </c>
      <c r="B29">
        <v>1437</v>
      </c>
      <c r="C29">
        <v>445</v>
      </c>
      <c r="D29">
        <v>62</v>
      </c>
      <c r="E29">
        <v>176</v>
      </c>
      <c r="G29">
        <f t="shared" si="0"/>
        <v>-1.314739574549304</v>
      </c>
      <c r="H29">
        <f t="shared" si="1"/>
        <v>-2.0913913971728233</v>
      </c>
      <c r="I29">
        <f t="shared" si="2"/>
        <v>-2.3803128586461959</v>
      </c>
      <c r="K29">
        <f t="shared" si="3"/>
        <v>-1.9288146101227746</v>
      </c>
      <c r="M29">
        <v>28</v>
      </c>
      <c r="N29">
        <v>-1.9288146101227746</v>
      </c>
    </row>
    <row r="30" spans="1:14">
      <c r="A30">
        <v>29</v>
      </c>
      <c r="B30">
        <v>746</v>
      </c>
      <c r="C30">
        <v>196</v>
      </c>
      <c r="D30">
        <v>54</v>
      </c>
      <c r="E30">
        <v>205</v>
      </c>
      <c r="G30">
        <f t="shared" si="0"/>
        <v>-1.3861255735122027</v>
      </c>
      <c r="H30">
        <f t="shared" si="1"/>
        <v>-1.8666713861865518</v>
      </c>
      <c r="I30">
        <f t="shared" si="2"/>
        <v>-2.0293537247430344</v>
      </c>
      <c r="K30">
        <f t="shared" si="3"/>
        <v>-1.7607168948139293</v>
      </c>
      <c r="M30">
        <v>29</v>
      </c>
      <c r="N30">
        <v>-1.7607168948139293</v>
      </c>
    </row>
    <row r="31" spans="1:14">
      <c r="A31">
        <v>30</v>
      </c>
      <c r="B31">
        <v>1700</v>
      </c>
      <c r="C31">
        <v>589</v>
      </c>
      <c r="D31">
        <v>842</v>
      </c>
      <c r="E31">
        <v>276</v>
      </c>
      <c r="G31">
        <f t="shared" si="0"/>
        <v>-1.2659764439871823</v>
      </c>
      <c r="H31">
        <f t="shared" si="1"/>
        <v>-1.0314631484154761</v>
      </c>
      <c r="I31">
        <f t="shared" si="2"/>
        <v>-2.2579085976391764</v>
      </c>
      <c r="K31">
        <f t="shared" si="3"/>
        <v>-1.5184493966806116</v>
      </c>
      <c r="M31">
        <v>30</v>
      </c>
      <c r="N31">
        <v>-1.5184493966806116</v>
      </c>
    </row>
    <row r="32" spans="1:14">
      <c r="A32">
        <v>31</v>
      </c>
      <c r="B32">
        <v>981</v>
      </c>
      <c r="C32">
        <v>87</v>
      </c>
      <c r="D32">
        <v>39</v>
      </c>
      <c r="E32">
        <v>418</v>
      </c>
      <c r="G32">
        <f t="shared" si="0"/>
        <v>-1.8577925721573398</v>
      </c>
      <c r="H32">
        <f t="shared" si="1"/>
        <v>-2.1269307188903008</v>
      </c>
      <c r="I32">
        <f t="shared" si="2"/>
        <v>-1.8388614839310333</v>
      </c>
      <c r="K32">
        <f t="shared" si="3"/>
        <v>-1.9411949249928915</v>
      </c>
      <c r="M32">
        <v>31</v>
      </c>
      <c r="N32">
        <v>-1.9411949249928915</v>
      </c>
    </row>
    <row r="33" spans="1:14">
      <c r="A33">
        <v>32</v>
      </c>
      <c r="B33">
        <v>802</v>
      </c>
      <c r="C33">
        <v>113</v>
      </c>
      <c r="D33">
        <v>27</v>
      </c>
      <c r="E33">
        <v>196</v>
      </c>
      <c r="G33">
        <f t="shared" si="0"/>
        <v>-1.6567387421967537</v>
      </c>
      <c r="H33">
        <f t="shared" si="1"/>
        <v>-2.1991369226620279</v>
      </c>
      <c r="I33">
        <f t="shared" si="2"/>
        <v>-2.0802870552538075</v>
      </c>
      <c r="K33">
        <f t="shared" si="3"/>
        <v>-1.9787209067041964</v>
      </c>
      <c r="M33">
        <v>32</v>
      </c>
      <c r="N33">
        <v>-1.9787209067041964</v>
      </c>
    </row>
    <row r="34" spans="1:14">
      <c r="A34">
        <v>33</v>
      </c>
      <c r="B34">
        <v>640</v>
      </c>
      <c r="C34">
        <v>241</v>
      </c>
      <c r="D34">
        <v>142</v>
      </c>
      <c r="E34">
        <v>90</v>
      </c>
      <c r="G34">
        <f t="shared" si="0"/>
        <v>-1.2298057488050287</v>
      </c>
      <c r="H34">
        <f t="shared" si="1"/>
        <v>-1.3802179481376824</v>
      </c>
      <c r="I34">
        <f t="shared" si="2"/>
        <v>-2.3203062228706823</v>
      </c>
      <c r="K34">
        <f t="shared" si="3"/>
        <v>-1.6434433066044647</v>
      </c>
      <c r="M34">
        <v>33</v>
      </c>
      <c r="N34">
        <v>-1.6434433066044647</v>
      </c>
    </row>
    <row r="35" spans="1:14">
      <c r="A35">
        <v>34</v>
      </c>
      <c r="B35">
        <v>886</v>
      </c>
      <c r="C35">
        <v>262</v>
      </c>
      <c r="D35">
        <v>306</v>
      </c>
      <c r="E35">
        <v>76</v>
      </c>
      <c r="G35">
        <f t="shared" si="0"/>
        <v>-1.3347752479633153</v>
      </c>
      <c r="H35">
        <f t="shared" si="1"/>
        <v>-1.1880386139423225</v>
      </c>
      <c r="I35">
        <f t="shared" si="2"/>
        <v>-2.5349888879323794</v>
      </c>
      <c r="K35">
        <f t="shared" si="3"/>
        <v>-1.6859342499460057</v>
      </c>
      <c r="M35">
        <v>34</v>
      </c>
      <c r="N35">
        <v>-1.6859342499460057</v>
      </c>
    </row>
    <row r="36" spans="1:14">
      <c r="A36">
        <v>35</v>
      </c>
      <c r="B36">
        <v>1030</v>
      </c>
      <c r="C36">
        <v>63</v>
      </c>
      <c r="D36">
        <v>135</v>
      </c>
      <c r="E36">
        <v>90</v>
      </c>
      <c r="G36">
        <f t="shared" si="0"/>
        <v>-2.0191394926476005</v>
      </c>
      <c r="H36">
        <f t="shared" si="1"/>
        <v>-1.6088297747470177</v>
      </c>
      <c r="I36">
        <f t="shared" si="2"/>
        <v>-2.5269634735919673</v>
      </c>
      <c r="K36">
        <f t="shared" si="3"/>
        <v>-2.0516442469955285</v>
      </c>
      <c r="M36">
        <v>35</v>
      </c>
      <c r="N36">
        <v>-2.0516442469955285</v>
      </c>
    </row>
    <row r="37" spans="1:14">
      <c r="A37">
        <v>36</v>
      </c>
      <c r="B37">
        <v>1603</v>
      </c>
      <c r="C37">
        <v>142</v>
      </c>
      <c r="D37">
        <v>206</v>
      </c>
      <c r="E37">
        <v>257</v>
      </c>
      <c r="G37">
        <f t="shared" si="0"/>
        <v>-1.8582879953670983</v>
      </c>
      <c r="H37">
        <f t="shared" si="1"/>
        <v>-1.617392620521843</v>
      </c>
      <c r="I37">
        <f t="shared" si="2"/>
        <v>-2.2633691573489703</v>
      </c>
      <c r="K37">
        <f t="shared" si="3"/>
        <v>-1.9130165910793038</v>
      </c>
      <c r="M37">
        <v>36</v>
      </c>
      <c r="N37">
        <v>-1.9130165910793038</v>
      </c>
    </row>
    <row r="38" spans="1:14">
      <c r="A38">
        <v>37</v>
      </c>
      <c r="B38">
        <v>828</v>
      </c>
      <c r="C38">
        <v>104</v>
      </c>
      <c r="D38">
        <v>84</v>
      </c>
      <c r="E38">
        <v>198</v>
      </c>
      <c r="G38">
        <f t="shared" si="0"/>
        <v>-1.7066398148821098</v>
      </c>
      <c r="H38">
        <f t="shared" si="1"/>
        <v>-1.7200773692598501</v>
      </c>
      <c r="I38">
        <f t="shared" si="2"/>
        <v>-2.089733904849469</v>
      </c>
      <c r="K38">
        <f t="shared" si="3"/>
        <v>-1.8388170296638098</v>
      </c>
      <c r="M38">
        <v>37</v>
      </c>
      <c r="N38">
        <v>-1.8388170296638098</v>
      </c>
    </row>
    <row r="39" spans="1:14">
      <c r="A39">
        <v>38</v>
      </c>
      <c r="B39">
        <v>775</v>
      </c>
      <c r="C39">
        <v>431</v>
      </c>
      <c r="D39">
        <v>78</v>
      </c>
      <c r="E39">
        <v>57</v>
      </c>
      <c r="G39">
        <f t="shared" si="0"/>
        <v>-1.0604672497415886</v>
      </c>
      <c r="H39">
        <f t="shared" si="1"/>
        <v>-1.7235334183526816</v>
      </c>
      <c r="I39">
        <f t="shared" si="2"/>
        <v>-2.6017956051599391</v>
      </c>
      <c r="K39">
        <f t="shared" si="3"/>
        <v>-1.7952654244180699</v>
      </c>
      <c r="M39">
        <v>38</v>
      </c>
      <c r="N39">
        <v>-1.7952654244180699</v>
      </c>
    </row>
    <row r="40" spans="1:14">
      <c r="A40">
        <v>39</v>
      </c>
      <c r="B40">
        <v>1296</v>
      </c>
      <c r="C40">
        <v>364</v>
      </c>
      <c r="D40">
        <v>288</v>
      </c>
      <c r="E40">
        <v>281</v>
      </c>
      <c r="G40">
        <f t="shared" si="0"/>
        <v>-1.3571464352815283</v>
      </c>
      <c r="H40">
        <f t="shared" si="1"/>
        <v>-1.3795388323121953</v>
      </c>
      <c r="I40">
        <f t="shared" si="2"/>
        <v>-2.1322674399556147</v>
      </c>
      <c r="K40">
        <f t="shared" si="3"/>
        <v>-1.6229842358497795</v>
      </c>
      <c r="M40">
        <v>39</v>
      </c>
      <c r="N40">
        <v>-1.6229842358497795</v>
      </c>
    </row>
    <row r="41" spans="1:14">
      <c r="A41">
        <v>40</v>
      </c>
      <c r="B41">
        <v>1021</v>
      </c>
      <c r="C41">
        <v>102</v>
      </c>
      <c r="D41">
        <v>2378</v>
      </c>
      <c r="E41">
        <v>93</v>
      </c>
      <c r="G41">
        <f t="shared" si="0"/>
        <v>-1.8060683877210026</v>
      </c>
      <c r="H41">
        <f t="shared" si="1"/>
        <v>-0.35914021034108917</v>
      </c>
      <c r="I41">
        <f t="shared" si="2"/>
        <v>-2.5089115518590952</v>
      </c>
      <c r="K41">
        <f t="shared" si="3"/>
        <v>-1.558040049973729</v>
      </c>
      <c r="M41">
        <v>40</v>
      </c>
      <c r="N41">
        <v>-1.558040049973729</v>
      </c>
    </row>
    <row r="42" spans="1:14">
      <c r="A42">
        <v>41</v>
      </c>
      <c r="B42">
        <v>1400</v>
      </c>
      <c r="C42">
        <v>679</v>
      </c>
      <c r="D42">
        <v>253</v>
      </c>
      <c r="E42">
        <v>830</v>
      </c>
      <c r="G42">
        <f t="shared" si="0"/>
        <v>-1.1199010787937462</v>
      </c>
      <c r="H42">
        <f t="shared" si="1"/>
        <v>-1.4693338330392718</v>
      </c>
      <c r="I42">
        <f t="shared" si="2"/>
        <v>-1.6954187016282842</v>
      </c>
      <c r="K42">
        <f t="shared" si="3"/>
        <v>-1.4282178711537676</v>
      </c>
      <c r="M42">
        <v>41</v>
      </c>
      <c r="N42">
        <v>-1.4282178711537676</v>
      </c>
    </row>
    <row r="43" spans="1:14">
      <c r="A43">
        <v>42</v>
      </c>
      <c r="B43">
        <v>891</v>
      </c>
      <c r="C43">
        <v>111</v>
      </c>
      <c r="D43">
        <v>134</v>
      </c>
      <c r="E43">
        <v>328</v>
      </c>
      <c r="G43">
        <f t="shared" si="0"/>
        <v>-1.7101975426462273</v>
      </c>
      <c r="H43">
        <f t="shared" si="1"/>
        <v>-1.549099224208919</v>
      </c>
      <c r="I43">
        <f t="shared" si="2"/>
        <v>-1.9023726186513157</v>
      </c>
      <c r="K43">
        <f t="shared" si="3"/>
        <v>-1.7205564618354874</v>
      </c>
      <c r="M43">
        <v>42</v>
      </c>
      <c r="N43">
        <v>-1.7205564618354874</v>
      </c>
    </row>
    <row r="44" spans="1:14">
      <c r="A44">
        <v>43</v>
      </c>
      <c r="B44">
        <v>456</v>
      </c>
      <c r="C44">
        <v>123</v>
      </c>
      <c r="D44">
        <v>25</v>
      </c>
      <c r="E44">
        <v>131</v>
      </c>
      <c r="G44">
        <f t="shared" si="0"/>
        <v>-1.3747025486210469</v>
      </c>
      <c r="H44">
        <f t="shared" si="1"/>
        <v>-1.9873511525292491</v>
      </c>
      <c r="I44">
        <f t="shared" si="2"/>
        <v>-2.0100623053347908</v>
      </c>
      <c r="K44">
        <f t="shared" si="3"/>
        <v>-1.7907053354950289</v>
      </c>
      <c r="M44">
        <v>43</v>
      </c>
      <c r="N44">
        <v>-1.7907053354950289</v>
      </c>
    </row>
    <row r="45" spans="1:14">
      <c r="A45">
        <v>44</v>
      </c>
      <c r="B45">
        <v>944</v>
      </c>
      <c r="C45">
        <v>619</v>
      </c>
      <c r="D45">
        <v>240</v>
      </c>
      <c r="E45">
        <v>270</v>
      </c>
      <c r="G45">
        <f t="shared" si="0"/>
        <v>-0.98892416267396099</v>
      </c>
      <c r="H45">
        <f t="shared" si="1"/>
        <v>-1.3210870711233147</v>
      </c>
      <c r="I45">
        <f t="shared" si="2"/>
        <v>-2.0119769884652019</v>
      </c>
      <c r="K45">
        <f t="shared" si="3"/>
        <v>-1.4406627407541592</v>
      </c>
      <c r="M45">
        <v>44</v>
      </c>
      <c r="N45">
        <v>-1.4406627407541592</v>
      </c>
    </row>
    <row r="46" spans="1:14">
      <c r="A46">
        <v>45</v>
      </c>
      <c r="B46">
        <v>1441</v>
      </c>
      <c r="C46">
        <v>178</v>
      </c>
      <c r="D46">
        <v>57</v>
      </c>
      <c r="E46">
        <v>424</v>
      </c>
      <c r="G46">
        <f t="shared" si="0"/>
        <v>-1.7138867959011053</v>
      </c>
      <c r="H46">
        <f t="shared" si="1"/>
        <v>-2.1291154436783497</v>
      </c>
      <c r="I46">
        <f t="shared" si="2"/>
        <v>-1.9996668825473767</v>
      </c>
      <c r="K46">
        <f t="shared" si="3"/>
        <v>-1.9475563740422774</v>
      </c>
      <c r="M46">
        <v>45</v>
      </c>
      <c r="N46">
        <v>-1.9475563740422774</v>
      </c>
    </row>
    <row r="47" spans="1:14">
      <c r="A47">
        <v>46</v>
      </c>
      <c r="B47">
        <v>1439</v>
      </c>
      <c r="C47">
        <v>1818</v>
      </c>
      <c r="D47">
        <v>154</v>
      </c>
      <c r="E47">
        <v>112</v>
      </c>
      <c r="G47">
        <f t="shared" si="0"/>
        <v>-0.70410973244666653</v>
      </c>
      <c r="H47">
        <f t="shared" si="1"/>
        <v>-1.6968663916369939</v>
      </c>
      <c r="I47">
        <f t="shared" si="2"/>
        <v>-2.5772115295925433</v>
      </c>
      <c r="K47">
        <f t="shared" si="3"/>
        <v>-1.6593958845587347</v>
      </c>
      <c r="M47">
        <v>46</v>
      </c>
      <c r="N47">
        <v>-1.6593958845587347</v>
      </c>
    </row>
    <row r="48" spans="1:14">
      <c r="A48">
        <v>47</v>
      </c>
      <c r="B48">
        <v>1246</v>
      </c>
      <c r="C48">
        <v>116</v>
      </c>
      <c r="D48">
        <v>210</v>
      </c>
      <c r="E48">
        <v>284</v>
      </c>
      <c r="G48">
        <f t="shared" si="0"/>
        <v>-1.8367028704922423</v>
      </c>
      <c r="H48">
        <f t="shared" si="1"/>
        <v>-1.4996250661260833</v>
      </c>
      <c r="I48">
        <f t="shared" si="2"/>
        <v>-2.110568460602233</v>
      </c>
      <c r="K48">
        <f t="shared" si="3"/>
        <v>-1.8156321324068532</v>
      </c>
      <c r="M48">
        <v>47</v>
      </c>
      <c r="N48">
        <v>-1.8156321324068532</v>
      </c>
    </row>
    <row r="49" spans="1:14">
      <c r="A49">
        <v>48</v>
      </c>
      <c r="B49">
        <v>1036</v>
      </c>
      <c r="C49">
        <v>899</v>
      </c>
      <c r="D49">
        <v>116</v>
      </c>
      <c r="E49">
        <v>403</v>
      </c>
      <c r="G49">
        <f t="shared" si="0"/>
        <v>-0.86724288107199543</v>
      </c>
      <c r="H49">
        <f t="shared" si="1"/>
        <v>-1.6772280847191474</v>
      </c>
      <c r="I49">
        <f t="shared" si="2"/>
        <v>-1.8784234675942248</v>
      </c>
      <c r="K49">
        <f t="shared" si="3"/>
        <v>-1.4742981444617893</v>
      </c>
      <c r="M49">
        <v>48</v>
      </c>
      <c r="N49">
        <v>-1.4742981444617893</v>
      </c>
    </row>
    <row r="50" spans="1:14">
      <c r="A50">
        <v>49</v>
      </c>
      <c r="B50">
        <v>1627</v>
      </c>
      <c r="C50">
        <v>511</v>
      </c>
      <c r="D50">
        <v>171</v>
      </c>
      <c r="E50">
        <v>1472</v>
      </c>
      <c r="G50">
        <f t="shared" si="0"/>
        <v>-1.3086094701981561</v>
      </c>
      <c r="H50">
        <f t="shared" si="1"/>
        <v>-1.7047177610815567</v>
      </c>
      <c r="I50">
        <f t="shared" si="2"/>
        <v>-1.5118485012614988</v>
      </c>
      <c r="K50">
        <f t="shared" si="3"/>
        <v>-1.5083919108470705</v>
      </c>
      <c r="M50">
        <v>49</v>
      </c>
      <c r="N50">
        <v>-1.5083919108470705</v>
      </c>
    </row>
    <row r="51" spans="1:14">
      <c r="A51">
        <v>50</v>
      </c>
      <c r="B51">
        <v>839</v>
      </c>
      <c r="C51">
        <v>46</v>
      </c>
      <c r="D51">
        <v>93</v>
      </c>
      <c r="E51">
        <v>364</v>
      </c>
      <c r="G51">
        <f t="shared" si="0"/>
        <v>-2.0666469465431359</v>
      </c>
      <c r="H51">
        <f t="shared" si="1"/>
        <v>-1.681605330811617</v>
      </c>
      <c r="I51">
        <f t="shared" si="2"/>
        <v>-1.8310293355057643</v>
      </c>
      <c r="K51">
        <f t="shared" si="3"/>
        <v>-1.8597605376201722</v>
      </c>
      <c r="M51">
        <v>50</v>
      </c>
      <c r="N51">
        <v>-1.8597605376201722</v>
      </c>
    </row>
    <row r="52" spans="1:14">
      <c r="A52">
        <v>51</v>
      </c>
      <c r="B52">
        <v>1158</v>
      </c>
      <c r="C52">
        <v>58</v>
      </c>
      <c r="D52">
        <v>1937</v>
      </c>
      <c r="E52">
        <v>81</v>
      </c>
      <c r="G52">
        <f t="shared" si="0"/>
        <v>-2.1059233832244901</v>
      </c>
      <c r="H52">
        <f t="shared" si="1"/>
        <v>-0.50290525720915824</v>
      </c>
      <c r="I52">
        <f t="shared" si="2"/>
        <v>-2.6235922988388873</v>
      </c>
      <c r="K52">
        <f t="shared" si="3"/>
        <v>-1.7441403130908453</v>
      </c>
      <c r="M52">
        <v>51</v>
      </c>
      <c r="N52">
        <v>-1.7441403130908453</v>
      </c>
    </row>
    <row r="53" spans="1:14">
      <c r="A53">
        <v>52</v>
      </c>
      <c r="B53">
        <v>1141</v>
      </c>
      <c r="C53">
        <v>144</v>
      </c>
      <c r="D53">
        <v>419</v>
      </c>
      <c r="E53">
        <v>81</v>
      </c>
      <c r="G53">
        <f t="shared" si="0"/>
        <v>-1.704565969718975</v>
      </c>
      <c r="H53">
        <f t="shared" si="1"/>
        <v>-1.1613979399887711</v>
      </c>
      <c r="I53">
        <f t="shared" si="2"/>
        <v>-2.6171693838656847</v>
      </c>
      <c r="K53">
        <f t="shared" si="3"/>
        <v>-1.8277110978578104</v>
      </c>
      <c r="M53">
        <v>52</v>
      </c>
      <c r="N53">
        <v>-1.8277110978578104</v>
      </c>
    </row>
    <row r="54" spans="1:14">
      <c r="A54">
        <v>53</v>
      </c>
      <c r="B54">
        <v>1274</v>
      </c>
      <c r="C54">
        <v>438</v>
      </c>
      <c r="D54">
        <v>88</v>
      </c>
      <c r="E54">
        <v>85</v>
      </c>
      <c r="G54">
        <f t="shared" si="0"/>
        <v>-1.269338134891242</v>
      </c>
      <c r="H54">
        <f t="shared" si="1"/>
        <v>-1.8870130743860147</v>
      </c>
      <c r="I54">
        <f t="shared" si="2"/>
        <v>-2.6441192606111588</v>
      </c>
      <c r="K54">
        <f t="shared" si="3"/>
        <v>-1.9334901566294718</v>
      </c>
      <c r="M54">
        <v>53</v>
      </c>
      <c r="N54">
        <v>-1.9334901566294718</v>
      </c>
    </row>
    <row r="55" spans="1:14">
      <c r="A55">
        <v>54</v>
      </c>
      <c r="B55">
        <v>1062</v>
      </c>
      <c r="C55">
        <v>1021</v>
      </c>
      <c r="D55">
        <v>92</v>
      </c>
      <c r="E55">
        <v>171</v>
      </c>
      <c r="G55">
        <f t="shared" si="0"/>
        <v>-0.82274159205455</v>
      </c>
      <c r="H55">
        <f t="shared" si="1"/>
        <v>-1.7886630079367465</v>
      </c>
      <c r="I55">
        <f t="shared" si="2"/>
        <v>-2.2614971646794166</v>
      </c>
      <c r="K55">
        <f t="shared" si="3"/>
        <v>-1.624300588223571</v>
      </c>
      <c r="M55">
        <v>54</v>
      </c>
      <c r="N55">
        <v>-1.624300588223571</v>
      </c>
    </row>
    <row r="56" spans="1:14">
      <c r="A56">
        <v>55</v>
      </c>
      <c r="B56">
        <v>757</v>
      </c>
      <c r="C56">
        <v>97</v>
      </c>
      <c r="D56">
        <v>30</v>
      </c>
      <c r="E56">
        <v>67</v>
      </c>
      <c r="G56">
        <f t="shared" si="0"/>
        <v>-1.6979669626298377</v>
      </c>
      <c r="H56">
        <f t="shared" si="1"/>
        <v>-2.1283009433172619</v>
      </c>
      <c r="I56">
        <f t="shared" si="2"/>
        <v>-2.5213898351253663</v>
      </c>
      <c r="K56">
        <f t="shared" si="3"/>
        <v>-2.1158859136908217</v>
      </c>
      <c r="M56">
        <v>55</v>
      </c>
      <c r="N56">
        <v>-2.1158859136908217</v>
      </c>
    </row>
    <row r="57" spans="1:14">
      <c r="A57">
        <v>56</v>
      </c>
      <c r="B57">
        <v>1116</v>
      </c>
      <c r="C57">
        <v>110</v>
      </c>
      <c r="D57">
        <v>293</v>
      </c>
      <c r="E57">
        <v>1070</v>
      </c>
      <c r="G57">
        <f t="shared" si="0"/>
        <v>-1.8119143268393449</v>
      </c>
      <c r="H57">
        <f t="shared" si="1"/>
        <v>-1.3071228927843022</v>
      </c>
      <c r="I57">
        <f t="shared" si="2"/>
        <v>-1.4866491752424704</v>
      </c>
      <c r="K57">
        <f t="shared" si="3"/>
        <v>-1.5352287982887056</v>
      </c>
      <c r="M57">
        <v>56</v>
      </c>
      <c r="N57">
        <v>-1.5352287982887056</v>
      </c>
    </row>
    <row r="58" spans="1:14">
      <c r="A58">
        <v>57</v>
      </c>
      <c r="B58">
        <v>714</v>
      </c>
      <c r="C58">
        <v>738</v>
      </c>
      <c r="D58">
        <v>138</v>
      </c>
      <c r="E58">
        <v>242</v>
      </c>
      <c r="G58">
        <f t="shared" si="0"/>
        <v>-0.79128466734914271</v>
      </c>
      <c r="H58">
        <f t="shared" si="1"/>
        <v>-1.4401454439117896</v>
      </c>
      <c r="I58">
        <f t="shared" si="2"/>
        <v>-1.9382516041218631</v>
      </c>
      <c r="K58">
        <f t="shared" si="3"/>
        <v>-1.3898939051275985</v>
      </c>
      <c r="M58">
        <v>57</v>
      </c>
      <c r="N58">
        <v>-1.3898939051275985</v>
      </c>
    </row>
    <row r="59" spans="1:14">
      <c r="A59">
        <v>58</v>
      </c>
      <c r="B59">
        <v>1357</v>
      </c>
      <c r="C59">
        <v>213</v>
      </c>
      <c r="D59">
        <v>139</v>
      </c>
      <c r="E59">
        <v>226</v>
      </c>
      <c r="G59">
        <f t="shared" si="0"/>
        <v>-1.6098430616170094</v>
      </c>
      <c r="H59">
        <f t="shared" si="1"/>
        <v>-1.7158913659424937</v>
      </c>
      <c r="I59">
        <f t="shared" si="2"/>
        <v>-2.2468401668384561</v>
      </c>
      <c r="K59">
        <f t="shared" si="3"/>
        <v>-1.8575248647993199</v>
      </c>
      <c r="M59">
        <v>58</v>
      </c>
      <c r="N59">
        <v>-1.8575248647993199</v>
      </c>
    </row>
    <row r="60" spans="1:14">
      <c r="A60">
        <v>59</v>
      </c>
      <c r="B60">
        <v>1171</v>
      </c>
      <c r="C60">
        <v>3895</v>
      </c>
      <c r="D60">
        <v>1689</v>
      </c>
      <c r="E60">
        <v>617</v>
      </c>
      <c r="G60">
        <f t="shared" si="0"/>
        <v>-0.28369225045978985</v>
      </c>
      <c r="H60">
        <f t="shared" si="1"/>
        <v>-0.56725356403820615</v>
      </c>
      <c r="I60">
        <f t="shared" si="2"/>
        <v>-1.7466404893652414</v>
      </c>
      <c r="K60">
        <f t="shared" si="3"/>
        <v>-0.86586210128774577</v>
      </c>
      <c r="M60">
        <v>59</v>
      </c>
      <c r="N60">
        <v>-0.86586210128774577</v>
      </c>
    </row>
    <row r="61" spans="1:14">
      <c r="A61">
        <v>60</v>
      </c>
      <c r="B61">
        <v>1290</v>
      </c>
      <c r="C61">
        <v>162</v>
      </c>
      <c r="D61">
        <v>212</v>
      </c>
      <c r="E61">
        <v>247</v>
      </c>
      <c r="G61">
        <f t="shared" si="0"/>
        <v>-1.706717513152628</v>
      </c>
      <c r="H61">
        <f t="shared" si="1"/>
        <v>-1.5105801679073494</v>
      </c>
      <c r="I61">
        <f t="shared" si="2"/>
        <v>-2.186261515365703</v>
      </c>
      <c r="K61">
        <f t="shared" si="3"/>
        <v>-1.8011863988085601</v>
      </c>
      <c r="M61">
        <v>60</v>
      </c>
      <c r="N61">
        <v>-1.8011863988085601</v>
      </c>
    </row>
    <row r="62" spans="1:14">
      <c r="A62">
        <v>61</v>
      </c>
      <c r="B62">
        <v>843</v>
      </c>
      <c r="C62">
        <v>1181</v>
      </c>
      <c r="D62">
        <v>73</v>
      </c>
      <c r="E62">
        <v>169</v>
      </c>
      <c r="G62">
        <f t="shared" si="0"/>
        <v>-0.65922049440723751</v>
      </c>
      <c r="H62">
        <f t="shared" si="1"/>
        <v>-1.7888310330411383</v>
      </c>
      <c r="I62">
        <f t="shared" si="2"/>
        <v>-2.166309628337189</v>
      </c>
      <c r="K62">
        <f t="shared" si="3"/>
        <v>-1.5381203852618548</v>
      </c>
      <c r="M62">
        <v>61</v>
      </c>
      <c r="N62">
        <v>-1.5381203852618548</v>
      </c>
    </row>
    <row r="63" spans="1:14">
      <c r="A63">
        <v>62</v>
      </c>
      <c r="B63">
        <v>1497</v>
      </c>
      <c r="C63">
        <v>96</v>
      </c>
      <c r="D63">
        <v>315</v>
      </c>
      <c r="E63">
        <v>168</v>
      </c>
      <c r="G63">
        <f t="shared" si="0"/>
        <v>-1.9985933846994939</v>
      </c>
      <c r="H63">
        <f t="shared" si="1"/>
        <v>-1.4032375650903037</v>
      </c>
      <c r="I63">
        <f t="shared" si="2"/>
        <v>-2.4182812769433095</v>
      </c>
      <c r="K63">
        <f t="shared" si="3"/>
        <v>-1.9400374089110357</v>
      </c>
      <c r="M63">
        <v>62</v>
      </c>
      <c r="N63">
        <v>-1.9400374089110357</v>
      </c>
    </row>
    <row r="64" spans="1:14">
      <c r="A64">
        <v>63</v>
      </c>
      <c r="B64">
        <v>1384</v>
      </c>
      <c r="C64">
        <v>681</v>
      </c>
      <c r="D64">
        <v>1501</v>
      </c>
      <c r="E64">
        <v>443</v>
      </c>
      <c r="G64">
        <f t="shared" si="0"/>
        <v>-1.1136317956039639</v>
      </c>
      <c r="H64">
        <f t="shared" si="1"/>
        <v>-0.69108171641432026</v>
      </c>
      <c r="I64">
        <f t="shared" si="2"/>
        <v>-1.9631011222237895</v>
      </c>
      <c r="K64">
        <f t="shared" si="3"/>
        <v>-1.2559382114140245</v>
      </c>
      <c r="M64">
        <v>63</v>
      </c>
      <c r="N64">
        <v>-1.2559382114140245</v>
      </c>
    </row>
    <row r="65" spans="1:14">
      <c r="A65">
        <v>64</v>
      </c>
      <c r="B65">
        <v>1100</v>
      </c>
      <c r="C65">
        <v>249</v>
      </c>
      <c r="D65">
        <v>533</v>
      </c>
      <c r="E65">
        <v>291</v>
      </c>
      <c r="G65">
        <f t="shared" si="0"/>
        <v>-1.4508361554584988</v>
      </c>
      <c r="H65">
        <f t="shared" si="1"/>
        <v>-1.0409917946685043</v>
      </c>
      <c r="I65">
        <f t="shared" si="2"/>
        <v>-2.0458684544984376</v>
      </c>
      <c r="K65">
        <f t="shared" si="3"/>
        <v>-1.5125654682084804</v>
      </c>
      <c r="M65">
        <v>64</v>
      </c>
      <c r="N65">
        <v>-1.5125654682084804</v>
      </c>
    </row>
    <row r="66" spans="1:14">
      <c r="A66">
        <v>65</v>
      </c>
      <c r="B66">
        <v>1354</v>
      </c>
      <c r="C66">
        <v>905</v>
      </c>
      <c r="D66">
        <v>237</v>
      </c>
      <c r="E66">
        <v>330</v>
      </c>
      <c r="G66">
        <f t="shared" si="0"/>
        <v>-0.98061290253993216</v>
      </c>
      <c r="H66">
        <f t="shared" si="1"/>
        <v>-1.4831966368758733</v>
      </c>
      <c r="I66">
        <f t="shared" si="2"/>
        <v>-2.081473482797358</v>
      </c>
      <c r="K66">
        <f t="shared" si="3"/>
        <v>-1.5150943407377213</v>
      </c>
      <c r="M66">
        <v>65</v>
      </c>
      <c r="N66">
        <v>-1.5150943407377213</v>
      </c>
    </row>
    <row r="67" spans="1:14">
      <c r="A67">
        <v>66</v>
      </c>
      <c r="B67">
        <v>839</v>
      </c>
      <c r="C67">
        <v>53</v>
      </c>
      <c r="D67">
        <v>41</v>
      </c>
      <c r="E67">
        <v>130</v>
      </c>
      <c r="G67">
        <f t="shared" ref="G67:G130" si="4">LOG10(C67/B67)-LOG10(151582/23714)</f>
        <v>-2.005128908623921</v>
      </c>
      <c r="H67">
        <f t="shared" ref="H67:H130" si="5">LOG10(D67/B67)-LOG10(126279/23714)</f>
        <v>-2.0373044226458163</v>
      </c>
      <c r="I67">
        <f t="shared" ref="I67:I130" si="6">LOG10(E67/B67)-LOG10(697226/23714)</f>
        <v>-2.2781873668479835</v>
      </c>
      <c r="K67">
        <f t="shared" ref="K67:K130" si="7">AVERAGE(G67:I67)</f>
        <v>-2.1068735660392406</v>
      </c>
      <c r="M67">
        <v>66</v>
      </c>
      <c r="N67">
        <v>-2.1068735660392406</v>
      </c>
    </row>
    <row r="68" spans="1:14">
      <c r="A68">
        <v>67</v>
      </c>
      <c r="B68">
        <v>1468</v>
      </c>
      <c r="C68">
        <v>131</v>
      </c>
      <c r="D68">
        <v>101</v>
      </c>
      <c r="E68">
        <v>170</v>
      </c>
      <c r="G68">
        <f t="shared" si="4"/>
        <v>-1.8550975773202973</v>
      </c>
      <c r="H68">
        <f t="shared" si="5"/>
        <v>-1.888731000334261</v>
      </c>
      <c r="I68">
        <f t="shared" si="6"/>
        <v>-2.4046458925278977</v>
      </c>
      <c r="K68">
        <f t="shared" si="7"/>
        <v>-2.0494914900608188</v>
      </c>
      <c r="M68">
        <v>67</v>
      </c>
      <c r="N68">
        <v>-2.0494914900608188</v>
      </c>
    </row>
    <row r="69" spans="1:14">
      <c r="A69">
        <v>68</v>
      </c>
      <c r="B69">
        <v>1332</v>
      </c>
      <c r="C69">
        <v>138</v>
      </c>
      <c r="D69">
        <v>613</v>
      </c>
      <c r="E69">
        <v>191</v>
      </c>
      <c r="G69">
        <f t="shared" si="4"/>
        <v>-1.7902679558290557</v>
      </c>
      <c r="H69">
        <f t="shared" si="5"/>
        <v>-1.063370068852719</v>
      </c>
      <c r="I69">
        <f t="shared" si="6"/>
        <v>-2.3118396159126746</v>
      </c>
      <c r="K69">
        <f t="shared" si="7"/>
        <v>-1.7218258801981499</v>
      </c>
      <c r="M69">
        <v>68</v>
      </c>
      <c r="N69">
        <v>-1.7218258801981499</v>
      </c>
    </row>
    <row r="70" spans="1:14">
      <c r="A70">
        <v>69</v>
      </c>
      <c r="B70">
        <v>1212</v>
      </c>
      <c r="C70">
        <v>80</v>
      </c>
      <c r="D70">
        <v>74</v>
      </c>
      <c r="E70">
        <v>61</v>
      </c>
      <c r="G70">
        <f t="shared" si="4"/>
        <v>-1.9860554502343337</v>
      </c>
      <c r="H70">
        <f t="shared" si="5"/>
        <v>-1.9405972186361429</v>
      </c>
      <c r="I70">
        <f t="shared" si="6"/>
        <v>-2.7665415431456202</v>
      </c>
      <c r="K70">
        <f t="shared" si="7"/>
        <v>-2.2310647373386989</v>
      </c>
      <c r="M70">
        <v>69</v>
      </c>
      <c r="N70">
        <v>-2.2310647373386989</v>
      </c>
    </row>
    <row r="71" spans="1:14">
      <c r="A71">
        <v>70</v>
      </c>
      <c r="B71">
        <v>1209</v>
      </c>
      <c r="C71">
        <v>169</v>
      </c>
      <c r="D71">
        <v>160</v>
      </c>
      <c r="E71">
        <v>92</v>
      </c>
      <c r="G71">
        <f t="shared" si="4"/>
        <v>-1.6601824136431085</v>
      </c>
      <c r="H71">
        <f t="shared" si="5"/>
        <v>-1.6046326367416988</v>
      </c>
      <c r="I71">
        <f t="shared" si="6"/>
        <v>-2.5870072318413366</v>
      </c>
      <c r="K71">
        <f t="shared" si="7"/>
        <v>-1.9506074274087144</v>
      </c>
      <c r="M71">
        <v>70</v>
      </c>
      <c r="N71">
        <v>-1.9506074274087144</v>
      </c>
    </row>
    <row r="72" spans="1:14">
      <c r="A72">
        <v>71</v>
      </c>
      <c r="B72">
        <v>1130</v>
      </c>
      <c r="C72">
        <v>32</v>
      </c>
      <c r="D72">
        <v>474</v>
      </c>
      <c r="E72">
        <v>77</v>
      </c>
      <c r="G72">
        <f t="shared" si="4"/>
        <v>-2.3535712825595239</v>
      </c>
      <c r="H72">
        <f t="shared" si="5"/>
        <v>-1.1036264203461863</v>
      </c>
      <c r="I72">
        <f t="shared" si="6"/>
        <v>-2.6349564766370577</v>
      </c>
      <c r="K72">
        <f t="shared" si="7"/>
        <v>-2.0307180598475894</v>
      </c>
      <c r="M72">
        <v>71</v>
      </c>
      <c r="N72">
        <v>-2.0307180598475894</v>
      </c>
    </row>
    <row r="73" spans="1:14">
      <c r="A73">
        <v>72</v>
      </c>
      <c r="B73">
        <v>943</v>
      </c>
      <c r="C73">
        <v>65</v>
      </c>
      <c r="D73">
        <v>122</v>
      </c>
      <c r="E73">
        <v>397</v>
      </c>
      <c r="G73">
        <f t="shared" si="4"/>
        <v>-1.9672411534904828</v>
      </c>
      <c r="H73">
        <f t="shared" si="5"/>
        <v>-1.6144781805994319</v>
      </c>
      <c r="I73">
        <f t="shared" si="6"/>
        <v>-1.8440899443003334</v>
      </c>
      <c r="K73">
        <f t="shared" si="7"/>
        <v>-1.8086030927967494</v>
      </c>
      <c r="M73">
        <v>72</v>
      </c>
      <c r="N73">
        <v>-1.8086030927967494</v>
      </c>
    </row>
    <row r="74" spans="1:14">
      <c r="A74">
        <v>73</v>
      </c>
      <c r="B74">
        <v>697</v>
      </c>
      <c r="C74">
        <v>560</v>
      </c>
      <c r="D74">
        <v>96</v>
      </c>
      <c r="E74">
        <v>1031</v>
      </c>
      <c r="G74">
        <f t="shared" si="4"/>
        <v>-0.90068756848781895</v>
      </c>
      <c r="H74">
        <f t="shared" si="5"/>
        <v>-1.5872878635952927</v>
      </c>
      <c r="I74">
        <f t="shared" si="6"/>
        <v>-1.2983428711406129</v>
      </c>
      <c r="K74">
        <f t="shared" si="7"/>
        <v>-1.2621061010745749</v>
      </c>
      <c r="M74">
        <v>73</v>
      </c>
      <c r="N74">
        <v>-1.2621061010745749</v>
      </c>
    </row>
    <row r="75" spans="1:14">
      <c r="A75">
        <v>74</v>
      </c>
      <c r="B75">
        <v>720</v>
      </c>
      <c r="C75">
        <v>237</v>
      </c>
      <c r="D75">
        <v>45</v>
      </c>
      <c r="E75">
        <v>140</v>
      </c>
      <c r="G75">
        <f t="shared" si="4"/>
        <v>-1.2882269678171745</v>
      </c>
      <c r="H75">
        <f t="shared" si="5"/>
        <v>-1.9304463011927764</v>
      </c>
      <c r="I75">
        <f t="shared" si="6"/>
        <v>-2.1795732190791504</v>
      </c>
      <c r="K75">
        <f t="shared" si="7"/>
        <v>-1.7994154960297006</v>
      </c>
      <c r="M75">
        <v>74</v>
      </c>
      <c r="N75">
        <v>-1.7994154960297006</v>
      </c>
    </row>
    <row r="76" spans="1:14">
      <c r="A76">
        <v>75</v>
      </c>
      <c r="B76">
        <v>1518</v>
      </c>
      <c r="C76">
        <v>3232</v>
      </c>
      <c r="D76">
        <v>37</v>
      </c>
      <c r="E76">
        <v>175</v>
      </c>
      <c r="G76">
        <f t="shared" si="4"/>
        <v>-0.477443236852923</v>
      </c>
      <c r="H76">
        <f t="shared" si="5"/>
        <v>-2.3393963660293182</v>
      </c>
      <c r="I76">
        <f t="shared" si="6"/>
        <v>-2.406602481199287</v>
      </c>
      <c r="K76">
        <f t="shared" si="7"/>
        <v>-1.7411473613605093</v>
      </c>
      <c r="M76">
        <v>75</v>
      </c>
      <c r="N76">
        <v>-1.7411473613605093</v>
      </c>
    </row>
    <row r="77" spans="1:14">
      <c r="A77">
        <v>76</v>
      </c>
      <c r="B77">
        <v>1249</v>
      </c>
      <c r="C77">
        <v>817</v>
      </c>
      <c r="D77">
        <v>66</v>
      </c>
      <c r="E77">
        <v>556</v>
      </c>
      <c r="G77">
        <f t="shared" si="4"/>
        <v>-0.98998319923772993</v>
      </c>
      <c r="H77">
        <f t="shared" si="5"/>
        <v>-2.0033448213691187</v>
      </c>
      <c r="I77">
        <f t="shared" si="6"/>
        <v>-1.819856405118198</v>
      </c>
      <c r="K77">
        <f t="shared" si="7"/>
        <v>-1.6043948085750157</v>
      </c>
      <c r="M77">
        <v>76</v>
      </c>
      <c r="N77">
        <v>-1.6043948085750157</v>
      </c>
    </row>
    <row r="78" spans="1:14">
      <c r="A78">
        <v>77</v>
      </c>
      <c r="B78">
        <v>1507</v>
      </c>
      <c r="C78">
        <v>793</v>
      </c>
      <c r="D78">
        <v>287</v>
      </c>
      <c r="E78">
        <v>225</v>
      </c>
      <c r="G78">
        <f t="shared" si="4"/>
        <v>-1.0844828823930379</v>
      </c>
      <c r="H78">
        <f t="shared" si="5"/>
        <v>-1.446557674117491</v>
      </c>
      <c r="I78">
        <f t="shared" si="6"/>
        <v>-2.2942994925293894</v>
      </c>
      <c r="K78">
        <f t="shared" si="7"/>
        <v>-1.6084466830133062</v>
      </c>
      <c r="M78">
        <v>77</v>
      </c>
      <c r="N78">
        <v>-1.6084466830133062</v>
      </c>
    </row>
    <row r="79" spans="1:14">
      <c r="A79">
        <v>78</v>
      </c>
      <c r="B79">
        <v>1207</v>
      </c>
      <c r="C79">
        <v>84</v>
      </c>
      <c r="D79">
        <v>784</v>
      </c>
      <c r="E79">
        <v>456</v>
      </c>
      <c r="G79">
        <f t="shared" si="4"/>
        <v>-1.9630708014314775</v>
      </c>
      <c r="H79">
        <f t="shared" si="5"/>
        <v>-0.91371752594976252</v>
      </c>
      <c r="I79">
        <f t="shared" si="6"/>
        <v>-1.8911111857590344</v>
      </c>
      <c r="K79">
        <f t="shared" si="7"/>
        <v>-1.5892998377134246</v>
      </c>
      <c r="M79">
        <v>78</v>
      </c>
      <c r="N79">
        <v>-1.5892998377134246</v>
      </c>
    </row>
    <row r="80" spans="1:14">
      <c r="A80">
        <v>79</v>
      </c>
      <c r="B80">
        <v>1633</v>
      </c>
      <c r="C80">
        <v>1332</v>
      </c>
      <c r="D80">
        <v>1040</v>
      </c>
      <c r="E80">
        <v>756</v>
      </c>
      <c r="G80">
        <f t="shared" si="4"/>
        <v>-0.8941247772983959</v>
      </c>
      <c r="H80">
        <f t="shared" si="5"/>
        <v>-0.92227916397473952</v>
      </c>
      <c r="I80">
        <f t="shared" si="6"/>
        <v>-1.8028331475615818</v>
      </c>
      <c r="K80">
        <f t="shared" si="7"/>
        <v>-1.2064123629449057</v>
      </c>
      <c r="M80">
        <v>79</v>
      </c>
      <c r="N80">
        <v>-1.2064123629449057</v>
      </c>
    </row>
    <row r="81" spans="1:14">
      <c r="A81">
        <v>80</v>
      </c>
      <c r="B81">
        <v>1061</v>
      </c>
      <c r="C81">
        <v>137</v>
      </c>
      <c r="D81">
        <v>580</v>
      </c>
      <c r="E81">
        <v>295</v>
      </c>
      <c r="G81">
        <f t="shared" si="4"/>
        <v>-1.6946376341409439</v>
      </c>
      <c r="H81">
        <f t="shared" si="5"/>
        <v>-0.98861370887525513</v>
      </c>
      <c r="I81">
        <f t="shared" si="6"/>
        <v>-2.0242621262492975</v>
      </c>
      <c r="K81">
        <f t="shared" si="7"/>
        <v>-1.569171156421832</v>
      </c>
      <c r="M81">
        <v>80</v>
      </c>
      <c r="N81">
        <v>-1.569171156421832</v>
      </c>
    </row>
    <row r="82" spans="1:14">
      <c r="A82">
        <v>81</v>
      </c>
      <c r="B82">
        <v>1322</v>
      </c>
      <c r="C82">
        <v>658</v>
      </c>
      <c r="D82">
        <v>677</v>
      </c>
      <c r="E82">
        <v>906</v>
      </c>
      <c r="G82">
        <f t="shared" si="4"/>
        <v>-1.1086483789316759</v>
      </c>
      <c r="H82">
        <f t="shared" si="5"/>
        <v>-1.0169691050013288</v>
      </c>
      <c r="I82">
        <f t="shared" si="6"/>
        <v>-1.6324720157989283</v>
      </c>
      <c r="K82">
        <f t="shared" si="7"/>
        <v>-1.2526964999106445</v>
      </c>
      <c r="M82">
        <v>81</v>
      </c>
      <c r="N82">
        <v>-1.2526964999106445</v>
      </c>
    </row>
    <row r="83" spans="1:14">
      <c r="A83">
        <v>82</v>
      </c>
      <c r="B83">
        <v>1193</v>
      </c>
      <c r="C83">
        <v>1156</v>
      </c>
      <c r="D83">
        <v>156</v>
      </c>
      <c r="E83">
        <v>1682</v>
      </c>
      <c r="G83">
        <f t="shared" si="4"/>
        <v>-0.81932542698184152</v>
      </c>
      <c r="H83">
        <f t="shared" si="5"/>
        <v>-1.6098421638527318</v>
      </c>
      <c r="I83">
        <f t="shared" si="6"/>
        <v>-1.3191832105345684</v>
      </c>
      <c r="K83">
        <f t="shared" si="7"/>
        <v>-1.2494502671230474</v>
      </c>
      <c r="M83">
        <v>82</v>
      </c>
      <c r="N83">
        <v>-1.2494502671230474</v>
      </c>
    </row>
    <row r="84" spans="1:14">
      <c r="A84">
        <v>83</v>
      </c>
      <c r="B84">
        <v>1769</v>
      </c>
      <c r="C84">
        <v>1504</v>
      </c>
      <c r="D84">
        <v>126</v>
      </c>
      <c r="E84">
        <v>1086</v>
      </c>
      <c r="G84">
        <f t="shared" si="4"/>
        <v>-0.87612281405010961</v>
      </c>
      <c r="H84">
        <f t="shared" si="5"/>
        <v>-1.8736836063290121</v>
      </c>
      <c r="I84">
        <f t="shared" si="6"/>
        <v>-1.6802667659830151</v>
      </c>
      <c r="K84">
        <f t="shared" si="7"/>
        <v>-1.4766910621207121</v>
      </c>
      <c r="M84">
        <v>83</v>
      </c>
      <c r="N84">
        <v>-1.4766910621207121</v>
      </c>
    </row>
    <row r="85" spans="1:14">
      <c r="A85">
        <v>84</v>
      </c>
      <c r="B85">
        <v>1160</v>
      </c>
      <c r="C85">
        <v>174</v>
      </c>
      <c r="D85">
        <v>122</v>
      </c>
      <c r="E85">
        <v>106</v>
      </c>
      <c r="G85">
        <f t="shared" si="4"/>
        <v>-1.6295515583403288</v>
      </c>
      <c r="H85">
        <f t="shared" si="5"/>
        <v>-1.704424477089022</v>
      </c>
      <c r="I85">
        <f t="shared" si="6"/>
        <v>-2.5075208822882682</v>
      </c>
      <c r="K85">
        <f t="shared" si="7"/>
        <v>-1.9471656392392063</v>
      </c>
      <c r="M85">
        <v>84</v>
      </c>
      <c r="N85">
        <v>-1.9471656392392063</v>
      </c>
    </row>
    <row r="86" spans="1:14">
      <c r="A86">
        <v>85</v>
      </c>
      <c r="B86">
        <v>1484</v>
      </c>
      <c r="C86">
        <v>1513</v>
      </c>
      <c r="D86">
        <v>243</v>
      </c>
      <c r="E86">
        <v>1610</v>
      </c>
      <c r="G86">
        <f t="shared" si="4"/>
        <v>-0.79723779031583153</v>
      </c>
      <c r="H86">
        <f t="shared" si="5"/>
        <v>-1.5121539458815478</v>
      </c>
      <c r="I86">
        <f t="shared" si="6"/>
        <v>-1.4329767832372786</v>
      </c>
      <c r="K86">
        <f t="shared" si="7"/>
        <v>-1.2474561731448859</v>
      </c>
      <c r="M86">
        <v>85</v>
      </c>
      <c r="N86">
        <v>-1.2474561731448859</v>
      </c>
    </row>
    <row r="87" spans="1:14">
      <c r="A87">
        <v>86</v>
      </c>
      <c r="B87">
        <v>911</v>
      </c>
      <c r="C87">
        <v>47</v>
      </c>
      <c r="D87">
        <v>35</v>
      </c>
      <c r="E87">
        <v>57</v>
      </c>
      <c r="G87">
        <f t="shared" si="4"/>
        <v>-2.0930633364332909</v>
      </c>
      <c r="H87">
        <f t="shared" si="5"/>
        <v>-2.1417766511595744</v>
      </c>
      <c r="I87">
        <f t="shared" si="6"/>
        <v>-2.6720122796266268</v>
      </c>
      <c r="K87">
        <f t="shared" si="7"/>
        <v>-2.3022840890731637</v>
      </c>
      <c r="M87">
        <v>86</v>
      </c>
      <c r="N87">
        <v>-2.3022840890731637</v>
      </c>
    </row>
    <row r="88" spans="1:14">
      <c r="A88">
        <v>87</v>
      </c>
      <c r="B88">
        <v>1709</v>
      </c>
      <c r="C88">
        <v>446</v>
      </c>
      <c r="D88">
        <v>141</v>
      </c>
      <c r="E88">
        <v>180</v>
      </c>
      <c r="G88">
        <f t="shared" si="4"/>
        <v>-1.3890500214046049</v>
      </c>
      <c r="H88">
        <f t="shared" si="5"/>
        <v>-1.8098492686022087</v>
      </c>
      <c r="I88">
        <f t="shared" si="6"/>
        <v>-2.4458383159435506</v>
      </c>
      <c r="K88">
        <f t="shared" si="7"/>
        <v>-1.881579201983455</v>
      </c>
      <c r="M88">
        <v>87</v>
      </c>
      <c r="N88">
        <v>-1.881579201983455</v>
      </c>
    </row>
    <row r="89" spans="1:14">
      <c r="A89">
        <v>88</v>
      </c>
      <c r="B89">
        <v>784</v>
      </c>
      <c r="C89">
        <v>103</v>
      </c>
      <c r="D89">
        <v>20</v>
      </c>
      <c r="E89">
        <v>111</v>
      </c>
      <c r="G89">
        <f t="shared" si="4"/>
        <v>-1.6871216553752761</v>
      </c>
      <c r="H89">
        <f t="shared" si="5"/>
        <v>-2.319612385557309</v>
      </c>
      <c r="I89">
        <f t="shared" si="6"/>
        <v>-2.3173618422239008</v>
      </c>
      <c r="K89">
        <f t="shared" si="7"/>
        <v>-2.1080319610521623</v>
      </c>
      <c r="M89">
        <v>88</v>
      </c>
      <c r="N89">
        <v>-2.1080319610521623</v>
      </c>
    </row>
    <row r="90" spans="1:14">
      <c r="A90">
        <v>89</v>
      </c>
      <c r="B90">
        <v>826</v>
      </c>
      <c r="C90">
        <v>426</v>
      </c>
      <c r="D90">
        <v>61</v>
      </c>
      <c r="E90">
        <v>63</v>
      </c>
      <c r="G90">
        <f t="shared" si="4"/>
        <v>-1.0932132656136733</v>
      </c>
      <c r="H90">
        <f t="shared" si="5"/>
        <v>-1.8579765308464671</v>
      </c>
      <c r="I90">
        <f t="shared" si="6"/>
        <v>-2.5860082561929207</v>
      </c>
      <c r="K90">
        <f t="shared" si="7"/>
        <v>-1.8457326842176869</v>
      </c>
      <c r="M90">
        <v>89</v>
      </c>
      <c r="N90">
        <v>-1.8457326842176869</v>
      </c>
    </row>
    <row r="91" spans="1:14">
      <c r="A91">
        <v>90</v>
      </c>
      <c r="B91">
        <v>1074</v>
      </c>
      <c r="C91">
        <v>90</v>
      </c>
      <c r="D91">
        <v>86</v>
      </c>
      <c r="E91">
        <v>605</v>
      </c>
      <c r="G91">
        <f t="shared" si="4"/>
        <v>-1.8824045893202219</v>
      </c>
      <c r="H91">
        <f t="shared" si="5"/>
        <v>-1.8228321486568206</v>
      </c>
      <c r="I91">
        <f t="shared" si="6"/>
        <v>-1.7176176650371879</v>
      </c>
      <c r="K91">
        <f t="shared" si="7"/>
        <v>-1.8076181343380766</v>
      </c>
      <c r="M91">
        <v>90</v>
      </c>
      <c r="N91">
        <v>-1.8076181343380766</v>
      </c>
    </row>
    <row r="92" spans="1:14">
      <c r="A92">
        <v>91</v>
      </c>
      <c r="B92">
        <v>1145</v>
      </c>
      <c r="C92">
        <v>2944</v>
      </c>
      <c r="D92">
        <v>252</v>
      </c>
      <c r="E92">
        <v>273</v>
      </c>
      <c r="G92">
        <f t="shared" si="4"/>
        <v>-0.39551049840645552</v>
      </c>
      <c r="H92">
        <f t="shared" si="5"/>
        <v>-1.3837312644312143</v>
      </c>
      <c r="I92">
        <f t="shared" si="6"/>
        <v>-2.0910115979612707</v>
      </c>
      <c r="K92">
        <f t="shared" si="7"/>
        <v>-1.2900844535996467</v>
      </c>
      <c r="M92">
        <v>91</v>
      </c>
      <c r="N92">
        <v>-1.2900844535996467</v>
      </c>
    </row>
    <row r="93" spans="1:14">
      <c r="A93">
        <v>92</v>
      </c>
      <c r="B93">
        <v>1041</v>
      </c>
      <c r="C93">
        <v>413</v>
      </c>
      <c r="D93">
        <v>20</v>
      </c>
      <c r="E93">
        <v>116</v>
      </c>
      <c r="G93">
        <f t="shared" si="4"/>
        <v>-1.2071434952501452</v>
      </c>
      <c r="H93">
        <f t="shared" si="5"/>
        <v>-2.4427470523834067</v>
      </c>
      <c r="I93">
        <f t="shared" si="6"/>
        <v>-2.4213614986097376</v>
      </c>
      <c r="K93">
        <f t="shared" si="7"/>
        <v>-2.0237506820810967</v>
      </c>
      <c r="M93">
        <v>92</v>
      </c>
      <c r="N93">
        <v>-2.0237506820810967</v>
      </c>
    </row>
    <row r="94" spans="1:14">
      <c r="A94">
        <v>93</v>
      </c>
      <c r="B94">
        <v>1169</v>
      </c>
      <c r="C94">
        <v>126</v>
      </c>
      <c r="D94">
        <v>225</v>
      </c>
      <c r="E94">
        <v>144</v>
      </c>
      <c r="G94">
        <f t="shared" si="4"/>
        <v>-1.773086783440287</v>
      </c>
      <c r="H94">
        <f t="shared" si="5"/>
        <v>-1.4419583115873293</v>
      </c>
      <c r="I94">
        <f t="shared" si="6"/>
        <v>-2.3778207773927105</v>
      </c>
      <c r="K94">
        <f t="shared" si="7"/>
        <v>-1.8642886241401089</v>
      </c>
      <c r="M94">
        <v>93</v>
      </c>
      <c r="N94">
        <v>-1.8642886241401089</v>
      </c>
    </row>
    <row r="95" spans="1:14">
      <c r="A95">
        <v>94</v>
      </c>
      <c r="B95">
        <v>1657</v>
      </c>
      <c r="C95">
        <v>980</v>
      </c>
      <c r="D95">
        <v>48</v>
      </c>
      <c r="E95">
        <v>107</v>
      </c>
      <c r="G95">
        <f t="shared" si="4"/>
        <v>-1.0337392501228519</v>
      </c>
      <c r="H95">
        <f t="shared" si="5"/>
        <v>-2.2644075895806011</v>
      </c>
      <c r="I95">
        <f t="shared" si="6"/>
        <v>-2.6583074890602472</v>
      </c>
      <c r="K95">
        <f t="shared" si="7"/>
        <v>-1.9854847762545667</v>
      </c>
      <c r="M95">
        <v>94</v>
      </c>
      <c r="N95">
        <v>-1.9854847762545667</v>
      </c>
    </row>
    <row r="96" spans="1:14">
      <c r="A96">
        <v>95</v>
      </c>
      <c r="B96">
        <v>1514</v>
      </c>
      <c r="C96">
        <v>606</v>
      </c>
      <c r="D96">
        <v>521</v>
      </c>
      <c r="E96">
        <v>6322</v>
      </c>
      <c r="G96">
        <f t="shared" si="4"/>
        <v>-1.2032960683937777</v>
      </c>
      <c r="H96">
        <f t="shared" si="5"/>
        <v>-1.1896144704013811</v>
      </c>
      <c r="I96">
        <f t="shared" si="6"/>
        <v>-0.84764014198661308</v>
      </c>
      <c r="K96">
        <f t="shared" si="7"/>
        <v>-1.0801835602605907</v>
      </c>
      <c r="M96">
        <v>95</v>
      </c>
      <c r="N96">
        <v>-1.0801835602605907</v>
      </c>
    </row>
    <row r="97" spans="1:14">
      <c r="A97">
        <v>96</v>
      </c>
      <c r="B97">
        <v>1462</v>
      </c>
      <c r="C97">
        <v>14633</v>
      </c>
      <c r="D97">
        <v>2556</v>
      </c>
      <c r="E97">
        <v>144</v>
      </c>
      <c r="G97">
        <f t="shared" si="4"/>
        <v>0.1947431825791317</v>
      </c>
      <c r="H97">
        <f t="shared" si="5"/>
        <v>-0.48371284167233086</v>
      </c>
      <c r="I97">
        <f t="shared" si="6"/>
        <v>-2.4749536388527122</v>
      </c>
      <c r="K97">
        <f t="shared" si="7"/>
        <v>-0.92130776598197051</v>
      </c>
      <c r="M97">
        <v>96</v>
      </c>
      <c r="N97">
        <v>-0.92130776598197051</v>
      </c>
    </row>
    <row r="98" spans="1:14">
      <c r="A98">
        <v>97</v>
      </c>
      <c r="B98">
        <v>1013</v>
      </c>
      <c r="C98">
        <v>44</v>
      </c>
      <c r="D98">
        <v>57</v>
      </c>
      <c r="E98">
        <v>86</v>
      </c>
      <c r="G98">
        <f t="shared" si="4"/>
        <v>-2.1677995862701032</v>
      </c>
      <c r="H98">
        <f t="shared" si="5"/>
        <v>-1.9760609082246408</v>
      </c>
      <c r="I98">
        <f t="shared" si="6"/>
        <v>-2.5394797524428325</v>
      </c>
      <c r="K98">
        <f t="shared" si="7"/>
        <v>-2.2277800823125253</v>
      </c>
      <c r="M98">
        <v>97</v>
      </c>
      <c r="N98">
        <v>-2.2277800823125253</v>
      </c>
    </row>
    <row r="99" spans="1:14">
      <c r="A99">
        <v>98</v>
      </c>
      <c r="B99">
        <v>916</v>
      </c>
      <c r="C99">
        <v>344</v>
      </c>
      <c r="D99">
        <v>227</v>
      </c>
      <c r="E99">
        <v>254</v>
      </c>
      <c r="G99">
        <f t="shared" si="4"/>
        <v>-1.2309798484923302</v>
      </c>
      <c r="H99">
        <f t="shared" si="5"/>
        <v>-1.3321959350115793</v>
      </c>
      <c r="I99">
        <f t="shared" si="6"/>
        <v>-2.0254305153740324</v>
      </c>
      <c r="K99">
        <f t="shared" si="7"/>
        <v>-1.5295354329593138</v>
      </c>
      <c r="M99">
        <v>98</v>
      </c>
      <c r="N99">
        <v>-1.5295354329593138</v>
      </c>
    </row>
    <row r="100" spans="1:14">
      <c r="A100">
        <v>99</v>
      </c>
      <c r="B100">
        <v>770</v>
      </c>
      <c r="C100">
        <v>69</v>
      </c>
      <c r="D100">
        <v>74</v>
      </c>
      <c r="E100">
        <v>279</v>
      </c>
      <c r="G100">
        <f t="shared" si="4"/>
        <v>-1.8532844518312366</v>
      </c>
      <c r="H100">
        <f t="shared" si="5"/>
        <v>-1.7435853239783574</v>
      </c>
      <c r="I100">
        <f t="shared" si="6"/>
        <v>-1.9092552802250045</v>
      </c>
      <c r="K100">
        <f t="shared" si="7"/>
        <v>-1.8353750186781994</v>
      </c>
      <c r="M100">
        <v>99</v>
      </c>
      <c r="N100">
        <v>-1.8353750186781994</v>
      </c>
    </row>
    <row r="101" spans="1:14">
      <c r="A101">
        <v>100</v>
      </c>
      <c r="B101">
        <v>946</v>
      </c>
      <c r="C101">
        <v>283</v>
      </c>
      <c r="D101">
        <v>161</v>
      </c>
      <c r="E101">
        <v>99</v>
      </c>
      <c r="G101">
        <f t="shared" si="4"/>
        <v>-1.3297475182735123</v>
      </c>
      <c r="H101">
        <f t="shared" si="5"/>
        <v>-1.4953915789067946</v>
      </c>
      <c r="I101">
        <f t="shared" si="6"/>
        <v>-2.4486247001303627</v>
      </c>
      <c r="K101">
        <f t="shared" si="7"/>
        <v>-1.7579212657702232</v>
      </c>
      <c r="M101">
        <v>100</v>
      </c>
      <c r="N101">
        <v>-1.7579212657702232</v>
      </c>
    </row>
    <row r="102" spans="1:14">
      <c r="A102">
        <v>101</v>
      </c>
      <c r="B102">
        <v>1150</v>
      </c>
      <c r="C102">
        <v>189</v>
      </c>
      <c r="D102">
        <v>185</v>
      </c>
      <c r="E102">
        <v>608</v>
      </c>
      <c r="G102">
        <f t="shared" si="4"/>
        <v>-1.5898788535763775</v>
      </c>
      <c r="H102">
        <f t="shared" si="5"/>
        <v>-1.5198524304874497</v>
      </c>
      <c r="I102">
        <f t="shared" si="6"/>
        <v>-1.7451630194069967</v>
      </c>
      <c r="K102">
        <f t="shared" si="7"/>
        <v>-1.6182981011569411</v>
      </c>
      <c r="M102">
        <v>101</v>
      </c>
      <c r="N102">
        <v>-1.6182981011569411</v>
      </c>
    </row>
    <row r="103" spans="1:14">
      <c r="A103">
        <v>102</v>
      </c>
      <c r="B103">
        <v>1159</v>
      </c>
      <c r="C103">
        <v>83</v>
      </c>
      <c r="D103">
        <v>915</v>
      </c>
      <c r="E103">
        <v>381</v>
      </c>
      <c r="G103">
        <f t="shared" si="4"/>
        <v>-1.950648160983532</v>
      </c>
      <c r="H103">
        <f t="shared" si="5"/>
        <v>-0.82898866043399944</v>
      </c>
      <c r="I103">
        <f t="shared" si="6"/>
        <v>-1.9515272186140966</v>
      </c>
      <c r="K103">
        <f t="shared" si="7"/>
        <v>-1.5770546800105425</v>
      </c>
      <c r="M103">
        <v>102</v>
      </c>
      <c r="N103">
        <v>-1.5770546800105425</v>
      </c>
    </row>
    <row r="104" spans="1:14">
      <c r="A104">
        <v>103</v>
      </c>
      <c r="B104">
        <v>1238</v>
      </c>
      <c r="C104">
        <v>484</v>
      </c>
      <c r="D104">
        <v>368</v>
      </c>
      <c r="E104">
        <v>967</v>
      </c>
      <c r="G104">
        <f t="shared" si="4"/>
        <v>-1.2135181004356967</v>
      </c>
      <c r="H104">
        <f t="shared" si="5"/>
        <v>-1.2531991445474331</v>
      </c>
      <c r="I104">
        <f t="shared" si="6"/>
        <v>-1.5756629289272175</v>
      </c>
      <c r="K104">
        <f t="shared" si="7"/>
        <v>-1.3474600579701157</v>
      </c>
      <c r="M104">
        <v>103</v>
      </c>
      <c r="N104">
        <v>-1.3474600579701157</v>
      </c>
    </row>
    <row r="105" spans="1:14">
      <c r="A105">
        <v>104</v>
      </c>
      <c r="B105">
        <v>974</v>
      </c>
      <c r="C105">
        <v>113</v>
      </c>
      <c r="D105">
        <v>40</v>
      </c>
      <c r="E105">
        <v>99</v>
      </c>
      <c r="G105">
        <f t="shared" si="4"/>
        <v>-1.7411233307912057</v>
      </c>
      <c r="H105">
        <f t="shared" si="5"/>
        <v>-2.112825284087505</v>
      </c>
      <c r="I105">
        <f t="shared" si="6"/>
        <v>-2.4612925206071856</v>
      </c>
      <c r="K105">
        <f t="shared" si="7"/>
        <v>-2.1050803784952987</v>
      </c>
      <c r="M105">
        <v>104</v>
      </c>
      <c r="N105">
        <v>-2.1050803784952987</v>
      </c>
    </row>
    <row r="106" spans="1:14">
      <c r="A106">
        <v>105</v>
      </c>
      <c r="B106">
        <v>1710</v>
      </c>
      <c r="C106">
        <v>358</v>
      </c>
      <c r="D106">
        <v>339</v>
      </c>
      <c r="E106">
        <v>3211</v>
      </c>
      <c r="G106">
        <f t="shared" si="4"/>
        <v>-1.4847559011442895</v>
      </c>
      <c r="H106">
        <f t="shared" si="5"/>
        <v>-1.4291227307259233</v>
      </c>
      <c r="I106">
        <f t="shared" si="6"/>
        <v>-1.1947245631517713</v>
      </c>
      <c r="K106">
        <f t="shared" si="7"/>
        <v>-1.3695343983406614</v>
      </c>
      <c r="M106">
        <v>105</v>
      </c>
      <c r="N106">
        <v>-1.3695343983406614</v>
      </c>
    </row>
    <row r="107" spans="1:14">
      <c r="A107">
        <v>106</v>
      </c>
      <c r="B107">
        <v>983</v>
      </c>
      <c r="C107">
        <v>333</v>
      </c>
      <c r="D107">
        <v>439</v>
      </c>
      <c r="E107">
        <v>138</v>
      </c>
      <c r="G107">
        <f t="shared" si="4"/>
        <v>-1.2757521017218256</v>
      </c>
      <c r="H107">
        <f t="shared" si="5"/>
        <v>-1.0764153161268659</v>
      </c>
      <c r="I107">
        <f t="shared" si="6"/>
        <v>-2.321043189757019</v>
      </c>
      <c r="K107">
        <f t="shared" si="7"/>
        <v>-1.5577368692019036</v>
      </c>
      <c r="M107">
        <v>106</v>
      </c>
      <c r="N107">
        <v>-1.5577368692019036</v>
      </c>
    </row>
    <row r="108" spans="1:14">
      <c r="A108">
        <v>107</v>
      </c>
      <c r="B108">
        <v>1448</v>
      </c>
      <c r="C108">
        <v>987</v>
      </c>
      <c r="D108">
        <v>1273</v>
      </c>
      <c r="E108">
        <v>231</v>
      </c>
      <c r="G108">
        <f t="shared" si="4"/>
        <v>-0.97209422658750133</v>
      </c>
      <c r="H108">
        <f t="shared" si="5"/>
        <v>-0.78226647674432437</v>
      </c>
      <c r="I108">
        <f t="shared" si="6"/>
        <v>-2.2655253402951039</v>
      </c>
      <c r="K108">
        <f t="shared" si="7"/>
        <v>-1.3399620145423097</v>
      </c>
      <c r="M108">
        <v>107</v>
      </c>
      <c r="N108">
        <v>-1.3399620145423097</v>
      </c>
    </row>
    <row r="109" spans="1:14">
      <c r="A109">
        <v>108</v>
      </c>
      <c r="B109">
        <v>562</v>
      </c>
      <c r="C109">
        <v>21</v>
      </c>
      <c r="D109">
        <v>26</v>
      </c>
      <c r="E109">
        <v>39</v>
      </c>
      <c r="G109">
        <f t="shared" si="4"/>
        <v>-2.2331598382311517</v>
      </c>
      <c r="H109">
        <f t="shared" si="5"/>
        <v>-2.0610892861350947</v>
      </c>
      <c r="I109">
        <f t="shared" si="6"/>
        <v>-2.627040466868682</v>
      </c>
      <c r="K109">
        <f t="shared" si="7"/>
        <v>-2.3070965304116426</v>
      </c>
      <c r="M109">
        <v>108</v>
      </c>
      <c r="N109">
        <v>-2.3070965304116426</v>
      </c>
    </row>
    <row r="110" spans="1:14">
      <c r="A110">
        <v>109</v>
      </c>
      <c r="B110">
        <v>1014</v>
      </c>
      <c r="C110">
        <v>357</v>
      </c>
      <c r="D110">
        <v>176</v>
      </c>
      <c r="E110">
        <v>1245</v>
      </c>
      <c r="G110">
        <f t="shared" si="4"/>
        <v>-1.2590125562811338</v>
      </c>
      <c r="H110">
        <f t="shared" si="5"/>
        <v>-1.4868516057200192</v>
      </c>
      <c r="I110">
        <f t="shared" si="6"/>
        <v>-1.379237361891682</v>
      </c>
      <c r="K110">
        <f t="shared" si="7"/>
        <v>-1.3750338412976115</v>
      </c>
      <c r="M110">
        <v>109</v>
      </c>
      <c r="N110">
        <v>-1.3750338412976115</v>
      </c>
    </row>
    <row r="111" spans="1:14">
      <c r="A111">
        <v>110</v>
      </c>
      <c r="B111">
        <v>1140</v>
      </c>
      <c r="C111">
        <v>71</v>
      </c>
      <c r="D111">
        <v>82</v>
      </c>
      <c r="E111">
        <v>123</v>
      </c>
      <c r="G111">
        <f t="shared" si="4"/>
        <v>-2.0112893200134074</v>
      </c>
      <c r="H111">
        <f t="shared" si="5"/>
        <v>-1.8694173174896074</v>
      </c>
      <c r="I111">
        <f t="shared" si="6"/>
        <v>-2.4353684982231947</v>
      </c>
      <c r="K111">
        <f t="shared" si="7"/>
        <v>-2.1053583785754033</v>
      </c>
      <c r="M111">
        <v>110</v>
      </c>
      <c r="N111">
        <v>-2.1053583785754033</v>
      </c>
    </row>
    <row r="112" spans="1:14">
      <c r="A112">
        <v>111</v>
      </c>
      <c r="B112">
        <v>1043</v>
      </c>
      <c r="C112">
        <v>83</v>
      </c>
      <c r="D112">
        <v>66</v>
      </c>
      <c r="E112">
        <v>715</v>
      </c>
      <c r="G112">
        <f t="shared" si="4"/>
        <v>-1.9048490334464669</v>
      </c>
      <c r="H112">
        <f t="shared" si="5"/>
        <v>-1.925066691421514</v>
      </c>
      <c r="I112">
        <f t="shared" si="6"/>
        <v>-1.6323470249515704</v>
      </c>
      <c r="K112">
        <f t="shared" si="7"/>
        <v>-1.8207542499398504</v>
      </c>
      <c r="M112">
        <v>111</v>
      </c>
      <c r="N112">
        <v>-1.8207542499398504</v>
      </c>
    </row>
    <row r="113" spans="1:14">
      <c r="A113">
        <v>112</v>
      </c>
      <c r="B113">
        <v>769</v>
      </c>
      <c r="C113">
        <v>175</v>
      </c>
      <c r="D113">
        <v>108</v>
      </c>
      <c r="E113">
        <v>123</v>
      </c>
      <c r="G113">
        <f t="shared" si="4"/>
        <v>-1.4485311085111465</v>
      </c>
      <c r="H113">
        <f t="shared" si="5"/>
        <v>-1.5788289028513329</v>
      </c>
      <c r="I113">
        <f t="shared" si="6"/>
        <v>-2.2643899866881529</v>
      </c>
      <c r="K113">
        <f t="shared" si="7"/>
        <v>-1.7639166660168775</v>
      </c>
      <c r="M113">
        <v>112</v>
      </c>
      <c r="N113">
        <v>-1.7639166660168775</v>
      </c>
    </row>
    <row r="114" spans="1:14">
      <c r="A114">
        <v>113</v>
      </c>
      <c r="B114">
        <v>1263</v>
      </c>
      <c r="C114">
        <v>265</v>
      </c>
      <c r="D114">
        <v>84</v>
      </c>
      <c r="E114">
        <v>670</v>
      </c>
      <c r="G114">
        <f t="shared" si="4"/>
        <v>-1.4838002940145327</v>
      </c>
      <c r="H114">
        <f t="shared" si="5"/>
        <v>-1.9034503830303007</v>
      </c>
      <c r="I114">
        <f t="shared" si="6"/>
        <v>-1.7436973061806242</v>
      </c>
      <c r="K114">
        <f t="shared" si="7"/>
        <v>-1.7103159944084858</v>
      </c>
      <c r="M114">
        <v>113</v>
      </c>
      <c r="N114">
        <v>-1.7103159944084858</v>
      </c>
    </row>
    <row r="115" spans="1:14">
      <c r="A115">
        <v>114</v>
      </c>
      <c r="B115">
        <v>1292</v>
      </c>
      <c r="C115">
        <v>193</v>
      </c>
      <c r="D115">
        <v>55</v>
      </c>
      <c r="E115">
        <v>112</v>
      </c>
      <c r="G115">
        <f t="shared" si="4"/>
        <v>-1.6313480220473013</v>
      </c>
      <c r="H115">
        <f t="shared" si="5"/>
        <v>-2.0972261427016732</v>
      </c>
      <c r="I115">
        <f t="shared" si="6"/>
        <v>-2.5304132493150036</v>
      </c>
      <c r="K115">
        <f t="shared" si="7"/>
        <v>-2.086329138021326</v>
      </c>
      <c r="M115">
        <v>114</v>
      </c>
      <c r="N115">
        <v>-2.086329138021326</v>
      </c>
    </row>
    <row r="116" spans="1:14">
      <c r="A116">
        <v>115</v>
      </c>
      <c r="B116">
        <v>567</v>
      </c>
      <c r="C116">
        <v>32</v>
      </c>
      <c r="D116">
        <v>95</v>
      </c>
      <c r="E116">
        <v>113</v>
      </c>
      <c r="G116">
        <f t="shared" si="4"/>
        <v>-2.0540758979690104</v>
      </c>
      <c r="H116">
        <f t="shared" si="5"/>
        <v>-1.5021857721409106</v>
      </c>
      <c r="I116">
        <f t="shared" si="6"/>
        <v>-2.168873373735607</v>
      </c>
      <c r="K116">
        <f t="shared" si="7"/>
        <v>-1.9083783479485092</v>
      </c>
      <c r="M116">
        <v>115</v>
      </c>
      <c r="N116">
        <v>-1.9083783479485092</v>
      </c>
    </row>
    <row r="117" spans="1:14">
      <c r="A117">
        <v>116</v>
      </c>
      <c r="B117">
        <v>837</v>
      </c>
      <c r="C117">
        <v>105</v>
      </c>
      <c r="D117">
        <v>49</v>
      </c>
      <c r="E117">
        <v>36</v>
      </c>
      <c r="G117">
        <f t="shared" si="4"/>
        <v>-1.7071789763193319</v>
      </c>
      <c r="H117">
        <f t="shared" si="5"/>
        <v>-1.958855696501598</v>
      </c>
      <c r="I117">
        <f t="shared" si="6"/>
        <v>-2.8347917155520928</v>
      </c>
      <c r="K117">
        <f t="shared" si="7"/>
        <v>-2.1669421294576741</v>
      </c>
      <c r="M117">
        <v>116</v>
      </c>
      <c r="N117">
        <v>-2.1669421294576741</v>
      </c>
    </row>
    <row r="118" spans="1:14">
      <c r="A118">
        <v>117</v>
      </c>
      <c r="B118">
        <v>1298</v>
      </c>
      <c r="C118">
        <v>1209</v>
      </c>
      <c r="D118">
        <v>775</v>
      </c>
      <c r="E118">
        <v>341</v>
      </c>
      <c r="G118">
        <f t="shared" si="4"/>
        <v>-0.83649120899958851</v>
      </c>
      <c r="H118">
        <f t="shared" si="5"/>
        <v>-0.95029930849489186</v>
      </c>
      <c r="I118">
        <f t="shared" si="6"/>
        <v>-2.0488890717979729</v>
      </c>
      <c r="K118">
        <f t="shared" si="7"/>
        <v>-1.2785598630974844</v>
      </c>
      <c r="M118">
        <v>117</v>
      </c>
      <c r="N118">
        <v>-1.2785598630974844</v>
      </c>
    </row>
    <row r="119" spans="1:14">
      <c r="A119">
        <v>118</v>
      </c>
      <c r="B119">
        <v>1014</v>
      </c>
      <c r="C119">
        <v>60</v>
      </c>
      <c r="D119">
        <v>26</v>
      </c>
      <c r="E119">
        <v>89</v>
      </c>
      <c r="G119">
        <f t="shared" si="4"/>
        <v>-2.0335295220096836</v>
      </c>
      <c r="H119">
        <f t="shared" si="5"/>
        <v>-2.3173909255633509</v>
      </c>
      <c r="I119">
        <f t="shared" si="6"/>
        <v>-2.5250167066785245</v>
      </c>
      <c r="K119">
        <f t="shared" si="7"/>
        <v>-2.2919790514171865</v>
      </c>
      <c r="M119">
        <v>118</v>
      </c>
      <c r="N119">
        <v>-2.2919790514171865</v>
      </c>
    </row>
    <row r="120" spans="1:14">
      <c r="A120">
        <v>119</v>
      </c>
      <c r="B120">
        <v>1602</v>
      </c>
      <c r="C120">
        <v>195</v>
      </c>
      <c r="D120">
        <v>61</v>
      </c>
      <c r="E120">
        <v>238</v>
      </c>
      <c r="G120">
        <f t="shared" si="4"/>
        <v>-1.7202707177817107</v>
      </c>
      <c r="H120">
        <f t="shared" si="5"/>
        <v>-2.1456589952743035</v>
      </c>
      <c r="I120">
        <f t="shared" si="6"/>
        <v>-2.296454313017827</v>
      </c>
      <c r="K120">
        <f t="shared" si="7"/>
        <v>-2.0541280086912805</v>
      </c>
      <c r="M120">
        <v>119</v>
      </c>
      <c r="N120">
        <v>-2.0541280086912805</v>
      </c>
    </row>
    <row r="121" spans="1:14">
      <c r="A121">
        <v>120</v>
      </c>
      <c r="B121">
        <v>1339</v>
      </c>
      <c r="C121">
        <v>62</v>
      </c>
      <c r="D121">
        <v>240</v>
      </c>
      <c r="E121">
        <v>149</v>
      </c>
      <c r="G121">
        <f t="shared" si="4"/>
        <v>-2.1400317049097648</v>
      </c>
      <c r="H121">
        <f t="shared" si="5"/>
        <v>-1.4728956538372546</v>
      </c>
      <c r="I121">
        <f t="shared" si="6"/>
        <v>-2.4219630669258549</v>
      </c>
      <c r="K121">
        <f t="shared" si="7"/>
        <v>-2.0116301418909583</v>
      </c>
      <c r="M121">
        <v>120</v>
      </c>
      <c r="N121">
        <v>-2.0116301418909583</v>
      </c>
    </row>
    <row r="122" spans="1:14">
      <c r="A122">
        <v>121</v>
      </c>
      <c r="B122">
        <v>1561</v>
      </c>
      <c r="C122">
        <v>149</v>
      </c>
      <c r="D122">
        <v>78</v>
      </c>
      <c r="E122">
        <v>2895</v>
      </c>
      <c r="G122">
        <f t="shared" si="4"/>
        <v>-1.8258594520461533</v>
      </c>
      <c r="H122">
        <f t="shared" si="5"/>
        <v>-2.0276346189087886</v>
      </c>
      <c r="I122">
        <f t="shared" si="6"/>
        <v>-1.2001230933250826</v>
      </c>
      <c r="K122">
        <f t="shared" si="7"/>
        <v>-1.6845390547600081</v>
      </c>
      <c r="M122">
        <v>121</v>
      </c>
      <c r="N122">
        <v>-1.6845390547600081</v>
      </c>
    </row>
    <row r="123" spans="1:14">
      <c r="A123">
        <v>122</v>
      </c>
      <c r="B123">
        <v>986</v>
      </c>
      <c r="C123">
        <v>63</v>
      </c>
      <c r="D123">
        <v>316</v>
      </c>
      <c r="E123">
        <v>63</v>
      </c>
      <c r="G123">
        <f t="shared" si="4"/>
        <v>-2.0001791828836395</v>
      </c>
      <c r="H123">
        <f t="shared" si="5"/>
        <v>-1.2205161508596591</v>
      </c>
      <c r="I123">
        <f t="shared" si="6"/>
        <v>-2.6629051238137498</v>
      </c>
      <c r="K123">
        <f t="shared" si="7"/>
        <v>-1.9612001525190161</v>
      </c>
      <c r="M123">
        <v>122</v>
      </c>
      <c r="N123">
        <v>-1.9612001525190161</v>
      </c>
    </row>
    <row r="124" spans="1:14">
      <c r="A124">
        <v>123</v>
      </c>
      <c r="B124">
        <v>916</v>
      </c>
      <c r="C124">
        <v>853</v>
      </c>
      <c r="D124">
        <v>152</v>
      </c>
      <c r="E124">
        <v>147</v>
      </c>
      <c r="G124">
        <f t="shared" si="4"/>
        <v>-0.83658925989633726</v>
      </c>
      <c r="H124">
        <f t="shared" si="5"/>
        <v>-1.5063782042599296</v>
      </c>
      <c r="I124">
        <f t="shared" si="6"/>
        <v>-2.2629468972457945</v>
      </c>
      <c r="K124">
        <f t="shared" si="7"/>
        <v>-1.5353047871340204</v>
      </c>
      <c r="M124">
        <v>123</v>
      </c>
      <c r="N124">
        <v>-1.5353047871340204</v>
      </c>
    </row>
    <row r="125" spans="1:14">
      <c r="A125">
        <v>124</v>
      </c>
      <c r="B125">
        <v>1062</v>
      </c>
      <c r="C125">
        <v>114</v>
      </c>
      <c r="D125">
        <v>1388</v>
      </c>
      <c r="E125">
        <v>96</v>
      </c>
      <c r="G125">
        <f t="shared" si="4"/>
        <v>-1.7748624828049877</v>
      </c>
      <c r="H125">
        <f t="shared" si="5"/>
        <v>-0.61006136916346576</v>
      </c>
      <c r="I125">
        <f t="shared" si="6"/>
        <v>-2.5122220420320018</v>
      </c>
      <c r="K125">
        <f t="shared" si="7"/>
        <v>-1.6323819646668187</v>
      </c>
      <c r="M125">
        <v>124</v>
      </c>
      <c r="N125">
        <v>-1.6323819646668187</v>
      </c>
    </row>
    <row r="126" spans="1:14">
      <c r="A126">
        <v>125</v>
      </c>
      <c r="B126">
        <v>1031</v>
      </c>
      <c r="C126">
        <v>114</v>
      </c>
      <c r="D126">
        <v>4071</v>
      </c>
      <c r="E126">
        <v>772</v>
      </c>
      <c r="G126">
        <f t="shared" si="4"/>
        <v>-1.761996631343054</v>
      </c>
      <c r="H126">
        <f t="shared" si="5"/>
        <v>-0.12988388144096874</v>
      </c>
      <c r="I126">
        <f t="shared" si="6"/>
        <v>-1.5940101232739003</v>
      </c>
      <c r="K126">
        <f t="shared" si="7"/>
        <v>-1.1619635453526411</v>
      </c>
      <c r="M126">
        <v>125</v>
      </c>
      <c r="N126">
        <v>-1.1619635453526411</v>
      </c>
    </row>
    <row r="127" spans="1:14">
      <c r="A127">
        <v>126</v>
      </c>
      <c r="B127">
        <v>707</v>
      </c>
      <c r="C127">
        <v>400</v>
      </c>
      <c r="D127">
        <v>1738</v>
      </c>
      <c r="E127">
        <v>1159</v>
      </c>
      <c r="G127">
        <f t="shared" si="4"/>
        <v>-1.053002239864947</v>
      </c>
      <c r="H127">
        <f t="shared" si="5"/>
        <v>-0.33569596022110348</v>
      </c>
      <c r="I127">
        <f t="shared" si="6"/>
        <v>-1.2537047361594233</v>
      </c>
      <c r="K127">
        <f t="shared" si="7"/>
        <v>-0.88080097874849128</v>
      </c>
      <c r="M127">
        <v>126</v>
      </c>
      <c r="N127">
        <v>-0.88080097874849128</v>
      </c>
    </row>
    <row r="128" spans="1:14">
      <c r="A128">
        <v>127</v>
      </c>
      <c r="B128">
        <v>1021</v>
      </c>
      <c r="C128">
        <v>191</v>
      </c>
      <c r="D128">
        <v>530</v>
      </c>
      <c r="E128">
        <v>162</v>
      </c>
      <c r="G128">
        <f t="shared" si="4"/>
        <v>-1.5336351922351925</v>
      </c>
      <c r="H128">
        <f t="shared" si="5"/>
        <v>-1.0110761910229729</v>
      </c>
      <c r="I128">
        <f t="shared" si="6"/>
        <v>-2.2678794858703992</v>
      </c>
      <c r="K128">
        <f t="shared" si="7"/>
        <v>-1.6041969563761882</v>
      </c>
      <c r="M128">
        <v>127</v>
      </c>
      <c r="N128">
        <v>-1.6041969563761882</v>
      </c>
    </row>
    <row r="129" spans="1:14">
      <c r="A129">
        <v>128</v>
      </c>
      <c r="B129">
        <v>1144</v>
      </c>
      <c r="C129">
        <v>176</v>
      </c>
      <c r="D129">
        <v>224</v>
      </c>
      <c r="E129">
        <v>145</v>
      </c>
      <c r="G129">
        <f t="shared" si="4"/>
        <v>-1.6185561740388654</v>
      </c>
      <c r="H129">
        <f t="shared" si="5"/>
        <v>-1.4345043246596942</v>
      </c>
      <c r="I129">
        <f t="shared" si="6"/>
        <v>-2.3654267805481508</v>
      </c>
      <c r="K129">
        <f t="shared" si="7"/>
        <v>-1.80616242641557</v>
      </c>
      <c r="M129">
        <v>128</v>
      </c>
      <c r="N129">
        <v>-1.80616242641557</v>
      </c>
    </row>
    <row r="130" spans="1:14">
      <c r="A130">
        <v>129</v>
      </c>
      <c r="B130">
        <v>1461</v>
      </c>
      <c r="C130">
        <v>344</v>
      </c>
      <c r="D130">
        <v>105</v>
      </c>
      <c r="E130">
        <v>693</v>
      </c>
      <c r="G130">
        <f t="shared" si="4"/>
        <v>-1.4337345907587766</v>
      </c>
      <c r="H130">
        <f t="shared" si="5"/>
        <v>-1.8697872354012106</v>
      </c>
      <c r="I130">
        <f t="shared" si="6"/>
        <v>-1.79228573964861</v>
      </c>
      <c r="K130">
        <f t="shared" si="7"/>
        <v>-1.6986025219361991</v>
      </c>
      <c r="M130">
        <v>129</v>
      </c>
      <c r="N130">
        <v>-1.6986025219361991</v>
      </c>
    </row>
    <row r="131" spans="1:14">
      <c r="A131">
        <v>130</v>
      </c>
      <c r="B131">
        <v>961</v>
      </c>
      <c r="C131">
        <v>98</v>
      </c>
      <c r="D131">
        <v>276</v>
      </c>
      <c r="E131">
        <v>294</v>
      </c>
      <c r="G131">
        <f t="shared" ref="G131:G194" si="8">LOG10(C131/B131)-LOG10(151582/23714)</f>
        <v>-1.7971401293720604</v>
      </c>
      <c r="H131">
        <f t="shared" ref="H131:H194" si="9">LOG10(D131/B131)-LOG10(126279/23714)</f>
        <v>-1.2681406241401794</v>
      </c>
      <c r="I131">
        <f t="shared" ref="I131:I194" si="10">LOG10(E131/B131)-LOG10(697226/23714)</f>
        <v>-1.982744815582508</v>
      </c>
      <c r="K131">
        <f t="shared" ref="K131:K194" si="11">AVERAGE(G131:I131)</f>
        <v>-1.682675189698249</v>
      </c>
      <c r="M131">
        <v>130</v>
      </c>
      <c r="N131">
        <v>-1.682675189698249</v>
      </c>
    </row>
    <row r="132" spans="1:14">
      <c r="A132">
        <v>131</v>
      </c>
      <c r="B132">
        <v>956</v>
      </c>
      <c r="C132">
        <v>1174</v>
      </c>
      <c r="D132">
        <v>129</v>
      </c>
      <c r="E132">
        <v>181</v>
      </c>
      <c r="G132">
        <f t="shared" si="8"/>
        <v>-0.7164326127605144</v>
      </c>
      <c r="H132">
        <f t="shared" si="9"/>
        <v>-1.5961945005137028</v>
      </c>
      <c r="I132">
        <f t="shared" si="10"/>
        <v>-2.1911480757330355</v>
      </c>
      <c r="K132">
        <f t="shared" si="11"/>
        <v>-1.5012583963357509</v>
      </c>
      <c r="M132">
        <v>131</v>
      </c>
      <c r="N132">
        <v>-1.5012583963357509</v>
      </c>
    </row>
    <row r="133" spans="1:14">
      <c r="A133">
        <v>132</v>
      </c>
      <c r="B133">
        <v>1030</v>
      </c>
      <c r="C133">
        <v>64</v>
      </c>
      <c r="D133">
        <v>24</v>
      </c>
      <c r="E133">
        <v>109</v>
      </c>
      <c r="G133">
        <f t="shared" si="8"/>
        <v>-2.0123000681172951</v>
      </c>
      <c r="H133">
        <f t="shared" si="9"/>
        <v>-2.3589523015304179</v>
      </c>
      <c r="I133">
        <f t="shared" si="10"/>
        <v>-2.4437794850906687</v>
      </c>
      <c r="K133">
        <f t="shared" si="11"/>
        <v>-2.2716772849127942</v>
      </c>
      <c r="M133">
        <v>132</v>
      </c>
      <c r="N133">
        <v>-2.2716772849127942</v>
      </c>
    </row>
    <row r="134" spans="1:14">
      <c r="A134">
        <v>133</v>
      </c>
      <c r="B134">
        <v>869</v>
      </c>
      <c r="C134">
        <v>3220</v>
      </c>
      <c r="D134">
        <v>218</v>
      </c>
      <c r="E134">
        <v>126</v>
      </c>
      <c r="G134">
        <f t="shared" si="8"/>
        <v>-0.23680672214884546</v>
      </c>
      <c r="H134">
        <f t="shared" si="9"/>
        <v>-1.3268896013809133</v>
      </c>
      <c r="I134">
        <f t="shared" si="10"/>
        <v>-2.3070179896572238</v>
      </c>
      <c r="K134">
        <f t="shared" si="11"/>
        <v>-1.2902381043956608</v>
      </c>
      <c r="M134">
        <v>133</v>
      </c>
      <c r="N134">
        <v>-1.2902381043956608</v>
      </c>
    </row>
    <row r="135" spans="1:14">
      <c r="A135">
        <v>134</v>
      </c>
      <c r="B135">
        <v>1016</v>
      </c>
      <c r="C135">
        <v>417</v>
      </c>
      <c r="D135">
        <v>238</v>
      </c>
      <c r="E135">
        <v>124</v>
      </c>
      <c r="G135">
        <f t="shared" si="8"/>
        <v>-1.192400470370153</v>
      </c>
      <c r="H135">
        <f t="shared" si="9"/>
        <v>-1.3566430694282401</v>
      </c>
      <c r="I135">
        <f t="shared" si="10"/>
        <v>-2.3818407811117854</v>
      </c>
      <c r="K135">
        <f t="shared" si="11"/>
        <v>-1.6436281069700593</v>
      </c>
      <c r="M135">
        <v>134</v>
      </c>
      <c r="N135">
        <v>-1.6436281069700593</v>
      </c>
    </row>
    <row r="136" spans="1:14">
      <c r="A136">
        <v>135</v>
      </c>
      <c r="B136">
        <v>1124</v>
      </c>
      <c r="C136">
        <v>1505</v>
      </c>
      <c r="D136">
        <v>72</v>
      </c>
      <c r="E136">
        <v>935</v>
      </c>
      <c r="G136">
        <f t="shared" si="8"/>
        <v>-0.67887262869919007</v>
      </c>
      <c r="H136">
        <f t="shared" si="9"/>
        <v>-1.9197601333386256</v>
      </c>
      <c r="I136">
        <f t="shared" si="10"/>
        <v>-1.5483234586866446</v>
      </c>
      <c r="K136">
        <f t="shared" si="11"/>
        <v>-1.3823187402414867</v>
      </c>
      <c r="M136">
        <v>135</v>
      </c>
      <c r="N136">
        <v>-1.3823187402414867</v>
      </c>
    </row>
    <row r="137" spans="1:14">
      <c r="A137">
        <v>136</v>
      </c>
      <c r="B137">
        <v>896</v>
      </c>
      <c r="C137">
        <v>38</v>
      </c>
      <c r="D137">
        <v>105</v>
      </c>
      <c r="E137">
        <v>65</v>
      </c>
      <c r="G137">
        <f t="shared" si="8"/>
        <v>-2.1781672304413249</v>
      </c>
      <c r="H137">
        <f t="shared" si="9"/>
        <v>-1.6574450291290388</v>
      </c>
      <c r="I137">
        <f t="shared" si="10"/>
        <v>-2.6077634113453896</v>
      </c>
      <c r="K137">
        <f t="shared" si="11"/>
        <v>-2.1477918903052511</v>
      </c>
      <c r="M137">
        <v>136</v>
      </c>
      <c r="N137">
        <v>-2.1477918903052511</v>
      </c>
    </row>
    <row r="138" spans="1:14">
      <c r="A138">
        <v>137</v>
      </c>
      <c r="B138">
        <v>1135</v>
      </c>
      <c r="C138">
        <v>758</v>
      </c>
      <c r="D138">
        <v>829</v>
      </c>
      <c r="E138">
        <v>127</v>
      </c>
      <c r="G138">
        <f t="shared" si="8"/>
        <v>-0.98096947329309792</v>
      </c>
      <c r="H138">
        <f t="shared" si="9"/>
        <v>-0.86276764951571971</v>
      </c>
      <c r="I138">
        <f t="shared" si="10"/>
        <v>-2.4195608988993049</v>
      </c>
      <c r="K138">
        <f t="shared" si="11"/>
        <v>-1.4210993405693741</v>
      </c>
      <c r="M138">
        <v>137</v>
      </c>
      <c r="N138">
        <v>-1.4210993405693741</v>
      </c>
    </row>
    <row r="139" spans="1:14">
      <c r="A139">
        <v>138</v>
      </c>
      <c r="B139">
        <v>897</v>
      </c>
      <c r="C139">
        <v>1103</v>
      </c>
      <c r="D139">
        <v>956</v>
      </c>
      <c r="E139">
        <v>1209</v>
      </c>
      <c r="G139">
        <f t="shared" si="8"/>
        <v>-0.71585974799991148</v>
      </c>
      <c r="H139">
        <f t="shared" si="9"/>
        <v>-0.69866086930484372</v>
      </c>
      <c r="I139">
        <f t="shared" si="10"/>
        <v>-1.3387349005094402</v>
      </c>
      <c r="K139">
        <f t="shared" si="11"/>
        <v>-0.91775183927139847</v>
      </c>
      <c r="M139">
        <v>138</v>
      </c>
      <c r="N139">
        <v>-0.91775183927139847</v>
      </c>
    </row>
    <row r="140" spans="1:14">
      <c r="A140">
        <v>139</v>
      </c>
      <c r="B140">
        <v>792</v>
      </c>
      <c r="C140">
        <v>1342</v>
      </c>
      <c r="D140">
        <v>274</v>
      </c>
      <c r="E140">
        <v>48</v>
      </c>
      <c r="G140">
        <f t="shared" si="8"/>
        <v>-0.57661548315253019</v>
      </c>
      <c r="H140">
        <f t="shared" si="9"/>
        <v>-1.1873009373059573</v>
      </c>
      <c r="I140">
        <f t="shared" si="10"/>
        <v>-2.6858527025400263</v>
      </c>
      <c r="K140">
        <f t="shared" si="11"/>
        <v>-1.4832563743328382</v>
      </c>
      <c r="M140">
        <v>139</v>
      </c>
      <c r="N140">
        <v>-1.4832563743328382</v>
      </c>
    </row>
    <row r="141" spans="1:14">
      <c r="A141">
        <v>140</v>
      </c>
      <c r="B141">
        <v>1039</v>
      </c>
      <c r="C141">
        <v>98</v>
      </c>
      <c r="D141">
        <v>12205</v>
      </c>
      <c r="E141">
        <v>135</v>
      </c>
      <c r="G141">
        <f t="shared" si="8"/>
        <v>-1.8310322892606925</v>
      </c>
      <c r="H141">
        <f t="shared" si="9"/>
        <v>0.34359591765917841</v>
      </c>
      <c r="I141">
        <f t="shared" si="10"/>
        <v>-2.3546505373882916</v>
      </c>
      <c r="K141">
        <f t="shared" si="11"/>
        <v>-1.2806956363299353</v>
      </c>
      <c r="M141">
        <v>140</v>
      </c>
      <c r="N141">
        <v>-1.2806956363299353</v>
      </c>
    </row>
    <row r="142" spans="1:14">
      <c r="A142">
        <v>141</v>
      </c>
      <c r="B142">
        <v>1404</v>
      </c>
      <c r="C142">
        <v>56</v>
      </c>
      <c r="D142">
        <v>48</v>
      </c>
      <c r="E142">
        <v>602</v>
      </c>
      <c r="G142">
        <f t="shared" si="8"/>
        <v>-2.2048218981835959</v>
      </c>
      <c r="H142">
        <f t="shared" si="9"/>
        <v>-2.192452188955051</v>
      </c>
      <c r="I142">
        <f t="shared" si="10"/>
        <v>-1.836139374862082</v>
      </c>
      <c r="K142">
        <f t="shared" si="11"/>
        <v>-2.0778044873335761</v>
      </c>
      <c r="M142">
        <v>141</v>
      </c>
      <c r="N142">
        <v>-2.0778044873335761</v>
      </c>
    </row>
    <row r="143" spans="1:14">
      <c r="A143">
        <v>142</v>
      </c>
      <c r="B143">
        <v>1399</v>
      </c>
      <c r="C143">
        <v>548</v>
      </c>
      <c r="D143">
        <v>32553</v>
      </c>
      <c r="E143">
        <v>623</v>
      </c>
      <c r="G143">
        <f t="shared" si="8"/>
        <v>-1.2126799734034683</v>
      </c>
      <c r="H143">
        <f t="shared" si="9"/>
        <v>0.64044698517226528</v>
      </c>
      <c r="I143">
        <f t="shared" si="10"/>
        <v>-1.8196984261587781</v>
      </c>
      <c r="K143">
        <f t="shared" si="11"/>
        <v>-0.79731047146332701</v>
      </c>
      <c r="M143">
        <v>142</v>
      </c>
      <c r="N143">
        <v>-0.79731047146332701</v>
      </c>
    </row>
    <row r="144" spans="1:14">
      <c r="A144">
        <v>143</v>
      </c>
      <c r="B144">
        <v>778</v>
      </c>
      <c r="C144">
        <v>1161</v>
      </c>
      <c r="D144">
        <v>55</v>
      </c>
      <c r="E144">
        <v>102</v>
      </c>
      <c r="G144">
        <f t="shared" si="8"/>
        <v>-0.63179019464712505</v>
      </c>
      <c r="H144">
        <f t="shared" si="9"/>
        <v>-1.8769432260322967</v>
      </c>
      <c r="I144">
        <f t="shared" si="10"/>
        <v>-2.3507481835538915</v>
      </c>
      <c r="K144">
        <f t="shared" si="11"/>
        <v>-1.6198272014111044</v>
      </c>
      <c r="M144">
        <v>143</v>
      </c>
      <c r="N144">
        <v>-1.6198272014111044</v>
      </c>
    </row>
    <row r="145" spans="1:14">
      <c r="A145">
        <v>144</v>
      </c>
      <c r="B145">
        <v>1689</v>
      </c>
      <c r="C145">
        <v>731</v>
      </c>
      <c r="D145">
        <v>1807</v>
      </c>
      <c r="E145">
        <v>1107</v>
      </c>
      <c r="G145">
        <f t="shared" si="8"/>
        <v>-1.1693550900091583</v>
      </c>
      <c r="H145">
        <f t="shared" si="9"/>
        <v>-0.69699781554692852</v>
      </c>
      <c r="I145">
        <f t="shared" si="10"/>
        <v>-1.6518507870184058</v>
      </c>
      <c r="K145">
        <f t="shared" si="11"/>
        <v>-1.1727345641914975</v>
      </c>
      <c r="M145">
        <v>144</v>
      </c>
      <c r="N145">
        <v>-1.1727345641914975</v>
      </c>
    </row>
    <row r="146" spans="1:14">
      <c r="A146">
        <v>145</v>
      </c>
      <c r="B146">
        <v>738</v>
      </c>
      <c r="C146">
        <v>1095</v>
      </c>
      <c r="D146">
        <v>501</v>
      </c>
      <c r="E146">
        <v>132</v>
      </c>
      <c r="G146">
        <f t="shared" si="8"/>
        <v>-0.63428506004291441</v>
      </c>
      <c r="H146">
        <f t="shared" si="9"/>
        <v>-0.89454495449264759</v>
      </c>
      <c r="I146">
        <f t="shared" si="10"/>
        <v>-2.2158511889433115</v>
      </c>
      <c r="K146">
        <f t="shared" si="11"/>
        <v>-1.2482270678262912</v>
      </c>
      <c r="M146">
        <v>145</v>
      </c>
      <c r="N146">
        <v>-1.2482270678262912</v>
      </c>
    </row>
    <row r="147" spans="1:14">
      <c r="A147">
        <v>146</v>
      </c>
      <c r="B147">
        <v>1063</v>
      </c>
      <c r="C147">
        <v>293</v>
      </c>
      <c r="D147">
        <v>441</v>
      </c>
      <c r="E147">
        <v>3484</v>
      </c>
      <c r="G147">
        <f t="shared" si="8"/>
        <v>-1.3653084615651974</v>
      </c>
      <c r="H147">
        <f t="shared" si="9"/>
        <v>-1.1084209935923099</v>
      </c>
      <c r="I147">
        <f t="shared" si="10"/>
        <v>-0.95282387651379119</v>
      </c>
      <c r="K147">
        <f t="shared" si="11"/>
        <v>-1.1421844438904329</v>
      </c>
      <c r="M147">
        <v>146</v>
      </c>
      <c r="N147">
        <v>-1.1421844438904329</v>
      </c>
    </row>
    <row r="148" spans="1:14">
      <c r="A148">
        <v>147</v>
      </c>
      <c r="B148">
        <v>1279</v>
      </c>
      <c r="C148">
        <v>382</v>
      </c>
      <c r="D148">
        <v>7540</v>
      </c>
      <c r="E148">
        <v>279</v>
      </c>
      <c r="G148">
        <f t="shared" si="8"/>
        <v>-1.3304499989629552</v>
      </c>
      <c r="H148">
        <f t="shared" si="9"/>
        <v>4.4174482854268393E-2</v>
      </c>
      <c r="I148">
        <f t="shared" si="10"/>
        <v>-2.1296350995311766</v>
      </c>
      <c r="K148">
        <f t="shared" si="11"/>
        <v>-1.1386368718799544</v>
      </c>
      <c r="M148">
        <v>147</v>
      </c>
      <c r="N148">
        <v>-1.1386368718799544</v>
      </c>
    </row>
    <row r="149" spans="1:14">
      <c r="A149">
        <v>148</v>
      </c>
      <c r="B149">
        <v>634</v>
      </c>
      <c r="C149">
        <v>103</v>
      </c>
      <c r="D149">
        <v>195</v>
      </c>
      <c r="E149">
        <v>188</v>
      </c>
      <c r="G149">
        <f t="shared" si="8"/>
        <v>-1.5948948505725706</v>
      </c>
      <c r="H149">
        <f t="shared" si="9"/>
        <v>-1.2383809650560664</v>
      </c>
      <c r="I149">
        <f t="shared" si="10"/>
        <v>-1.9963001669441729</v>
      </c>
      <c r="K149">
        <f t="shared" si="11"/>
        <v>-1.6098586608576033</v>
      </c>
      <c r="M149">
        <v>148</v>
      </c>
      <c r="N149">
        <v>-1.6098586608576033</v>
      </c>
    </row>
    <row r="150" spans="1:14">
      <c r="A150">
        <v>149</v>
      </c>
      <c r="B150">
        <v>1048</v>
      </c>
      <c r="C150">
        <v>533</v>
      </c>
      <c r="D150">
        <v>453</v>
      </c>
      <c r="E150">
        <v>588</v>
      </c>
      <c r="G150">
        <f t="shared" si="8"/>
        <v>-1.0992768910171455</v>
      </c>
      <c r="H150">
        <f t="shared" si="9"/>
        <v>-1.0905893991717277</v>
      </c>
      <c r="I150">
        <f t="shared" si="10"/>
        <v>-1.7193527148976893</v>
      </c>
      <c r="K150">
        <f t="shared" si="11"/>
        <v>-1.3030730016955208</v>
      </c>
      <c r="M150">
        <v>149</v>
      </c>
      <c r="N150">
        <v>-1.3030730016955208</v>
      </c>
    </row>
    <row r="151" spans="1:14">
      <c r="A151">
        <v>150</v>
      </c>
      <c r="B151">
        <v>1438</v>
      </c>
      <c r="C151">
        <v>935</v>
      </c>
      <c r="D151">
        <v>928</v>
      </c>
      <c r="E151">
        <v>1165</v>
      </c>
      <c r="G151">
        <f t="shared" si="8"/>
        <v>-0.99259009257035591</v>
      </c>
      <c r="H151">
        <f t="shared" si="9"/>
        <v>-0.91653722836485341</v>
      </c>
      <c r="I151">
        <f t="shared" si="10"/>
        <v>-1.5598017190109461</v>
      </c>
      <c r="K151">
        <f t="shared" si="11"/>
        <v>-1.1563096799820518</v>
      </c>
      <c r="M151">
        <v>150</v>
      </c>
      <c r="N151">
        <v>-1.1563096799820518</v>
      </c>
    </row>
    <row r="152" spans="1:14">
      <c r="A152">
        <v>151</v>
      </c>
      <c r="B152">
        <v>829</v>
      </c>
      <c r="C152">
        <v>71</v>
      </c>
      <c r="D152">
        <v>362</v>
      </c>
      <c r="E152">
        <v>643</v>
      </c>
      <c r="G152">
        <f t="shared" si="8"/>
        <v>-1.8729389992272083</v>
      </c>
      <c r="H152">
        <f t="shared" si="9"/>
        <v>-1.0861722785539596</v>
      </c>
      <c r="I152">
        <f t="shared" si="10"/>
        <v>-1.5787123159521714</v>
      </c>
      <c r="K152">
        <f t="shared" si="11"/>
        <v>-1.5126078645777798</v>
      </c>
      <c r="M152">
        <v>151</v>
      </c>
      <c r="N152">
        <v>-1.5126078645777798</v>
      </c>
    </row>
    <row r="153" spans="1:14">
      <c r="A153">
        <v>152</v>
      </c>
      <c r="B153">
        <v>1231</v>
      </c>
      <c r="C153">
        <v>268</v>
      </c>
      <c r="D153">
        <v>866</v>
      </c>
      <c r="E153">
        <v>235</v>
      </c>
      <c r="G153">
        <f t="shared" si="8"/>
        <v>-1.4677660762985374</v>
      </c>
      <c r="H153">
        <f t="shared" si="9"/>
        <v>-0.87906647945082139</v>
      </c>
      <c r="I153">
        <f t="shared" si="10"/>
        <v>-2.1875589489856999</v>
      </c>
      <c r="K153">
        <f t="shared" si="11"/>
        <v>-1.5114638349116862</v>
      </c>
      <c r="M153">
        <v>152</v>
      </c>
      <c r="N153">
        <v>-1.5114638349116862</v>
      </c>
    </row>
    <row r="154" spans="1:14">
      <c r="A154">
        <v>153</v>
      </c>
      <c r="B154">
        <v>812</v>
      </c>
      <c r="C154">
        <v>160</v>
      </c>
      <c r="D154">
        <v>11</v>
      </c>
      <c r="E154">
        <v>87</v>
      </c>
      <c r="G154">
        <f t="shared" si="8"/>
        <v>-1.5110788639812605</v>
      </c>
      <c r="H154">
        <f t="shared" si="9"/>
        <v>-2.594489662619802</v>
      </c>
      <c r="I154">
        <f t="shared" si="10"/>
        <v>-2.4384055349486768</v>
      </c>
      <c r="K154">
        <f t="shared" si="11"/>
        <v>-2.1813246871832463</v>
      </c>
      <c r="M154">
        <v>153</v>
      </c>
      <c r="N154">
        <v>-2.1813246871832463</v>
      </c>
    </row>
    <row r="155" spans="1:14">
      <c r="A155">
        <v>154</v>
      </c>
      <c r="B155">
        <v>898</v>
      </c>
      <c r="C155">
        <v>106</v>
      </c>
      <c r="D155">
        <v>830</v>
      </c>
      <c r="E155">
        <v>477</v>
      </c>
      <c r="G155">
        <f t="shared" si="8"/>
        <v>-1.733613288798544</v>
      </c>
      <c r="H155">
        <f t="shared" si="9"/>
        <v>-0.76052456282808212</v>
      </c>
      <c r="I155">
        <f t="shared" si="10"/>
        <v>-1.7431267159533106</v>
      </c>
      <c r="K155">
        <f t="shared" si="11"/>
        <v>-1.4124215225266454</v>
      </c>
      <c r="M155">
        <v>154</v>
      </c>
      <c r="N155">
        <v>-1.4124215225266454</v>
      </c>
    </row>
    <row r="156" spans="1:14">
      <c r="A156">
        <v>155</v>
      </c>
      <c r="B156">
        <v>737</v>
      </c>
      <c r="C156">
        <v>51</v>
      </c>
      <c r="D156">
        <v>14</v>
      </c>
      <c r="E156">
        <v>84</v>
      </c>
      <c r="G156">
        <f t="shared" si="8"/>
        <v>-1.9655401291571251</v>
      </c>
      <c r="H156">
        <f t="shared" si="9"/>
        <v>-2.447665770717665</v>
      </c>
      <c r="I156">
        <f t="shared" si="10"/>
        <v>-2.4115569601232898</v>
      </c>
      <c r="K156">
        <f t="shared" si="11"/>
        <v>-2.2749209533326931</v>
      </c>
      <c r="M156">
        <v>155</v>
      </c>
      <c r="N156">
        <v>-2.2749209533326931</v>
      </c>
    </row>
    <row r="157" spans="1:14">
      <c r="A157">
        <v>156</v>
      </c>
      <c r="B157">
        <v>810</v>
      </c>
      <c r="C157">
        <v>1447</v>
      </c>
      <c r="D157">
        <v>445</v>
      </c>
      <c r="E157">
        <v>626</v>
      </c>
      <c r="G157">
        <f t="shared" si="8"/>
        <v>-0.55365930515562223</v>
      </c>
      <c r="H157">
        <f t="shared" si="9"/>
        <v>-0.98645132643456979</v>
      </c>
      <c r="I157">
        <f t="shared" si="10"/>
        <v>-1.5802794439943402</v>
      </c>
      <c r="K157">
        <f t="shared" si="11"/>
        <v>-1.040130025194844</v>
      </c>
      <c r="M157">
        <v>156</v>
      </c>
      <c r="N157">
        <v>-1.040130025194844</v>
      </c>
    </row>
    <row r="158" spans="1:14">
      <c r="A158">
        <v>157</v>
      </c>
      <c r="B158">
        <v>1352</v>
      </c>
      <c r="C158">
        <v>173</v>
      </c>
      <c r="D158">
        <v>534</v>
      </c>
      <c r="E158">
        <v>963</v>
      </c>
      <c r="G158">
        <f t="shared" si="8"/>
        <v>-1.6985734058728317</v>
      </c>
      <c r="H158">
        <f t="shared" si="9"/>
        <v>-1.1297617531139124</v>
      </c>
      <c r="I158">
        <f t="shared" si="10"/>
        <v>-1.6157191628072027</v>
      </c>
      <c r="K158">
        <f t="shared" si="11"/>
        <v>-1.4813514405979822</v>
      </c>
      <c r="M158">
        <v>157</v>
      </c>
      <c r="N158">
        <v>-1.4813514405979822</v>
      </c>
    </row>
    <row r="159" spans="1:14">
      <c r="A159">
        <v>158</v>
      </c>
      <c r="B159">
        <v>1500</v>
      </c>
      <c r="C159">
        <v>114</v>
      </c>
      <c r="D159">
        <v>1360</v>
      </c>
      <c r="E159">
        <v>467</v>
      </c>
      <c r="G159">
        <f t="shared" si="8"/>
        <v>-1.9248292251152186</v>
      </c>
      <c r="H159">
        <f t="shared" si="9"/>
        <v>-0.7688786692223154</v>
      </c>
      <c r="I159">
        <f t="shared" si="10"/>
        <v>-1.9751431368156891</v>
      </c>
      <c r="K159">
        <f t="shared" si="11"/>
        <v>-1.5562836770510744</v>
      </c>
      <c r="M159">
        <v>158</v>
      </c>
      <c r="N159">
        <v>-1.5562836770510744</v>
      </c>
    </row>
    <row r="160" spans="1:14">
      <c r="A160">
        <v>159</v>
      </c>
      <c r="B160">
        <v>969</v>
      </c>
      <c r="C160">
        <v>119</v>
      </c>
      <c r="D160">
        <v>228</v>
      </c>
      <c r="E160">
        <v>611</v>
      </c>
      <c r="G160">
        <f t="shared" si="8"/>
        <v>-1.7164196330542445</v>
      </c>
      <c r="H160">
        <f t="shared" si="9"/>
        <v>-1.3547152485871632</v>
      </c>
      <c r="I160">
        <f t="shared" si="10"/>
        <v>-1.6686513251343311</v>
      </c>
      <c r="K160">
        <f t="shared" si="11"/>
        <v>-1.5799287355919127</v>
      </c>
      <c r="M160">
        <v>159</v>
      </c>
      <c r="N160">
        <v>-1.5799287355919127</v>
      </c>
    </row>
    <row r="161" spans="1:14">
      <c r="A161">
        <v>160</v>
      </c>
      <c r="B161">
        <v>956</v>
      </c>
      <c r="C161">
        <v>98</v>
      </c>
      <c r="D161">
        <v>222</v>
      </c>
      <c r="E161">
        <v>49</v>
      </c>
      <c r="G161">
        <f t="shared" si="8"/>
        <v>-1.7948746339796151</v>
      </c>
      <c r="H161">
        <f t="shared" si="9"/>
        <v>-1.360431236362313</v>
      </c>
      <c r="I161">
        <f t="shared" si="10"/>
        <v>-2.7586305705737066</v>
      </c>
      <c r="K161">
        <f t="shared" si="11"/>
        <v>-1.9713121469718782</v>
      </c>
      <c r="M161">
        <v>160</v>
      </c>
      <c r="N161">
        <v>-1.9713121469718782</v>
      </c>
    </row>
    <row r="162" spans="1:14">
      <c r="A162">
        <v>161</v>
      </c>
      <c r="B162">
        <v>1400</v>
      </c>
      <c r="C162">
        <v>327</v>
      </c>
      <c r="D162">
        <v>119</v>
      </c>
      <c r="E162">
        <v>187</v>
      </c>
      <c r="G162">
        <f t="shared" si="8"/>
        <v>-1.437223100413962</v>
      </c>
      <c r="H162">
        <f t="shared" si="9"/>
        <v>-1.796907392822559</v>
      </c>
      <c r="I162">
        <f t="shared" si="10"/>
        <v>-2.3426551874678592</v>
      </c>
      <c r="K162">
        <f t="shared" si="11"/>
        <v>-1.8589285602347934</v>
      </c>
      <c r="M162">
        <v>161</v>
      </c>
      <c r="N162">
        <v>-1.8589285602347934</v>
      </c>
    </row>
    <row r="163" spans="1:14">
      <c r="A163">
        <v>162</v>
      </c>
      <c r="B163">
        <v>879</v>
      </c>
      <c r="C163">
        <v>25</v>
      </c>
      <c r="D163">
        <v>14</v>
      </c>
      <c r="E163">
        <v>37</v>
      </c>
      <c r="G163">
        <f t="shared" si="8"/>
        <v>-2.3516916837977444</v>
      </c>
      <c r="H163">
        <f t="shared" si="9"/>
        <v>-2.5241871579323858</v>
      </c>
      <c r="I163">
        <f t="shared" si="10"/>
        <v>-2.8441559093328967</v>
      </c>
      <c r="K163">
        <f t="shared" si="11"/>
        <v>-2.573344917021009</v>
      </c>
      <c r="M163">
        <v>162</v>
      </c>
      <c r="N163">
        <v>-2.573344917021009</v>
      </c>
    </row>
    <row r="164" spans="1:14">
      <c r="A164">
        <v>163</v>
      </c>
      <c r="B164">
        <v>674</v>
      </c>
      <c r="C164">
        <v>662</v>
      </c>
      <c r="D164">
        <v>110</v>
      </c>
      <c r="E164">
        <v>2292</v>
      </c>
      <c r="G164">
        <f t="shared" si="8"/>
        <v>-0.81344472449162986</v>
      </c>
      <c r="H164">
        <f t="shared" si="9"/>
        <v>-1.5135935299139465</v>
      </c>
      <c r="I164">
        <f t="shared" si="10"/>
        <v>-0.9368140415660875</v>
      </c>
      <c r="K164">
        <f t="shared" si="11"/>
        <v>-1.087950765323888</v>
      </c>
      <c r="M164">
        <v>163</v>
      </c>
      <c r="N164">
        <v>-1.087950765323888</v>
      </c>
    </row>
    <row r="165" spans="1:14">
      <c r="A165">
        <v>164</v>
      </c>
      <c r="B165">
        <v>919</v>
      </c>
      <c r="C165">
        <v>53</v>
      </c>
      <c r="D165">
        <v>34</v>
      </c>
      <c r="E165">
        <v>72</v>
      </c>
      <c r="G165">
        <f t="shared" si="8"/>
        <v>-2.044682459181332</v>
      </c>
      <c r="H165">
        <f t="shared" si="9"/>
        <v>-2.1581629128807078</v>
      </c>
      <c r="I165">
        <f t="shared" si="10"/>
        <v>-2.5743517732809629</v>
      </c>
      <c r="K165">
        <f t="shared" si="11"/>
        <v>-2.2590657151143341</v>
      </c>
      <c r="M165">
        <v>164</v>
      </c>
      <c r="N165">
        <v>-2.2590657151143341</v>
      </c>
    </row>
    <row r="166" spans="1:14">
      <c r="A166">
        <v>165</v>
      </c>
      <c r="B166">
        <v>1202</v>
      </c>
      <c r="C166">
        <v>246</v>
      </c>
      <c r="D166">
        <v>339</v>
      </c>
      <c r="E166">
        <v>961</v>
      </c>
      <c r="G166">
        <f t="shared" si="8"/>
        <v>-1.4946121779593515</v>
      </c>
      <c r="H166">
        <f t="shared" si="9"/>
        <v>-1.2760310880004901</v>
      </c>
      <c r="I166">
        <f t="shared" si="10"/>
        <v>-1.5655498383242954</v>
      </c>
      <c r="K166">
        <f t="shared" si="11"/>
        <v>-1.4453977014280455</v>
      </c>
      <c r="M166">
        <v>165</v>
      </c>
      <c r="N166">
        <v>-1.4453977014280455</v>
      </c>
    </row>
    <row r="167" spans="1:14">
      <c r="A167">
        <v>166</v>
      </c>
      <c r="B167">
        <v>1418</v>
      </c>
      <c r="C167">
        <v>1318</v>
      </c>
      <c r="D167">
        <v>166</v>
      </c>
      <c r="E167">
        <v>824</v>
      </c>
      <c r="G167">
        <f t="shared" si="8"/>
        <v>-0.83740363798506667</v>
      </c>
      <c r="H167">
        <f t="shared" si="9"/>
        <v>-1.6578944613438442</v>
      </c>
      <c r="I167">
        <f t="shared" si="10"/>
        <v>-1.7041177774760521</v>
      </c>
      <c r="K167">
        <f t="shared" si="11"/>
        <v>-1.3998052922683211</v>
      </c>
      <c r="M167">
        <v>166</v>
      </c>
      <c r="N167">
        <v>-1.3998052922683211</v>
      </c>
    </row>
    <row r="168" spans="1:14">
      <c r="A168">
        <v>167</v>
      </c>
      <c r="B168">
        <v>1568</v>
      </c>
      <c r="C168">
        <v>85</v>
      </c>
      <c r="D168">
        <v>118</v>
      </c>
      <c r="E168">
        <v>188</v>
      </c>
      <c r="G168">
        <f t="shared" si="8"/>
        <v>-2.0715699500301366</v>
      </c>
      <c r="H168">
        <f t="shared" si="9"/>
        <v>-1.849790369579146</v>
      </c>
      <c r="I168">
        <f t="shared" si="10"/>
        <v>-2.3895569674108597</v>
      </c>
      <c r="K168">
        <f t="shared" si="11"/>
        <v>-2.103639095673381</v>
      </c>
      <c r="M168">
        <v>167</v>
      </c>
      <c r="N168">
        <v>-2.103639095673381</v>
      </c>
    </row>
    <row r="169" spans="1:14">
      <c r="A169">
        <v>168</v>
      </c>
      <c r="B169">
        <v>1002</v>
      </c>
      <c r="C169">
        <v>54</v>
      </c>
      <c r="D169">
        <v>22</v>
      </c>
      <c r="E169">
        <v>202</v>
      </c>
      <c r="G169">
        <f t="shared" si="8"/>
        <v>-2.0741167791042683</v>
      </c>
      <c r="H169">
        <f t="shared" si="9"/>
        <v>-2.3847713592458724</v>
      </c>
      <c r="I169">
        <f t="shared" si="10"/>
        <v>-2.1638851104107233</v>
      </c>
      <c r="K169">
        <f t="shared" si="11"/>
        <v>-2.2075910829202878</v>
      </c>
      <c r="M169">
        <v>168</v>
      </c>
      <c r="N169">
        <v>-2.2075910829202878</v>
      </c>
    </row>
    <row r="170" spans="1:14">
      <c r="A170">
        <v>169</v>
      </c>
      <c r="B170">
        <v>371</v>
      </c>
      <c r="C170">
        <v>33</v>
      </c>
      <c r="D170">
        <v>4</v>
      </c>
      <c r="E170">
        <v>30</v>
      </c>
      <c r="G170">
        <f t="shared" si="8"/>
        <v>-1.8565027871331683</v>
      </c>
      <c r="H170">
        <f t="shared" si="9"/>
        <v>-2.6936402368239349</v>
      </c>
      <c r="I170">
        <f t="shared" si="10"/>
        <v>-2.5606214132215035</v>
      </c>
      <c r="K170">
        <f t="shared" si="11"/>
        <v>-2.3702548123928691</v>
      </c>
      <c r="M170">
        <v>169</v>
      </c>
      <c r="N170">
        <v>-2.3702548123928691</v>
      </c>
    </row>
    <row r="171" spans="1:14">
      <c r="A171">
        <v>170</v>
      </c>
      <c r="B171">
        <v>1254</v>
      </c>
      <c r="C171">
        <v>2900</v>
      </c>
      <c r="D171">
        <v>48</v>
      </c>
      <c r="E171">
        <v>114</v>
      </c>
      <c r="G171">
        <f t="shared" si="8"/>
        <v>-0.44154235599175151</v>
      </c>
      <c r="H171">
        <f t="shared" si="9"/>
        <v>-2.1433826176559623</v>
      </c>
      <c r="I171">
        <f t="shared" si="10"/>
        <v>-2.5097614434843449</v>
      </c>
      <c r="K171">
        <f t="shared" si="11"/>
        <v>-1.698228805710686</v>
      </c>
      <c r="M171">
        <v>170</v>
      </c>
      <c r="N171">
        <v>-1.698228805710686</v>
      </c>
    </row>
    <row r="172" spans="1:14">
      <c r="A172">
        <v>171</v>
      </c>
      <c r="B172">
        <v>979</v>
      </c>
      <c r="C172">
        <v>1138</v>
      </c>
      <c r="D172">
        <v>670</v>
      </c>
      <c r="E172">
        <v>185</v>
      </c>
      <c r="G172">
        <f t="shared" si="8"/>
        <v>-0.74028324714009541</v>
      </c>
      <c r="H172">
        <f t="shared" si="9"/>
        <v>-0.89103420763916308</v>
      </c>
      <c r="I172">
        <f t="shared" si="10"/>
        <v>-2.191979721726244</v>
      </c>
      <c r="K172">
        <f t="shared" si="11"/>
        <v>-1.2744323921685008</v>
      </c>
      <c r="M172">
        <v>171</v>
      </c>
      <c r="N172">
        <v>-1.2744323921685008</v>
      </c>
    </row>
    <row r="173" spans="1:14">
      <c r="A173">
        <v>172</v>
      </c>
      <c r="B173">
        <v>954</v>
      </c>
      <c r="C173">
        <v>114</v>
      </c>
      <c r="D173">
        <v>84</v>
      </c>
      <c r="E173">
        <v>184</v>
      </c>
      <c r="G173">
        <f t="shared" si="8"/>
        <v>-1.7282863407636326</v>
      </c>
      <c r="H173">
        <f t="shared" si="9"/>
        <v>-1.7815954071790654</v>
      </c>
      <c r="I173">
        <f t="shared" si="10"/>
        <v>-2.1830993100206788</v>
      </c>
      <c r="K173">
        <f t="shared" si="11"/>
        <v>-1.8976603526544589</v>
      </c>
      <c r="M173">
        <v>172</v>
      </c>
      <c r="N173">
        <v>-1.8976603526544589</v>
      </c>
    </row>
    <row r="174" spans="1:14">
      <c r="A174">
        <v>173</v>
      </c>
      <c r="B174">
        <v>797</v>
      </c>
      <c r="C174">
        <v>173</v>
      </c>
      <c r="D174">
        <v>1200</v>
      </c>
      <c r="E174">
        <v>389</v>
      </c>
      <c r="G174">
        <f t="shared" si="8"/>
        <v>-1.469055035663327</v>
      </c>
      <c r="H174">
        <f t="shared" si="9"/>
        <v>-0.54860339388533919</v>
      </c>
      <c r="I174">
        <f t="shared" si="10"/>
        <v>-1.7798774783965245</v>
      </c>
      <c r="K174">
        <f t="shared" si="11"/>
        <v>-1.2658453026483969</v>
      </c>
      <c r="M174">
        <v>173</v>
      </c>
      <c r="N174">
        <v>-1.2658453026483969</v>
      </c>
    </row>
    <row r="175" spans="1:14">
      <c r="A175">
        <v>174</v>
      </c>
      <c r="B175">
        <v>587</v>
      </c>
      <c r="C175">
        <v>602</v>
      </c>
      <c r="D175">
        <v>54</v>
      </c>
      <c r="E175">
        <v>37</v>
      </c>
      <c r="G175">
        <f t="shared" si="8"/>
        <v>-0.79468442738579992</v>
      </c>
      <c r="H175">
        <f t="shared" si="9"/>
        <v>-1.7625706599614976</v>
      </c>
      <c r="I175">
        <f t="shared" si="10"/>
        <v>-2.6688051355067395</v>
      </c>
      <c r="K175">
        <f t="shared" si="11"/>
        <v>-1.742020074284679</v>
      </c>
      <c r="M175">
        <v>174</v>
      </c>
      <c r="N175">
        <v>-1.742020074284679</v>
      </c>
    </row>
    <row r="176" spans="1:14">
      <c r="A176">
        <v>175</v>
      </c>
      <c r="B176">
        <v>818</v>
      </c>
      <c r="C176">
        <v>63</v>
      </c>
      <c r="D176">
        <v>29</v>
      </c>
      <c r="E176">
        <v>303</v>
      </c>
      <c r="G176">
        <f t="shared" si="8"/>
        <v>-1.9190555716137512</v>
      </c>
      <c r="H176">
        <f t="shared" si="9"/>
        <v>-2.1766816243092189</v>
      </c>
      <c r="I176">
        <f t="shared" si="10"/>
        <v>-1.8996794334951379</v>
      </c>
      <c r="K176">
        <f t="shared" si="11"/>
        <v>-1.9984722098060359</v>
      </c>
      <c r="M176">
        <v>175</v>
      </c>
      <c r="N176">
        <v>-1.9984722098060359</v>
      </c>
    </row>
    <row r="177" spans="1:14">
      <c r="A177">
        <v>176</v>
      </c>
      <c r="B177">
        <v>1265</v>
      </c>
      <c r="C177">
        <v>283</v>
      </c>
      <c r="D177">
        <v>74228</v>
      </c>
      <c r="E177">
        <v>896</v>
      </c>
      <c r="G177">
        <f t="shared" si="8"/>
        <v>-1.4559469073835565</v>
      </c>
      <c r="H177">
        <f t="shared" si="9"/>
        <v>1.0421509150266242</v>
      </c>
      <c r="I177">
        <f t="shared" si="10"/>
        <v>-1.6181512741758315</v>
      </c>
      <c r="K177">
        <f t="shared" si="11"/>
        <v>-0.67731575551092116</v>
      </c>
      <c r="M177">
        <v>176</v>
      </c>
      <c r="N177">
        <v>-0.67731575551092116</v>
      </c>
    </row>
    <row r="178" spans="1:14">
      <c r="A178">
        <v>177</v>
      </c>
      <c r="B178">
        <v>1190</v>
      </c>
      <c r="C178">
        <v>257</v>
      </c>
      <c r="D178">
        <v>53</v>
      </c>
      <c r="E178">
        <v>76</v>
      </c>
      <c r="G178">
        <f t="shared" si="8"/>
        <v>-1.4712566554572462</v>
      </c>
      <c r="H178">
        <f t="shared" si="9"/>
        <v>-2.0775974103285932</v>
      </c>
      <c r="I178">
        <f t="shared" si="10"/>
        <v>-2.6631021274378597</v>
      </c>
      <c r="K178">
        <f t="shared" si="11"/>
        <v>-2.0706520644078998</v>
      </c>
      <c r="M178">
        <v>177</v>
      </c>
      <c r="N178">
        <v>-2.0706520644078998</v>
      </c>
    </row>
    <row r="179" spans="1:14">
      <c r="A179">
        <v>178</v>
      </c>
      <c r="B179">
        <v>774</v>
      </c>
      <c r="C179">
        <v>79</v>
      </c>
      <c r="D179">
        <v>55</v>
      </c>
      <c r="E179">
        <v>169</v>
      </c>
      <c r="G179">
        <f t="shared" si="8"/>
        <v>-1.796756686788461</v>
      </c>
      <c r="H179">
        <f t="shared" si="9"/>
        <v>-1.8747045897255004</v>
      </c>
      <c r="I179">
        <f t="shared" si="10"/>
        <v>-2.1292230143953388</v>
      </c>
      <c r="K179">
        <f t="shared" si="11"/>
        <v>-1.9335614303031001</v>
      </c>
      <c r="M179">
        <v>178</v>
      </c>
      <c r="N179">
        <v>-1.9335614303031001</v>
      </c>
    </row>
    <row r="180" spans="1:14">
      <c r="A180">
        <v>179</v>
      </c>
      <c r="B180">
        <v>881</v>
      </c>
      <c r="C180">
        <v>957</v>
      </c>
      <c r="D180">
        <v>966</v>
      </c>
      <c r="E180">
        <v>984</v>
      </c>
      <c r="G180">
        <f t="shared" si="8"/>
        <v>-0.76970678803121428</v>
      </c>
      <c r="H180">
        <f t="shared" si="9"/>
        <v>-0.68632510053340634</v>
      </c>
      <c r="I180">
        <f t="shared" si="10"/>
        <v>-1.4203495683068263</v>
      </c>
      <c r="K180">
        <f t="shared" si="11"/>
        <v>-0.95879381895714888</v>
      </c>
      <c r="M180">
        <v>179</v>
      </c>
      <c r="N180">
        <v>-0.95879381895714888</v>
      </c>
    </row>
    <row r="181" spans="1:14">
      <c r="A181">
        <v>180</v>
      </c>
      <c r="B181">
        <v>909</v>
      </c>
      <c r="C181">
        <v>26</v>
      </c>
      <c r="D181">
        <v>35</v>
      </c>
      <c r="E181">
        <v>1304</v>
      </c>
      <c r="G181">
        <f t="shared" si="8"/>
        <v>-2.3492333526471594</v>
      </c>
      <c r="H181">
        <f t="shared" si="9"/>
        <v>-2.1408221574085435</v>
      </c>
      <c r="I181">
        <f t="shared" si="10"/>
        <v>-1.311655050152186</v>
      </c>
      <c r="K181">
        <f t="shared" si="11"/>
        <v>-1.9339035200692962</v>
      </c>
      <c r="M181">
        <v>180</v>
      </c>
      <c r="N181">
        <v>-1.9339035200692962</v>
      </c>
    </row>
    <row r="182" spans="1:14">
      <c r="A182">
        <v>181</v>
      </c>
      <c r="B182">
        <v>1006</v>
      </c>
      <c r="C182">
        <v>179</v>
      </c>
      <c r="D182">
        <v>238</v>
      </c>
      <c r="E182">
        <v>521</v>
      </c>
      <c r="G182">
        <f t="shared" si="8"/>
        <v>-1.5553877671360254</v>
      </c>
      <c r="H182">
        <f t="shared" si="9"/>
        <v>-1.3523473422002483</v>
      </c>
      <c r="I182">
        <f t="shared" si="10"/>
        <v>-1.7541290157465041</v>
      </c>
      <c r="K182">
        <f t="shared" si="11"/>
        <v>-1.5539547083609262</v>
      </c>
      <c r="M182">
        <v>181</v>
      </c>
      <c r="N182">
        <v>-1.5539547083609262</v>
      </c>
    </row>
    <row r="183" spans="1:14">
      <c r="A183">
        <v>182</v>
      </c>
      <c r="B183">
        <v>1083</v>
      </c>
      <c r="C183">
        <v>41</v>
      </c>
      <c r="D183">
        <v>46</v>
      </c>
      <c r="E183">
        <v>163</v>
      </c>
      <c r="G183">
        <f t="shared" si="8"/>
        <v>-2.2274874173015951</v>
      </c>
      <c r="H183">
        <f t="shared" si="9"/>
        <v>-2.0981969434805978</v>
      </c>
      <c r="I183">
        <f t="shared" si="10"/>
        <v>-2.2908096105474827</v>
      </c>
      <c r="K183">
        <f t="shared" si="11"/>
        <v>-2.205497990443225</v>
      </c>
      <c r="M183">
        <v>182</v>
      </c>
      <c r="N183">
        <v>-2.205497990443225</v>
      </c>
    </row>
    <row r="184" spans="1:14">
      <c r="A184">
        <v>183</v>
      </c>
      <c r="B184">
        <v>976</v>
      </c>
      <c r="C184">
        <v>159</v>
      </c>
      <c r="D184">
        <v>119</v>
      </c>
      <c r="E184">
        <v>266</v>
      </c>
      <c r="G184">
        <f t="shared" si="8"/>
        <v>-1.5936955107422501</v>
      </c>
      <c r="H184">
        <f t="shared" si="9"/>
        <v>-1.6402291748110127</v>
      </c>
      <c r="I184">
        <f t="shared" si="10"/>
        <v>-2.0329369393617447</v>
      </c>
      <c r="K184">
        <f t="shared" si="11"/>
        <v>-1.7556205416383357</v>
      </c>
      <c r="M184">
        <v>183</v>
      </c>
      <c r="N184">
        <v>-1.7556205416383357</v>
      </c>
    </row>
    <row r="185" spans="1:14">
      <c r="A185">
        <v>184</v>
      </c>
      <c r="B185">
        <v>1977</v>
      </c>
      <c r="C185">
        <v>1574</v>
      </c>
      <c r="D185">
        <v>398</v>
      </c>
      <c r="E185">
        <v>900</v>
      </c>
      <c r="G185">
        <f t="shared" si="8"/>
        <v>-0.90464475868663652</v>
      </c>
      <c r="H185">
        <f t="shared" si="9"/>
        <v>-1.4224499157768362</v>
      </c>
      <c r="I185">
        <f t="shared" si="10"/>
        <v>-1.8101329182004675</v>
      </c>
      <c r="K185">
        <f t="shared" si="11"/>
        <v>-1.3790758642213135</v>
      </c>
      <c r="M185">
        <v>184</v>
      </c>
      <c r="N185">
        <v>-1.3790758642213135</v>
      </c>
    </row>
    <row r="186" spans="1:14">
      <c r="A186">
        <v>185</v>
      </c>
      <c r="B186">
        <v>1025</v>
      </c>
      <c r="C186">
        <v>166</v>
      </c>
      <c r="D186">
        <v>132</v>
      </c>
      <c r="E186">
        <v>670</v>
      </c>
      <c r="G186">
        <f t="shared" si="8"/>
        <v>-1.5962585947477279</v>
      </c>
      <c r="H186">
        <f t="shared" si="9"/>
        <v>-1.616476252722775</v>
      </c>
      <c r="I186">
        <f t="shared" si="10"/>
        <v>-1.6530178210170667</v>
      </c>
      <c r="K186">
        <f t="shared" si="11"/>
        <v>-1.6219175561625232</v>
      </c>
      <c r="M186">
        <v>185</v>
      </c>
      <c r="N186">
        <v>-1.6219175561625232</v>
      </c>
    </row>
    <row r="187" spans="1:14">
      <c r="A187">
        <v>186</v>
      </c>
      <c r="B187">
        <v>1123</v>
      </c>
      <c r="C187">
        <v>94</v>
      </c>
      <c r="D187">
        <v>110</v>
      </c>
      <c r="E187">
        <v>101</v>
      </c>
      <c r="G187">
        <f t="shared" si="8"/>
        <v>-1.882894720057769</v>
      </c>
      <c r="H187">
        <f t="shared" si="9"/>
        <v>-1.7353133896400843</v>
      </c>
      <c r="I187">
        <f t="shared" si="10"/>
        <v>-2.5144271408049352</v>
      </c>
      <c r="K187">
        <f t="shared" si="11"/>
        <v>-2.0442117501675963</v>
      </c>
      <c r="M187">
        <v>186</v>
      </c>
      <c r="N187">
        <v>-2.0442117501675963</v>
      </c>
    </row>
    <row r="188" spans="1:14">
      <c r="A188">
        <v>187</v>
      </c>
      <c r="B188">
        <v>854</v>
      </c>
      <c r="C188">
        <v>15</v>
      </c>
      <c r="D188">
        <v>24</v>
      </c>
      <c r="E188">
        <v>39</v>
      </c>
      <c r="G188">
        <f t="shared" si="8"/>
        <v>-2.5610094290293337</v>
      </c>
      <c r="H188">
        <f t="shared" si="9"/>
        <v>-2.2775729475142508</v>
      </c>
      <c r="I188">
        <f t="shared" si="10"/>
        <v>-2.8087620219886258</v>
      </c>
      <c r="K188">
        <f t="shared" si="11"/>
        <v>-2.5491147995107366</v>
      </c>
      <c r="M188">
        <v>187</v>
      </c>
      <c r="N188">
        <v>-2.5491147995107366</v>
      </c>
    </row>
    <row r="189" spans="1:14">
      <c r="A189">
        <v>188</v>
      </c>
      <c r="B189">
        <v>1031</v>
      </c>
      <c r="C189">
        <v>422</v>
      </c>
      <c r="D189">
        <v>617</v>
      </c>
      <c r="E189">
        <v>165</v>
      </c>
      <c r="G189">
        <f t="shared" si="8"/>
        <v>-1.1935890317178526</v>
      </c>
      <c r="H189">
        <f t="shared" si="9"/>
        <v>-0.94929981978712652</v>
      </c>
      <c r="I189">
        <f t="shared" si="10"/>
        <v>-2.2641434793957305</v>
      </c>
      <c r="K189">
        <f t="shared" si="11"/>
        <v>-1.4690107769669032</v>
      </c>
      <c r="M189">
        <v>188</v>
      </c>
      <c r="N189">
        <v>-1.4690107769669032</v>
      </c>
    </row>
    <row r="190" spans="1:14">
      <c r="A190">
        <v>189</v>
      </c>
      <c r="B190">
        <v>824</v>
      </c>
      <c r="C190">
        <v>223</v>
      </c>
      <c r="D190">
        <v>120</v>
      </c>
      <c r="E190">
        <v>1209</v>
      </c>
      <c r="G190">
        <f t="shared" si="8"/>
        <v>-1.3732651660449651</v>
      </c>
      <c r="H190">
        <f t="shared" si="9"/>
        <v>-1.5630722841863427</v>
      </c>
      <c r="I190">
        <f t="shared" si="10"/>
        <v>-1.301869669162464</v>
      </c>
      <c r="K190">
        <f t="shared" si="11"/>
        <v>-1.4127357064645907</v>
      </c>
      <c r="M190">
        <v>189</v>
      </c>
      <c r="N190">
        <v>-1.4127357064645907</v>
      </c>
    </row>
    <row r="191" spans="1:14">
      <c r="A191">
        <v>190</v>
      </c>
      <c r="B191">
        <v>872</v>
      </c>
      <c r="C191">
        <v>496</v>
      </c>
      <c r="D191">
        <v>669</v>
      </c>
      <c r="E191">
        <v>395</v>
      </c>
      <c r="G191">
        <f t="shared" si="8"/>
        <v>-1.0506776258383796</v>
      </c>
      <c r="H191">
        <f t="shared" si="9"/>
        <v>-0.84141668570159578</v>
      </c>
      <c r="I191">
        <f t="shared" si="10"/>
        <v>-1.812288147632227</v>
      </c>
      <c r="K191">
        <f t="shared" si="11"/>
        <v>-1.2347941530574007</v>
      </c>
      <c r="M191">
        <v>190</v>
      </c>
      <c r="N191">
        <v>-1.2347941530574007</v>
      </c>
    </row>
    <row r="192" spans="1:14">
      <c r="A192">
        <v>191</v>
      </c>
      <c r="B192">
        <v>1060</v>
      </c>
      <c r="C192">
        <v>1469</v>
      </c>
      <c r="D192">
        <v>128</v>
      </c>
      <c r="E192">
        <v>1350</v>
      </c>
      <c r="G192">
        <f t="shared" si="8"/>
        <v>-0.6639268868705237</v>
      </c>
      <c r="H192">
        <f t="shared" si="9"/>
        <v>-1.6444222141537534</v>
      </c>
      <c r="I192">
        <f t="shared" si="10"/>
        <v>-1.3633408550958841</v>
      </c>
      <c r="K192">
        <f t="shared" si="11"/>
        <v>-1.2238966520400538</v>
      </c>
      <c r="M192">
        <v>191</v>
      </c>
      <c r="N192">
        <v>-1.2238966520400538</v>
      </c>
    </row>
    <row r="193" spans="1:14">
      <c r="A193">
        <v>192</v>
      </c>
      <c r="B193">
        <v>1756</v>
      </c>
      <c r="C193">
        <v>7896</v>
      </c>
      <c r="D193">
        <v>953</v>
      </c>
      <c r="E193">
        <v>782</v>
      </c>
      <c r="G193">
        <f t="shared" si="8"/>
        <v>-0.15276018930451341</v>
      </c>
      <c r="H193">
        <f t="shared" si="9"/>
        <v>-0.99175792946860908</v>
      </c>
      <c r="I193">
        <f t="shared" si="10"/>
        <v>-1.8196865168363558</v>
      </c>
      <c r="K193">
        <f t="shared" si="11"/>
        <v>-0.98806821186982619</v>
      </c>
      <c r="M193">
        <v>192</v>
      </c>
      <c r="N193">
        <v>-0.98806821186982619</v>
      </c>
    </row>
    <row r="194" spans="1:14">
      <c r="A194">
        <v>193</v>
      </c>
      <c r="B194">
        <v>832</v>
      </c>
      <c r="C194">
        <v>1858</v>
      </c>
      <c r="D194">
        <v>212</v>
      </c>
      <c r="E194">
        <v>500</v>
      </c>
      <c r="G194">
        <f t="shared" si="8"/>
        <v>-0.45672043402911089</v>
      </c>
      <c r="H194">
        <f t="shared" si="9"/>
        <v>-1.3201137838988242</v>
      </c>
      <c r="I194">
        <f t="shared" si="10"/>
        <v>-1.6895220802808253</v>
      </c>
      <c r="K194">
        <f t="shared" si="11"/>
        <v>-1.15545209940292</v>
      </c>
      <c r="M194">
        <v>193</v>
      </c>
      <c r="N194">
        <v>-1.15545209940292</v>
      </c>
    </row>
    <row r="195" spans="1:14">
      <c r="A195">
        <v>194</v>
      </c>
      <c r="B195">
        <v>571</v>
      </c>
      <c r="C195">
        <v>25</v>
      </c>
      <c r="D195">
        <v>58</v>
      </c>
      <c r="E195">
        <v>25</v>
      </c>
      <c r="G195">
        <f t="shared" ref="G195:G258" si="12">LOG10(C195/B195)-LOG10(151582/23714)</f>
        <v>-2.1643389169698204</v>
      </c>
      <c r="H195">
        <f t="shared" ref="H195:H258" si="13">LOG10(D195/B195)-LOG10(126279/23714)</f>
        <v>-1.7195344332197626</v>
      </c>
      <c r="I195">
        <f t="shared" ref="I195:I258" si="14">LOG10(E195/B195)-LOG10(697226/23714)</f>
        <v>-2.8270648578999307</v>
      </c>
      <c r="K195">
        <f t="shared" ref="K195:K258" si="15">AVERAGE(G195:I195)</f>
        <v>-2.2369794026965049</v>
      </c>
      <c r="M195">
        <v>194</v>
      </c>
      <c r="N195">
        <v>-2.2369794026965049</v>
      </c>
    </row>
    <row r="196" spans="1:14">
      <c r="A196">
        <v>195</v>
      </c>
      <c r="B196">
        <v>1575</v>
      </c>
      <c r="C196">
        <v>284</v>
      </c>
      <c r="D196">
        <v>537</v>
      </c>
      <c r="E196">
        <v>576</v>
      </c>
      <c r="G196">
        <f t="shared" si="12"/>
        <v>-1.5496050354745916</v>
      </c>
      <c r="H196">
        <f t="shared" si="13"/>
        <v>-1.1936325909629155</v>
      </c>
      <c r="I196">
        <f t="shared" si="14"/>
        <v>-1.9052268330285274</v>
      </c>
      <c r="K196">
        <f t="shared" si="15"/>
        <v>-1.5494881531553446</v>
      </c>
      <c r="M196">
        <v>195</v>
      </c>
      <c r="N196">
        <v>-1.5494881531553446</v>
      </c>
    </row>
    <row r="197" spans="1:14">
      <c r="A197">
        <v>196</v>
      </c>
      <c r="B197">
        <v>859</v>
      </c>
      <c r="C197">
        <v>540</v>
      </c>
      <c r="D197">
        <v>607</v>
      </c>
      <c r="E197">
        <v>5366</v>
      </c>
      <c r="G197">
        <f t="shared" si="12"/>
        <v>-1.0072422214042838</v>
      </c>
      <c r="H197">
        <f t="shared" si="13"/>
        <v>-0.87713079129283644</v>
      </c>
      <c r="I197">
        <f t="shared" si="14"/>
        <v>-0.67271125382144215</v>
      </c>
      <c r="K197">
        <f t="shared" si="15"/>
        <v>-0.85236142217285416</v>
      </c>
      <c r="M197">
        <v>196</v>
      </c>
      <c r="N197">
        <v>-0.85236142217285416</v>
      </c>
    </row>
    <row r="198" spans="1:14">
      <c r="A198">
        <v>197</v>
      </c>
      <c r="B198">
        <v>948</v>
      </c>
      <c r="C198">
        <v>1001</v>
      </c>
      <c r="D198">
        <v>218</v>
      </c>
      <c r="E198">
        <v>96</v>
      </c>
      <c r="G198">
        <f t="shared" si="12"/>
        <v>-0.78201707725475755</v>
      </c>
      <c r="H198">
        <f t="shared" si="13"/>
        <v>-1.3646781622703132</v>
      </c>
      <c r="I198">
        <f t="shared" si="14"/>
        <v>-2.4629058626246181</v>
      </c>
      <c r="K198">
        <f t="shared" si="15"/>
        <v>-1.5365337007165631</v>
      </c>
      <c r="M198">
        <v>197</v>
      </c>
      <c r="N198">
        <v>-1.5365337007165631</v>
      </c>
    </row>
    <row r="199" spans="1:14">
      <c r="A199">
        <v>198</v>
      </c>
      <c r="B199">
        <v>925</v>
      </c>
      <c r="C199">
        <v>307</v>
      </c>
      <c r="D199">
        <v>515</v>
      </c>
      <c r="E199">
        <v>105</v>
      </c>
      <c r="G199">
        <f t="shared" si="12"/>
        <v>-1.2846461746578561</v>
      </c>
      <c r="H199">
        <f t="shared" si="13"/>
        <v>-0.98066082223469331</v>
      </c>
      <c r="I199">
        <f t="shared" si="14"/>
        <v>-2.4133211919952147</v>
      </c>
      <c r="K199">
        <f t="shared" si="15"/>
        <v>-1.5595427296292546</v>
      </c>
      <c r="M199">
        <v>198</v>
      </c>
      <c r="N199">
        <v>-1.5595427296292546</v>
      </c>
    </row>
    <row r="200" spans="1:14">
      <c r="A200">
        <v>199</v>
      </c>
      <c r="B200">
        <v>680</v>
      </c>
      <c r="C200">
        <v>9</v>
      </c>
      <c r="D200">
        <v>11</v>
      </c>
      <c r="E200">
        <v>11</v>
      </c>
      <c r="G200">
        <f t="shared" si="12"/>
        <v>-2.6839092206629216</v>
      </c>
      <c r="H200">
        <f t="shared" si="13"/>
        <v>-2.5174425460848631</v>
      </c>
      <c r="I200">
        <f t="shared" si="14"/>
        <v>-3.2594849858741313</v>
      </c>
      <c r="K200">
        <f t="shared" si="15"/>
        <v>-2.8202789175406386</v>
      </c>
      <c r="M200">
        <v>199</v>
      </c>
      <c r="N200">
        <v>-2.8202789175406386</v>
      </c>
    </row>
    <row r="201" spans="1:14">
      <c r="A201">
        <v>200</v>
      </c>
      <c r="B201">
        <v>966</v>
      </c>
      <c r="C201">
        <v>157</v>
      </c>
      <c r="D201">
        <v>412</v>
      </c>
      <c r="E201">
        <v>2432</v>
      </c>
      <c r="G201">
        <f t="shared" si="12"/>
        <v>-1.5947202914022696</v>
      </c>
      <c r="H201">
        <f t="shared" si="13"/>
        <v>-1.0964062289192105</v>
      </c>
      <c r="I201">
        <f t="shared" si="14"/>
        <v>-1.067382314140916</v>
      </c>
      <c r="K201">
        <f t="shared" si="15"/>
        <v>-1.252836278154132</v>
      </c>
      <c r="M201">
        <v>200</v>
      </c>
      <c r="N201">
        <v>-1.252836278154132</v>
      </c>
    </row>
    <row r="202" spans="1:14">
      <c r="A202">
        <v>201</v>
      </c>
      <c r="B202">
        <v>985</v>
      </c>
      <c r="C202">
        <v>245</v>
      </c>
      <c r="D202">
        <v>197</v>
      </c>
      <c r="E202">
        <v>125</v>
      </c>
      <c r="G202">
        <f t="shared" si="12"/>
        <v>-1.4099129635290892</v>
      </c>
      <c r="H202">
        <f t="shared" si="13"/>
        <v>-1.4252963228728706</v>
      </c>
      <c r="I202">
        <f t="shared" si="14"/>
        <v>-2.3648949758156754</v>
      </c>
      <c r="K202">
        <f t="shared" si="15"/>
        <v>-1.7333680874058786</v>
      </c>
      <c r="M202">
        <v>201</v>
      </c>
      <c r="N202">
        <v>-1.7333680874058786</v>
      </c>
    </row>
    <row r="203" spans="1:14">
      <c r="A203">
        <v>202</v>
      </c>
      <c r="B203">
        <v>1399</v>
      </c>
      <c r="C203">
        <v>2067</v>
      </c>
      <c r="D203">
        <v>113</v>
      </c>
      <c r="E203">
        <v>475</v>
      </c>
      <c r="G203">
        <f t="shared" si="12"/>
        <v>-0.63612005526054938</v>
      </c>
      <c r="H203">
        <f t="shared" si="13"/>
        <v>-1.8190655895452594</v>
      </c>
      <c r="I203">
        <f t="shared" si="14"/>
        <v>-1.937492863193081</v>
      </c>
      <c r="K203">
        <f t="shared" si="15"/>
        <v>-1.4642261693329635</v>
      </c>
      <c r="M203">
        <v>202</v>
      </c>
      <c r="N203">
        <v>-1.4642261693329635</v>
      </c>
    </row>
    <row r="204" spans="1:14">
      <c r="A204">
        <v>203</v>
      </c>
      <c r="B204">
        <v>558</v>
      </c>
      <c r="C204">
        <v>59468</v>
      </c>
      <c r="D204">
        <v>45</v>
      </c>
      <c r="E204">
        <v>1947</v>
      </c>
      <c r="G204">
        <f t="shared" si="12"/>
        <v>1.2220063164221269</v>
      </c>
      <c r="H204">
        <f t="shared" si="13"/>
        <v>-1.819748003699087</v>
      </c>
      <c r="I204">
        <f t="shared" si="14"/>
        <v>-0.92563700574366714</v>
      </c>
      <c r="K204">
        <f t="shared" si="15"/>
        <v>-0.50779289767354241</v>
      </c>
      <c r="M204">
        <v>203</v>
      </c>
      <c r="N204">
        <v>-0.50779289767354241</v>
      </c>
    </row>
    <row r="205" spans="1:14">
      <c r="A205">
        <v>204</v>
      </c>
      <c r="B205">
        <v>957</v>
      </c>
      <c r="C205">
        <v>750</v>
      </c>
      <c r="D205">
        <v>57</v>
      </c>
      <c r="E205">
        <v>217</v>
      </c>
      <c r="G205">
        <f t="shared" si="12"/>
        <v>-0.91149349178115346</v>
      </c>
      <c r="H205">
        <f t="shared" si="13"/>
        <v>-1.9513634006412039</v>
      </c>
      <c r="I205">
        <f t="shared" si="14"/>
        <v>-2.1128209622544341</v>
      </c>
      <c r="K205">
        <f t="shared" si="15"/>
        <v>-1.6585592848922637</v>
      </c>
      <c r="M205">
        <v>204</v>
      </c>
      <c r="N205">
        <v>-1.6585592848922637</v>
      </c>
    </row>
    <row r="206" spans="1:14">
      <c r="A206">
        <v>205</v>
      </c>
      <c r="B206">
        <v>1159</v>
      </c>
      <c r="C206">
        <v>64</v>
      </c>
      <c r="D206">
        <v>156</v>
      </c>
      <c r="E206">
        <v>89</v>
      </c>
      <c r="G206">
        <f t="shared" si="12"/>
        <v>-2.0635462793757187</v>
      </c>
      <c r="H206">
        <f t="shared" si="13"/>
        <v>-1.5972851561459862</v>
      </c>
      <c r="I206">
        <f t="shared" si="14"/>
        <v>-2.5830621876448032</v>
      </c>
      <c r="K206">
        <f t="shared" si="15"/>
        <v>-2.0812978743888362</v>
      </c>
      <c r="M206">
        <v>205</v>
      </c>
      <c r="N206">
        <v>-2.0812978743888362</v>
      </c>
    </row>
    <row r="207" spans="1:14">
      <c r="A207">
        <v>206</v>
      </c>
      <c r="B207">
        <v>1327</v>
      </c>
      <c r="C207">
        <v>1680</v>
      </c>
      <c r="D207">
        <v>1636</v>
      </c>
      <c r="E207">
        <v>1123</v>
      </c>
      <c r="G207">
        <f t="shared" si="12"/>
        <v>-0.70320445853458258</v>
      </c>
      <c r="H207">
        <f t="shared" si="13"/>
        <v>-0.63541394206598301</v>
      </c>
      <c r="I207">
        <f t="shared" si="14"/>
        <v>-1.5408599249290977</v>
      </c>
      <c r="K207">
        <f t="shared" si="15"/>
        <v>-0.95982610850988781</v>
      </c>
      <c r="M207">
        <v>206</v>
      </c>
      <c r="N207">
        <v>-0.95982610850988781</v>
      </c>
    </row>
    <row r="208" spans="1:14">
      <c r="A208">
        <v>207</v>
      </c>
      <c r="B208">
        <v>557</v>
      </c>
      <c r="C208">
        <v>20</v>
      </c>
      <c r="D208">
        <v>90</v>
      </c>
      <c r="E208">
        <v>76</v>
      </c>
      <c r="G208">
        <f t="shared" si="12"/>
        <v>-2.2504680169057574</v>
      </c>
      <c r="H208">
        <f t="shared" si="13"/>
        <v>-1.5179390042712557</v>
      </c>
      <c r="I208">
        <f t="shared" si="14"/>
        <v>-2.3334103612190575</v>
      </c>
      <c r="K208">
        <f t="shared" si="15"/>
        <v>-2.0339391274653571</v>
      </c>
      <c r="M208">
        <v>207</v>
      </c>
      <c r="N208">
        <v>-2.0339391274653571</v>
      </c>
    </row>
    <row r="209" spans="1:14">
      <c r="A209">
        <v>208</v>
      </c>
      <c r="B209">
        <v>889</v>
      </c>
      <c r="C209">
        <v>20</v>
      </c>
      <c r="D209">
        <v>29</v>
      </c>
      <c r="E209">
        <v>47</v>
      </c>
      <c r="G209">
        <f t="shared" si="12"/>
        <v>-2.4535145827022422</v>
      </c>
      <c r="H209">
        <f t="shared" si="13"/>
        <v>-2.2128300816081095</v>
      </c>
      <c r="I209">
        <f t="shared" si="14"/>
        <v>-2.7451726613606162</v>
      </c>
      <c r="K209">
        <f t="shared" si="15"/>
        <v>-2.4705057752236557</v>
      </c>
      <c r="M209">
        <v>208</v>
      </c>
      <c r="N209">
        <v>-2.4705057752236557</v>
      </c>
    </row>
    <row r="210" spans="1:14">
      <c r="A210">
        <v>209</v>
      </c>
      <c r="B210">
        <v>1309</v>
      </c>
      <c r="C210">
        <v>100</v>
      </c>
      <c r="D210">
        <v>211</v>
      </c>
      <c r="E210">
        <v>109</v>
      </c>
      <c r="G210">
        <f t="shared" si="12"/>
        <v>-1.9225824639467657</v>
      </c>
      <c r="H210">
        <f t="shared" si="13"/>
        <v>-1.5189835097899147</v>
      </c>
      <c r="I210">
        <f t="shared" si="14"/>
        <v>-2.5478819069362522</v>
      </c>
      <c r="K210">
        <f t="shared" si="15"/>
        <v>-1.9964826268909774</v>
      </c>
      <c r="M210">
        <v>209</v>
      </c>
      <c r="N210">
        <v>-1.9964826268909774</v>
      </c>
    </row>
    <row r="211" spans="1:14">
      <c r="A211">
        <v>210</v>
      </c>
      <c r="B211">
        <v>1364</v>
      </c>
      <c r="C211">
        <v>390</v>
      </c>
      <c r="D211">
        <v>274</v>
      </c>
      <c r="E211">
        <v>926</v>
      </c>
      <c r="G211">
        <f t="shared" si="12"/>
        <v>-1.3493925806899707</v>
      </c>
      <c r="H211">
        <f t="shared" si="13"/>
        <v>-1.4233901260369239</v>
      </c>
      <c r="I211">
        <f t="shared" si="14"/>
        <v>-1.6365721419646457</v>
      </c>
      <c r="K211">
        <f t="shared" si="15"/>
        <v>-1.4697849495638469</v>
      </c>
      <c r="M211">
        <v>210</v>
      </c>
      <c r="N211">
        <v>-1.4697849495638469</v>
      </c>
    </row>
    <row r="212" spans="1:14">
      <c r="A212">
        <v>211</v>
      </c>
      <c r="B212">
        <v>1136</v>
      </c>
      <c r="C212">
        <v>940</v>
      </c>
      <c r="D212">
        <v>1126</v>
      </c>
      <c r="E212">
        <v>507</v>
      </c>
      <c r="G212">
        <f t="shared" si="12"/>
        <v>-0.88789329517131133</v>
      </c>
      <c r="H212">
        <f t="shared" si="13"/>
        <v>-0.73016625939652435</v>
      </c>
      <c r="I212">
        <f t="shared" si="14"/>
        <v>-1.818739130367784</v>
      </c>
      <c r="K212">
        <f t="shared" si="15"/>
        <v>-1.1455995616452066</v>
      </c>
      <c r="M212">
        <v>211</v>
      </c>
      <c r="N212">
        <v>-1.1455995616452066</v>
      </c>
    </row>
    <row r="213" spans="1:14">
      <c r="A213">
        <v>212</v>
      </c>
      <c r="B213">
        <v>633</v>
      </c>
      <c r="C213">
        <v>8190</v>
      </c>
      <c r="D213">
        <v>889</v>
      </c>
      <c r="E213">
        <v>3442</v>
      </c>
      <c r="G213">
        <f t="shared" si="12"/>
        <v>0.30623737434705345</v>
      </c>
      <c r="H213">
        <f t="shared" si="13"/>
        <v>-0.57882826758399308</v>
      </c>
      <c r="I213">
        <f t="shared" si="14"/>
        <v>-0.73296160235193364</v>
      </c>
      <c r="K213">
        <f t="shared" si="15"/>
        <v>-0.33518416519629107</v>
      </c>
      <c r="M213">
        <v>212</v>
      </c>
      <c r="N213">
        <v>-0.33518416519629107</v>
      </c>
    </row>
    <row r="214" spans="1:14">
      <c r="A214">
        <v>213</v>
      </c>
      <c r="B214">
        <v>1189</v>
      </c>
      <c r="C214">
        <v>53</v>
      </c>
      <c r="D214">
        <v>55</v>
      </c>
      <c r="E214">
        <v>254</v>
      </c>
      <c r="G214">
        <f t="shared" si="12"/>
        <v>-2.1565488024139126</v>
      </c>
      <c r="H214">
        <f t="shared" si="13"/>
        <v>-2.0611454836612997</v>
      </c>
      <c r="I214">
        <f t="shared" si="14"/>
        <v>-2.1387168963248735</v>
      </c>
      <c r="K214">
        <f t="shared" si="15"/>
        <v>-2.1188037274666951</v>
      </c>
      <c r="M214">
        <v>213</v>
      </c>
      <c r="N214">
        <v>-2.1188037274666951</v>
      </c>
    </row>
    <row r="215" spans="1:14">
      <c r="A215">
        <v>214</v>
      </c>
      <c r="B215">
        <v>805</v>
      </c>
      <c r="C215">
        <v>1775</v>
      </c>
      <c r="D215">
        <v>1099</v>
      </c>
      <c r="E215">
        <v>3656</v>
      </c>
      <c r="G215">
        <f t="shared" si="12"/>
        <v>-0.46224034037276562</v>
      </c>
      <c r="H215">
        <f t="shared" si="13"/>
        <v>-0.59112450648122972</v>
      </c>
      <c r="I215">
        <f t="shared" si="14"/>
        <v>-0.81115845163219469</v>
      </c>
      <c r="K215">
        <f t="shared" si="15"/>
        <v>-0.62150776616206338</v>
      </c>
      <c r="M215">
        <v>214</v>
      </c>
      <c r="N215">
        <v>-0.62150776616206338</v>
      </c>
    </row>
    <row r="216" spans="1:14">
      <c r="A216">
        <v>215</v>
      </c>
      <c r="B216">
        <v>1057</v>
      </c>
      <c r="C216">
        <v>272</v>
      </c>
      <c r="D216">
        <v>2622</v>
      </c>
      <c r="E216">
        <v>3817</v>
      </c>
      <c r="G216">
        <f t="shared" si="12"/>
        <v>-1.3951489006692375</v>
      </c>
      <c r="H216">
        <f t="shared" si="13"/>
        <v>-0.3317686184902125</v>
      </c>
      <c r="I216">
        <f t="shared" si="14"/>
        <v>-0.9107215856844475</v>
      </c>
      <c r="K216">
        <f t="shared" si="15"/>
        <v>-0.87921303494796577</v>
      </c>
      <c r="M216">
        <v>215</v>
      </c>
      <c r="N216">
        <v>-0.87921303494796577</v>
      </c>
    </row>
    <row r="217" spans="1:14">
      <c r="A217">
        <v>216</v>
      </c>
      <c r="B217">
        <v>648</v>
      </c>
      <c r="C217">
        <v>75</v>
      </c>
      <c r="D217">
        <v>119</v>
      </c>
      <c r="E217">
        <v>335</v>
      </c>
      <c r="G217">
        <f t="shared" si="12"/>
        <v>-1.7421565598749034</v>
      </c>
      <c r="H217">
        <f t="shared" si="13"/>
        <v>-1.4623543630149143</v>
      </c>
      <c r="I217">
        <f t="shared" si="14"/>
        <v>-1.7548989571598681</v>
      </c>
      <c r="K217">
        <f t="shared" si="15"/>
        <v>-1.6531366266832286</v>
      </c>
      <c r="M217">
        <v>216</v>
      </c>
      <c r="N217">
        <v>-1.6531366266832286</v>
      </c>
    </row>
    <row r="218" spans="1:14">
      <c r="A218">
        <v>217</v>
      </c>
      <c r="B218">
        <v>977</v>
      </c>
      <c r="C218">
        <v>359</v>
      </c>
      <c r="D218">
        <v>1484</v>
      </c>
      <c r="E218">
        <v>673</v>
      </c>
      <c r="G218">
        <f t="shared" si="12"/>
        <v>-1.2404429325364639</v>
      </c>
      <c r="H218">
        <f t="shared" si="13"/>
        <v>-0.54478698131261649</v>
      </c>
      <c r="I218">
        <f t="shared" si="14"/>
        <v>-1.6302482578209163</v>
      </c>
      <c r="K218">
        <f t="shared" si="15"/>
        <v>-1.1384927238899989</v>
      </c>
      <c r="M218">
        <v>217</v>
      </c>
      <c r="N218">
        <v>-1.1384927238899989</v>
      </c>
    </row>
    <row r="219" spans="1:14">
      <c r="A219">
        <v>218</v>
      </c>
      <c r="B219">
        <v>834</v>
      </c>
      <c r="C219">
        <v>44</v>
      </c>
      <c r="D219">
        <v>911</v>
      </c>
      <c r="E219">
        <v>215</v>
      </c>
      <c r="G219">
        <f t="shared" si="12"/>
        <v>-2.0833561915475611</v>
      </c>
      <c r="H219">
        <f t="shared" si="13"/>
        <v>-0.68797399220159217</v>
      </c>
      <c r="I219">
        <f t="shared" si="14"/>
        <v>-2.0570963490482534</v>
      </c>
      <c r="K219">
        <f t="shared" si="15"/>
        <v>-1.6094755109324688</v>
      </c>
      <c r="M219">
        <v>218</v>
      </c>
      <c r="N219">
        <v>-1.6094755109324688</v>
      </c>
    </row>
    <row r="220" spans="1:14">
      <c r="A220">
        <v>219</v>
      </c>
      <c r="B220">
        <v>874</v>
      </c>
      <c r="C220">
        <v>126</v>
      </c>
      <c r="D220">
        <v>195</v>
      </c>
      <c r="E220">
        <v>181</v>
      </c>
      <c r="G220">
        <f t="shared" si="12"/>
        <v>-1.64678370491285</v>
      </c>
      <c r="H220">
        <f t="shared" si="13"/>
        <v>-1.3778031398087367</v>
      </c>
      <c r="I220">
        <f t="shared" si="14"/>
        <v>-2.1522016160913386</v>
      </c>
      <c r="K220">
        <f t="shared" si="15"/>
        <v>-1.7255961536043085</v>
      </c>
      <c r="M220">
        <v>219</v>
      </c>
      <c r="N220">
        <v>-1.7255961536043085</v>
      </c>
    </row>
    <row r="221" spans="1:14">
      <c r="A221">
        <v>220</v>
      </c>
      <c r="B221">
        <v>683</v>
      </c>
      <c r="C221">
        <v>50</v>
      </c>
      <c r="D221">
        <v>821</v>
      </c>
      <c r="E221">
        <v>316</v>
      </c>
      <c r="G221">
        <f t="shared" si="12"/>
        <v>-1.9410935167415238</v>
      </c>
      <c r="H221">
        <f t="shared" si="13"/>
        <v>-0.64640386509894343</v>
      </c>
      <c r="I221">
        <f t="shared" si="14"/>
        <v>-1.8031023793892487</v>
      </c>
      <c r="K221">
        <f t="shared" si="15"/>
        <v>-1.4635332537432386</v>
      </c>
      <c r="M221">
        <v>220</v>
      </c>
      <c r="N221">
        <v>-1.4635332537432386</v>
      </c>
    </row>
    <row r="222" spans="1:14">
      <c r="A222">
        <v>221</v>
      </c>
      <c r="B222">
        <v>720</v>
      </c>
      <c r="C222">
        <v>575</v>
      </c>
      <c r="D222">
        <v>513</v>
      </c>
      <c r="E222">
        <v>116</v>
      </c>
      <c r="G222">
        <f t="shared" si="12"/>
        <v>-0.90330746913764792</v>
      </c>
      <c r="H222">
        <f t="shared" si="13"/>
        <v>-0.87354144985630389</v>
      </c>
      <c r="I222">
        <f t="shared" si="14"/>
        <v>-2.2612432655304699</v>
      </c>
      <c r="K222">
        <f t="shared" si="15"/>
        <v>-1.3460307281748072</v>
      </c>
      <c r="M222">
        <v>221</v>
      </c>
      <c r="N222">
        <v>-1.3460307281748072</v>
      </c>
    </row>
    <row r="223" spans="1:14">
      <c r="A223">
        <v>222</v>
      </c>
      <c r="B223">
        <v>766</v>
      </c>
      <c r="C223">
        <v>830</v>
      </c>
      <c r="D223">
        <v>109</v>
      </c>
      <c r="E223">
        <v>1620</v>
      </c>
      <c r="G223">
        <f t="shared" si="12"/>
        <v>-0.77079349465253999</v>
      </c>
      <c r="H223">
        <f t="shared" si="13"/>
        <v>-1.5731285902288321</v>
      </c>
      <c r="I223">
        <f t="shared" si="14"/>
        <v>-1.1430825134160929</v>
      </c>
      <c r="K223">
        <f t="shared" si="15"/>
        <v>-1.162334866099155</v>
      </c>
      <c r="M223">
        <v>222</v>
      </c>
      <c r="N223">
        <v>-1.162334866099155</v>
      </c>
    </row>
    <row r="224" spans="1:14">
      <c r="A224">
        <v>223</v>
      </c>
      <c r="B224">
        <v>885</v>
      </c>
      <c r="C224">
        <v>159</v>
      </c>
      <c r="D224">
        <v>277</v>
      </c>
      <c r="E224">
        <v>103</v>
      </c>
      <c r="G224">
        <f t="shared" si="12"/>
        <v>-1.551188963773384</v>
      </c>
      <c r="H224">
        <f t="shared" si="13"/>
        <v>-1.2307898201702285</v>
      </c>
      <c r="I224">
        <f t="shared" si="14"/>
        <v>-2.4024748043187731</v>
      </c>
      <c r="K224">
        <f t="shared" si="15"/>
        <v>-1.728151196087462</v>
      </c>
      <c r="M224">
        <v>223</v>
      </c>
      <c r="N224">
        <v>-1.728151196087462</v>
      </c>
    </row>
    <row r="225" spans="1:14">
      <c r="A225">
        <v>224</v>
      </c>
      <c r="B225">
        <v>1520</v>
      </c>
      <c r="C225">
        <v>303</v>
      </c>
      <c r="D225">
        <v>1019</v>
      </c>
      <c r="E225">
        <v>989</v>
      </c>
      <c r="G225">
        <f t="shared" si="12"/>
        <v>-1.5060437768384776</v>
      </c>
      <c r="H225">
        <f t="shared" si="13"/>
        <v>-0.89999572247519788</v>
      </c>
      <c r="I225">
        <f t="shared" si="14"/>
        <v>-1.6550160546737132</v>
      </c>
      <c r="K225">
        <f t="shared" si="15"/>
        <v>-1.3536851846624629</v>
      </c>
      <c r="M225">
        <v>224</v>
      </c>
      <c r="N225">
        <v>-1.3536851846624629</v>
      </c>
    </row>
    <row r="226" spans="1:14">
      <c r="A226">
        <v>225</v>
      </c>
      <c r="B226">
        <v>1052</v>
      </c>
      <c r="C226">
        <v>476</v>
      </c>
      <c r="D226">
        <v>508</v>
      </c>
      <c r="E226">
        <v>627</v>
      </c>
      <c r="G226">
        <f t="shared" si="12"/>
        <v>-1.1500516044932372</v>
      </c>
      <c r="H226">
        <f t="shared" si="13"/>
        <v>-1.0424783460706526</v>
      </c>
      <c r="I226">
        <f t="shared" si="14"/>
        <v>-1.6931169573131239</v>
      </c>
      <c r="K226">
        <f t="shared" si="15"/>
        <v>-1.2952156359590046</v>
      </c>
      <c r="M226">
        <v>225</v>
      </c>
      <c r="N226">
        <v>-1.2952156359590046</v>
      </c>
    </row>
    <row r="227" spans="1:14">
      <c r="A227">
        <v>226</v>
      </c>
      <c r="B227">
        <v>1358</v>
      </c>
      <c r="C227">
        <v>604</v>
      </c>
      <c r="D227">
        <v>219</v>
      </c>
      <c r="E227">
        <v>964</v>
      </c>
      <c r="G227">
        <f t="shared" si="12"/>
        <v>-1.1575056487193609</v>
      </c>
      <c r="H227">
        <f t="shared" si="13"/>
        <v>-1.5187819736412163</v>
      </c>
      <c r="I227">
        <f t="shared" si="14"/>
        <v>-1.6171914943677721</v>
      </c>
      <c r="K227">
        <f t="shared" si="15"/>
        <v>-1.4311597055761165</v>
      </c>
      <c r="M227">
        <v>226</v>
      </c>
      <c r="N227">
        <v>-1.4311597055761165</v>
      </c>
    </row>
    <row r="228" spans="1:14">
      <c r="A228">
        <v>227</v>
      </c>
      <c r="B228">
        <v>500</v>
      </c>
      <c r="C228">
        <v>16</v>
      </c>
      <c r="D228">
        <v>18</v>
      </c>
      <c r="E228">
        <v>56</v>
      </c>
      <c r="G228">
        <f t="shared" si="12"/>
        <v>-2.3004928390761039</v>
      </c>
      <c r="H228">
        <f t="shared" si="13"/>
        <v>-2.1700238177695645</v>
      </c>
      <c r="I228">
        <f t="shared" si="14"/>
        <v>-2.4191507356559385</v>
      </c>
      <c r="K228">
        <f t="shared" si="15"/>
        <v>-2.296555797500536</v>
      </c>
      <c r="M228">
        <v>227</v>
      </c>
      <c r="N228">
        <v>-2.296555797500536</v>
      </c>
    </row>
    <row r="229" spans="1:14">
      <c r="A229">
        <v>228</v>
      </c>
      <c r="B229">
        <v>1071</v>
      </c>
      <c r="C229">
        <v>709</v>
      </c>
      <c r="D229">
        <v>1760</v>
      </c>
      <c r="E229">
        <v>613</v>
      </c>
      <c r="G229">
        <f t="shared" si="12"/>
        <v>-0.98478605304479905</v>
      </c>
      <c r="H229">
        <f t="shared" si="13"/>
        <v>-0.51060312155455756</v>
      </c>
      <c r="I229">
        <f t="shared" si="14"/>
        <v>-1.7106977546395608</v>
      </c>
      <c r="K229">
        <f t="shared" si="15"/>
        <v>-1.068695643079639</v>
      </c>
      <c r="M229">
        <v>228</v>
      </c>
      <c r="N229">
        <v>-1.068695643079639</v>
      </c>
    </row>
    <row r="230" spans="1:14">
      <c r="A230">
        <v>229</v>
      </c>
      <c r="B230">
        <v>803</v>
      </c>
      <c r="C230">
        <v>497</v>
      </c>
      <c r="D230">
        <v>36</v>
      </c>
      <c r="E230">
        <v>410</v>
      </c>
      <c r="G230">
        <f t="shared" si="12"/>
        <v>-1.0140019739413588</v>
      </c>
      <c r="H230">
        <f t="shared" si="13"/>
        <v>-2.0747393630482454</v>
      </c>
      <c r="I230">
        <f t="shared" si="14"/>
        <v>-1.7603004468850654</v>
      </c>
      <c r="K230">
        <f t="shared" si="15"/>
        <v>-1.6163472612915566</v>
      </c>
      <c r="M230">
        <v>229</v>
      </c>
      <c r="N230">
        <v>-1.6163472612915566</v>
      </c>
    </row>
    <row r="231" spans="1:14">
      <c r="A231">
        <v>230</v>
      </c>
      <c r="B231">
        <v>937</v>
      </c>
      <c r="C231">
        <v>254</v>
      </c>
      <c r="D231">
        <v>407</v>
      </c>
      <c r="E231">
        <v>243</v>
      </c>
      <c r="G231">
        <f t="shared" si="12"/>
        <v>-1.3725486916638503</v>
      </c>
      <c r="H231">
        <f t="shared" si="13"/>
        <v>-1.0884715001994099</v>
      </c>
      <c r="I231">
        <f t="shared" si="14"/>
        <v>-2.0545020756155861</v>
      </c>
      <c r="K231">
        <f t="shared" si="15"/>
        <v>-1.5051740891596153</v>
      </c>
      <c r="M231">
        <v>230</v>
      </c>
      <c r="N231">
        <v>-1.5051740891596153</v>
      </c>
    </row>
    <row r="232" spans="1:14">
      <c r="A232">
        <v>231</v>
      </c>
      <c r="B232">
        <v>1153</v>
      </c>
      <c r="C232">
        <v>348</v>
      </c>
      <c r="D232">
        <v>967</v>
      </c>
      <c r="E232">
        <v>12532</v>
      </c>
      <c r="G232">
        <f t="shared" si="12"/>
        <v>-1.3258928807441279</v>
      </c>
      <c r="H232">
        <f t="shared" si="13"/>
        <v>-0.80272915174854909</v>
      </c>
      <c r="I232">
        <f t="shared" si="14"/>
        <v>-0.43217767941115159</v>
      </c>
      <c r="K232">
        <f t="shared" si="15"/>
        <v>-0.85359990396794283</v>
      </c>
      <c r="M232">
        <v>231</v>
      </c>
      <c r="N232">
        <v>-0.85359990396794283</v>
      </c>
    </row>
    <row r="233" spans="1:14">
      <c r="A233">
        <v>232</v>
      </c>
      <c r="B233">
        <v>1014</v>
      </c>
      <c r="C233">
        <v>219</v>
      </c>
      <c r="D233">
        <v>323</v>
      </c>
      <c r="E233">
        <v>553</v>
      </c>
      <c r="G233">
        <f t="shared" si="12"/>
        <v>-1.4712366575532088</v>
      </c>
      <c r="H233">
        <f t="shared" si="13"/>
        <v>-1.2231617512030659</v>
      </c>
      <c r="I233">
        <f t="shared" si="14"/>
        <v>-1.731681582018739</v>
      </c>
      <c r="K233">
        <f t="shared" si="15"/>
        <v>-1.4753599969250046</v>
      </c>
      <c r="M233">
        <v>232</v>
      </c>
      <c r="N233">
        <v>-1.4753599969250046</v>
      </c>
    </row>
    <row r="234" spans="1:14">
      <c r="A234">
        <v>233</v>
      </c>
      <c r="B234">
        <v>1303</v>
      </c>
      <c r="C234">
        <v>171</v>
      </c>
      <c r="D234">
        <v>813</v>
      </c>
      <c r="E234">
        <v>1273</v>
      </c>
      <c r="G234">
        <f t="shared" si="12"/>
        <v>-1.6875911227164409</v>
      </c>
      <c r="H234">
        <f t="shared" si="13"/>
        <v>-0.93118018865536822</v>
      </c>
      <c r="I234">
        <f t="shared" si="14"/>
        <v>-1.4784847703850492</v>
      </c>
      <c r="K234">
        <f t="shared" si="15"/>
        <v>-1.3657520272522861</v>
      </c>
      <c r="M234">
        <v>233</v>
      </c>
      <c r="N234">
        <v>-1.3657520272522861</v>
      </c>
    </row>
    <row r="235" spans="1:14">
      <c r="A235">
        <v>234</v>
      </c>
      <c r="B235">
        <v>1244</v>
      </c>
      <c r="C235">
        <v>297</v>
      </c>
      <c r="D235">
        <v>381</v>
      </c>
      <c r="E235">
        <v>1132</v>
      </c>
      <c r="G235">
        <f t="shared" si="12"/>
        <v>-1.4277067484335975</v>
      </c>
      <c r="H235">
        <f t="shared" si="13"/>
        <v>-1.2402217232160324</v>
      </c>
      <c r="I235">
        <f t="shared" si="14"/>
        <v>-1.5093427118286673</v>
      </c>
      <c r="K235">
        <f t="shared" si="15"/>
        <v>-1.3924237278260989</v>
      </c>
      <c r="M235">
        <v>234</v>
      </c>
      <c r="N235">
        <v>-1.3924237278260989</v>
      </c>
    </row>
    <row r="236" spans="1:14">
      <c r="A236">
        <v>235</v>
      </c>
      <c r="B236">
        <v>775</v>
      </c>
      <c r="C236">
        <v>237</v>
      </c>
      <c r="D236">
        <v>177</v>
      </c>
      <c r="E236">
        <v>250</v>
      </c>
      <c r="G236">
        <f t="shared" si="12"/>
        <v>-1.3201961738922163</v>
      </c>
      <c r="H236">
        <f t="shared" si="13"/>
        <v>-1.3676547546813553</v>
      </c>
      <c r="I236">
        <f t="shared" si="14"/>
        <v>-1.9597304521603927</v>
      </c>
      <c r="K236">
        <f t="shared" si="15"/>
        <v>-1.549193793577988</v>
      </c>
      <c r="M236">
        <v>235</v>
      </c>
      <c r="N236">
        <v>-1.549193793577988</v>
      </c>
    </row>
    <row r="237" spans="1:14">
      <c r="A237">
        <v>236</v>
      </c>
      <c r="B237">
        <v>1157</v>
      </c>
      <c r="C237">
        <v>233</v>
      </c>
      <c r="D237">
        <v>334</v>
      </c>
      <c r="E237">
        <v>1276</v>
      </c>
      <c r="G237">
        <f t="shared" si="12"/>
        <v>-1.5016202553217406</v>
      </c>
      <c r="H237">
        <f t="shared" si="13"/>
        <v>-1.2659132106770368</v>
      </c>
      <c r="I237">
        <f t="shared" si="14"/>
        <v>-1.425851442892726</v>
      </c>
      <c r="K237">
        <f t="shared" si="15"/>
        <v>-1.3977949696305012</v>
      </c>
      <c r="M237">
        <v>236</v>
      </c>
      <c r="N237">
        <v>-1.3977949696305012</v>
      </c>
    </row>
    <row r="238" spans="1:14">
      <c r="A238">
        <v>237</v>
      </c>
      <c r="B238">
        <v>773</v>
      </c>
      <c r="C238">
        <v>20</v>
      </c>
      <c r="D238">
        <v>15</v>
      </c>
      <c r="E238">
        <v>88</v>
      </c>
      <c r="G238">
        <f t="shared" si="12"/>
        <v>-2.3927923156503539</v>
      </c>
      <c r="H238">
        <f t="shared" si="13"/>
        <v>-2.4384145533994954</v>
      </c>
      <c r="I238">
        <f t="shared" si="14"/>
        <v>-2.4120655800942763</v>
      </c>
      <c r="K238">
        <f t="shared" si="15"/>
        <v>-2.4144241497147085</v>
      </c>
      <c r="M238">
        <v>237</v>
      </c>
      <c r="N238">
        <v>-2.4144241497147085</v>
      </c>
    </row>
    <row r="239" spans="1:14">
      <c r="A239">
        <v>238</v>
      </c>
      <c r="B239">
        <v>1150</v>
      </c>
      <c r="C239">
        <v>87</v>
      </c>
      <c r="D239">
        <v>121</v>
      </c>
      <c r="E239">
        <v>347</v>
      </c>
      <c r="G239">
        <f t="shared" si="12"/>
        <v>-1.9268214051310031</v>
      </c>
      <c r="H239">
        <f t="shared" si="13"/>
        <v>-1.7042387885740133</v>
      </c>
      <c r="I239">
        <f t="shared" si="14"/>
        <v>-1.9887371238888578</v>
      </c>
      <c r="K239">
        <f t="shared" si="15"/>
        <v>-1.8732657725312913</v>
      </c>
      <c r="M239">
        <v>238</v>
      </c>
      <c r="N239">
        <v>-1.8732657725312913</v>
      </c>
    </row>
    <row r="240" spans="1:14">
      <c r="A240">
        <v>239</v>
      </c>
      <c r="B240">
        <v>1199</v>
      </c>
      <c r="C240">
        <v>44</v>
      </c>
      <c r="D240">
        <v>45</v>
      </c>
      <c r="E240">
        <v>185</v>
      </c>
      <c r="G240">
        <f t="shared" si="12"/>
        <v>-2.2410093240086715</v>
      </c>
      <c r="H240">
        <f t="shared" si="13"/>
        <v>-2.1519329878603566</v>
      </c>
      <c r="I240">
        <f t="shared" si="14"/>
        <v>-2.280016213021955</v>
      </c>
      <c r="K240">
        <f t="shared" si="15"/>
        <v>-2.2243195082969947</v>
      </c>
      <c r="M240">
        <v>239</v>
      </c>
      <c r="N240">
        <v>-2.2243195082969947</v>
      </c>
    </row>
    <row r="241" spans="1:14">
      <c r="A241">
        <v>240</v>
      </c>
      <c r="B241">
        <v>1315</v>
      </c>
      <c r="C241">
        <v>1042</v>
      </c>
      <c r="D241">
        <v>163</v>
      </c>
      <c r="E241">
        <v>326</v>
      </c>
      <c r="G241">
        <f t="shared" si="12"/>
        <v>-0.90670085125828093</v>
      </c>
      <c r="H241">
        <f t="shared" si="13"/>
        <v>-1.6330644669586705</v>
      </c>
      <c r="I241">
        <f t="shared" si="14"/>
        <v>-2.0740769110839574</v>
      </c>
      <c r="K241">
        <f t="shared" si="15"/>
        <v>-1.5379474097669696</v>
      </c>
      <c r="M241">
        <v>240</v>
      </c>
      <c r="N241">
        <v>-1.5379474097669696</v>
      </c>
    </row>
    <row r="242" spans="1:14">
      <c r="A242">
        <v>241</v>
      </c>
      <c r="B242">
        <v>1203</v>
      </c>
      <c r="C242">
        <v>123</v>
      </c>
      <c r="D242">
        <v>26</v>
      </c>
      <c r="E242">
        <v>200</v>
      </c>
      <c r="G242">
        <f t="shared" si="12"/>
        <v>-1.7960033332964569</v>
      </c>
      <c r="H242">
        <f t="shared" si="13"/>
        <v>-2.3916185979058784</v>
      </c>
      <c r="I242">
        <f t="shared" si="14"/>
        <v>-2.2476043900019835</v>
      </c>
      <c r="K242">
        <f t="shared" si="15"/>
        <v>-2.1450754404014396</v>
      </c>
      <c r="M242">
        <v>241</v>
      </c>
      <c r="N242">
        <v>-2.1450754404014396</v>
      </c>
    </row>
    <row r="243" spans="1:14">
      <c r="A243">
        <v>242</v>
      </c>
      <c r="B243">
        <v>716</v>
      </c>
      <c r="C243">
        <v>282</v>
      </c>
      <c r="D243">
        <v>25</v>
      </c>
      <c r="E243">
        <v>86</v>
      </c>
      <c r="G243">
        <f t="shared" si="12"/>
        <v>-1.2103067313845044</v>
      </c>
      <c r="H243">
        <f t="shared" si="13"/>
        <v>-2.1832993321726697</v>
      </c>
      <c r="I243">
        <f t="shared" si="14"/>
        <v>-2.3887833293904079</v>
      </c>
      <c r="K243">
        <f t="shared" si="15"/>
        <v>-1.9274631309825274</v>
      </c>
      <c r="M243">
        <v>242</v>
      </c>
      <c r="N243">
        <v>-1.9274631309825274</v>
      </c>
    </row>
    <row r="244" spans="1:14">
      <c r="A244">
        <v>243</v>
      </c>
      <c r="B244">
        <v>1140</v>
      </c>
      <c r="C244">
        <v>623</v>
      </c>
      <c r="D244">
        <v>2282</v>
      </c>
      <c r="E244">
        <v>812</v>
      </c>
      <c r="G244">
        <f t="shared" si="12"/>
        <v>-1.068059622073313</v>
      </c>
      <c r="H244">
        <f t="shared" si="13"/>
        <v>-0.42491552979112851</v>
      </c>
      <c r="I244">
        <f t="shared" si="14"/>
        <v>-1.6157175804214172</v>
      </c>
      <c r="K244">
        <f t="shared" si="15"/>
        <v>-1.036230910761953</v>
      </c>
      <c r="M244">
        <v>243</v>
      </c>
      <c r="N244">
        <v>-1.036230910761953</v>
      </c>
    </row>
    <row r="245" spans="1:14">
      <c r="A245">
        <v>244</v>
      </c>
      <c r="B245">
        <v>1045</v>
      </c>
      <c r="C245">
        <v>103</v>
      </c>
      <c r="D245">
        <v>374</v>
      </c>
      <c r="E245">
        <v>1718</v>
      </c>
      <c r="G245">
        <f t="shared" si="12"/>
        <v>-1.8119218831379105</v>
      </c>
      <c r="H245">
        <f t="shared" si="13"/>
        <v>-1.1725710067834443</v>
      </c>
      <c r="I245">
        <f t="shared" si="14"/>
        <v>-1.2524618892779693</v>
      </c>
      <c r="K245">
        <f t="shared" si="15"/>
        <v>-1.4123182597331081</v>
      </c>
      <c r="M245">
        <v>244</v>
      </c>
      <c r="N245">
        <v>-1.4123182597331081</v>
      </c>
    </row>
    <row r="246" spans="1:14">
      <c r="A246">
        <v>245</v>
      </c>
      <c r="B246">
        <v>1424</v>
      </c>
      <c r="C246">
        <v>2123</v>
      </c>
      <c r="D246">
        <v>246</v>
      </c>
      <c r="E246">
        <v>660</v>
      </c>
      <c r="G246">
        <f t="shared" si="12"/>
        <v>-0.63220281253084876</v>
      </c>
      <c r="H246">
        <f t="shared" si="13"/>
        <v>-1.4889012007343101</v>
      </c>
      <c r="I246">
        <f t="shared" si="14"/>
        <v>-1.8023348120850888</v>
      </c>
      <c r="K246">
        <f t="shared" si="15"/>
        <v>-1.3078129417834159</v>
      </c>
      <c r="M246">
        <v>245</v>
      </c>
      <c r="N246">
        <v>-1.3078129417834159</v>
      </c>
    </row>
    <row r="247" spans="1:14">
      <c r="A247">
        <v>246</v>
      </c>
      <c r="B247">
        <v>1104</v>
      </c>
      <c r="C247">
        <v>1725</v>
      </c>
      <c r="D247">
        <v>290</v>
      </c>
      <c r="E247">
        <v>138</v>
      </c>
      <c r="G247">
        <f t="shared" si="12"/>
        <v>-0.61182279137989715</v>
      </c>
      <c r="H247">
        <f t="shared" si="13"/>
        <v>-1.3068973940310757</v>
      </c>
      <c r="I247">
        <f t="shared" si="14"/>
        <v>-2.3714587453180638</v>
      </c>
      <c r="K247">
        <f t="shared" si="15"/>
        <v>-1.4300596435763453</v>
      </c>
      <c r="M247">
        <v>246</v>
      </c>
      <c r="N247">
        <v>-1.4300596435763453</v>
      </c>
    </row>
    <row r="248" spans="1:14">
      <c r="A248">
        <v>247</v>
      </c>
      <c r="B248">
        <v>969</v>
      </c>
      <c r="C248">
        <v>17</v>
      </c>
      <c r="D248">
        <v>9</v>
      </c>
      <c r="E248">
        <v>16</v>
      </c>
      <c r="G248">
        <f t="shared" si="12"/>
        <v>-2.5615176730685016</v>
      </c>
      <c r="H248">
        <f t="shared" si="13"/>
        <v>-2.7584075861482922</v>
      </c>
      <c r="I248">
        <f t="shared" si="14"/>
        <v>-3.2505725527209606</v>
      </c>
      <c r="K248">
        <f t="shared" si="15"/>
        <v>-2.8568326039792513</v>
      </c>
      <c r="M248">
        <v>247</v>
      </c>
      <c r="N248">
        <v>-2.8568326039792513</v>
      </c>
    </row>
    <row r="249" spans="1:14">
      <c r="A249">
        <v>248</v>
      </c>
      <c r="B249">
        <v>1171</v>
      </c>
      <c r="C249">
        <v>80</v>
      </c>
      <c r="D249">
        <v>104</v>
      </c>
      <c r="E249">
        <v>265</v>
      </c>
      <c r="G249">
        <f t="shared" si="12"/>
        <v>-1.9711097254764296</v>
      </c>
      <c r="H249">
        <f t="shared" si="13"/>
        <v>-1.7778498743104345</v>
      </c>
      <c r="I249">
        <f t="shared" si="14"/>
        <v>-2.1136797794616751</v>
      </c>
      <c r="K249">
        <f t="shared" si="15"/>
        <v>-1.9542131264161797</v>
      </c>
      <c r="M249">
        <v>248</v>
      </c>
      <c r="N249">
        <v>-1.9542131264161797</v>
      </c>
    </row>
    <row r="250" spans="1:14">
      <c r="A250">
        <v>249</v>
      </c>
      <c r="B250">
        <v>721</v>
      </c>
      <c r="C250">
        <v>1980</v>
      </c>
      <c r="D250">
        <v>44</v>
      </c>
      <c r="E250">
        <v>137</v>
      </c>
      <c r="G250">
        <f t="shared" si="12"/>
        <v>-0.36691289185390785</v>
      </c>
      <c r="H250">
        <f t="shared" si="13"/>
        <v>-1.9408089067700933</v>
      </c>
      <c r="I250">
        <f t="shared" si="14"/>
        <v>-2.1895834558891423</v>
      </c>
      <c r="K250">
        <f t="shared" si="15"/>
        <v>-1.4991017515043812</v>
      </c>
      <c r="M250">
        <v>249</v>
      </c>
      <c r="N250">
        <v>-1.4991017515043812</v>
      </c>
    </row>
    <row r="251" spans="1:14">
      <c r="A251">
        <v>250</v>
      </c>
      <c r="B251">
        <v>1054</v>
      </c>
      <c r="C251">
        <v>72</v>
      </c>
      <c r="D251">
        <v>83</v>
      </c>
      <c r="E251">
        <v>158</v>
      </c>
      <c r="G251">
        <f t="shared" si="12"/>
        <v>-1.9711509318412692</v>
      </c>
      <c r="H251">
        <f t="shared" si="13"/>
        <v>-1.8300888370373056</v>
      </c>
      <c r="I251">
        <f t="shared" si="14"/>
        <v>-2.2925522822482254</v>
      </c>
      <c r="K251">
        <f t="shared" si="15"/>
        <v>-2.0312640170422669</v>
      </c>
      <c r="M251">
        <v>250</v>
      </c>
      <c r="N251">
        <v>-2.0312640170422669</v>
      </c>
    </row>
    <row r="252" spans="1:14">
      <c r="A252">
        <v>251</v>
      </c>
      <c r="B252">
        <v>1423</v>
      </c>
      <c r="C252">
        <v>865</v>
      </c>
      <c r="D252">
        <v>1105</v>
      </c>
      <c r="E252">
        <v>790</v>
      </c>
      <c r="G252">
        <f t="shared" si="12"/>
        <v>-1.0218316100154801</v>
      </c>
      <c r="H252">
        <f t="shared" si="13"/>
        <v>-0.83616894060000657</v>
      </c>
      <c r="I252">
        <f t="shared" si="14"/>
        <v>-1.723946567119963</v>
      </c>
      <c r="K252">
        <f t="shared" si="15"/>
        <v>-1.1939823725784831</v>
      </c>
      <c r="M252">
        <v>251</v>
      </c>
      <c r="N252">
        <v>-1.1939823725784831</v>
      </c>
    </row>
    <row r="253" spans="1:14">
      <c r="A253">
        <v>252</v>
      </c>
      <c r="B253">
        <v>772</v>
      </c>
      <c r="C253">
        <v>787</v>
      </c>
      <c r="D253">
        <v>679</v>
      </c>
      <c r="E253">
        <v>2087</v>
      </c>
      <c r="G253">
        <f t="shared" si="12"/>
        <v>-0.79728538537268157</v>
      </c>
      <c r="H253">
        <f t="shared" si="13"/>
        <v>-0.78207384459208618</v>
      </c>
      <c r="I253">
        <f t="shared" si="14"/>
        <v>-1.0364636095964022</v>
      </c>
      <c r="K253">
        <f t="shared" si="15"/>
        <v>-0.87194094652039</v>
      </c>
      <c r="M253">
        <v>252</v>
      </c>
      <c r="N253">
        <v>-0.87194094652039</v>
      </c>
    </row>
    <row r="254" spans="1:14">
      <c r="A254">
        <v>253</v>
      </c>
      <c r="B254">
        <v>1417</v>
      </c>
      <c r="C254">
        <v>530</v>
      </c>
      <c r="D254">
        <v>129</v>
      </c>
      <c r="E254">
        <v>165</v>
      </c>
      <c r="G254">
        <f t="shared" si="12"/>
        <v>-1.2327367980426813</v>
      </c>
      <c r="H254">
        <f t="shared" si="13"/>
        <v>-1.7671064584850633</v>
      </c>
      <c r="I254">
        <f t="shared" si="14"/>
        <v>-2.4022546643596741</v>
      </c>
      <c r="K254">
        <f t="shared" si="15"/>
        <v>-1.800699306962473</v>
      </c>
      <c r="M254">
        <v>253</v>
      </c>
      <c r="N254">
        <v>-1.800699306962473</v>
      </c>
    </row>
    <row r="255" spans="1:14">
      <c r="A255">
        <v>254</v>
      </c>
      <c r="B255">
        <v>1216</v>
      </c>
      <c r="C255">
        <v>891</v>
      </c>
      <c r="D255">
        <v>433</v>
      </c>
      <c r="E255">
        <v>749</v>
      </c>
      <c r="G255">
        <f t="shared" si="12"/>
        <v>-0.94069868829585135</v>
      </c>
      <c r="H255">
        <f t="shared" si="13"/>
        <v>-1.1747719971202024</v>
      </c>
      <c r="I255">
        <f t="shared" si="14"/>
        <v>-1.6788205155633698</v>
      </c>
      <c r="K255">
        <f t="shared" si="15"/>
        <v>-1.2647637336598079</v>
      </c>
      <c r="M255">
        <v>254</v>
      </c>
      <c r="N255">
        <v>-1.2647637336598079</v>
      </c>
    </row>
    <row r="256" spans="1:14">
      <c r="A256">
        <v>255</v>
      </c>
      <c r="B256">
        <v>1014</v>
      </c>
      <c r="C256">
        <v>173</v>
      </c>
      <c r="D256">
        <v>146</v>
      </c>
      <c r="E256">
        <v>266</v>
      </c>
      <c r="G256">
        <f t="shared" si="12"/>
        <v>-1.5736346692645315</v>
      </c>
      <c r="H256">
        <f t="shared" si="13"/>
        <v>-1.5680114177497317</v>
      </c>
      <c r="I256">
        <f t="shared" si="14"/>
        <v>-2.0495250766923703</v>
      </c>
      <c r="K256">
        <f t="shared" si="15"/>
        <v>-1.7303903879022109</v>
      </c>
      <c r="M256">
        <v>255</v>
      </c>
      <c r="N256">
        <v>-1.7303903879022109</v>
      </c>
    </row>
    <row r="257" spans="1:14">
      <c r="A257">
        <v>256</v>
      </c>
      <c r="B257">
        <v>1031</v>
      </c>
      <c r="C257">
        <v>95</v>
      </c>
      <c r="D257">
        <v>134</v>
      </c>
      <c r="E257">
        <v>331</v>
      </c>
      <c r="G257">
        <f t="shared" si="12"/>
        <v>-1.8411778773906788</v>
      </c>
      <c r="H257">
        <f t="shared" si="13"/>
        <v>-1.6124801854555606</v>
      </c>
      <c r="I257">
        <f t="shared" si="14"/>
        <v>-1.9617994298339179</v>
      </c>
      <c r="K257">
        <f t="shared" si="15"/>
        <v>-1.8051524975600524</v>
      </c>
      <c r="M257">
        <v>256</v>
      </c>
      <c r="N257">
        <v>-1.8051524975600524</v>
      </c>
    </row>
    <row r="258" spans="1:14">
      <c r="A258">
        <v>257</v>
      </c>
      <c r="B258">
        <v>883</v>
      </c>
      <c r="C258">
        <v>136</v>
      </c>
      <c r="D258">
        <v>51</v>
      </c>
      <c r="E258">
        <v>48</v>
      </c>
      <c r="G258">
        <f t="shared" si="12"/>
        <v>-1.6180646126033609</v>
      </c>
      <c r="H258">
        <f t="shared" si="13"/>
        <v>-1.9647168460164841</v>
      </c>
      <c r="I258">
        <f t="shared" si="14"/>
        <v>-2.7330882245281014</v>
      </c>
      <c r="K258">
        <f t="shared" si="15"/>
        <v>-2.1052898943826488</v>
      </c>
      <c r="M258">
        <v>257</v>
      </c>
      <c r="N258">
        <v>-2.1052898943826488</v>
      </c>
    </row>
    <row r="259" spans="1:14">
      <c r="A259">
        <v>258</v>
      </c>
      <c r="B259">
        <v>1063</v>
      </c>
      <c r="C259">
        <v>384</v>
      </c>
      <c r="D259">
        <v>2795</v>
      </c>
      <c r="E259">
        <v>5949</v>
      </c>
      <c r="G259">
        <f t="shared" ref="G259:G322" si="16">LOG10(C259/B259)-LOG10(151582/23714)</f>
        <v>-1.247844857551776</v>
      </c>
      <c r="H259">
        <f t="shared" ref="H259:H322" si="17">LOG10(D259/B259)-LOG10(126279/23714)</f>
        <v>-0.30647777083770639</v>
      </c>
      <c r="I259">
        <f t="shared" ref="I259:I322" si="18">LOG10(E259/B259)-LOG10(697226/23714)</f>
        <v>-0.72045805392445161</v>
      </c>
      <c r="K259">
        <f t="shared" ref="K259:K322" si="19">AVERAGE(G259:I259)</f>
        <v>-0.75826022743797805</v>
      </c>
      <c r="M259">
        <v>258</v>
      </c>
      <c r="N259">
        <v>-0.75826022743797805</v>
      </c>
    </row>
    <row r="260" spans="1:14">
      <c r="A260">
        <v>259</v>
      </c>
      <c r="B260">
        <v>1064</v>
      </c>
      <c r="C260">
        <v>100</v>
      </c>
      <c r="D260">
        <v>440</v>
      </c>
      <c r="E260">
        <v>656</v>
      </c>
      <c r="G260">
        <f t="shared" si="16"/>
        <v>-1.8325844453550393</v>
      </c>
      <c r="H260">
        <f t="shared" si="17"/>
        <v>-1.1098152700096937</v>
      </c>
      <c r="I260">
        <f t="shared" si="18"/>
        <v>-1.6784065469094891</v>
      </c>
      <c r="K260">
        <f t="shared" si="19"/>
        <v>-1.5402687540914073</v>
      </c>
      <c r="M260">
        <v>259</v>
      </c>
      <c r="N260">
        <v>-1.5402687540914073</v>
      </c>
    </row>
    <row r="261" spans="1:14">
      <c r="A261">
        <v>260</v>
      </c>
      <c r="B261">
        <v>672</v>
      </c>
      <c r="C261">
        <v>173</v>
      </c>
      <c r="D261">
        <v>263</v>
      </c>
      <c r="E261">
        <v>403</v>
      </c>
      <c r="G261">
        <f t="shared" si="16"/>
        <v>-1.3949659873210398</v>
      </c>
      <c r="H261">
        <f t="shared" si="17"/>
        <v>-1.1337398431009191</v>
      </c>
      <c r="I261">
        <f t="shared" si="18"/>
        <v>-1.6904329852388358</v>
      </c>
      <c r="K261">
        <f t="shared" si="19"/>
        <v>-1.4063796052202651</v>
      </c>
      <c r="M261">
        <v>260</v>
      </c>
      <c r="N261">
        <v>-1.4063796052202651</v>
      </c>
    </row>
    <row r="262" spans="1:14">
      <c r="A262">
        <v>261</v>
      </c>
      <c r="B262">
        <v>783</v>
      </c>
      <c r="C262">
        <v>941</v>
      </c>
      <c r="D262">
        <v>963</v>
      </c>
      <c r="E262">
        <v>272</v>
      </c>
      <c r="G262">
        <f t="shared" si="16"/>
        <v>-0.72581495602669643</v>
      </c>
      <c r="H262">
        <f t="shared" si="17"/>
        <v>-0.63646179347026055</v>
      </c>
      <c r="I262">
        <f t="shared" si="18"/>
        <v>-1.9275616163498648</v>
      </c>
      <c r="K262">
        <f t="shared" si="19"/>
        <v>-1.0966127886156072</v>
      </c>
      <c r="M262">
        <v>261</v>
      </c>
      <c r="N262">
        <v>-1.0966127886156072</v>
      </c>
    </row>
    <row r="263" spans="1:14">
      <c r="A263">
        <v>262</v>
      </c>
      <c r="B263">
        <v>1138</v>
      </c>
      <c r="C263">
        <v>153</v>
      </c>
      <c r="D263">
        <v>180</v>
      </c>
      <c r="E263">
        <v>103</v>
      </c>
      <c r="G263">
        <f t="shared" si="16"/>
        <v>-1.6770936486374635</v>
      </c>
      <c r="H263">
        <f t="shared" si="17"/>
        <v>-1.5271960754925979</v>
      </c>
      <c r="I263">
        <f t="shared" si="18"/>
        <v>-2.5116737956800002</v>
      </c>
      <c r="K263">
        <f t="shared" si="19"/>
        <v>-1.9053211732700206</v>
      </c>
      <c r="M263">
        <v>262</v>
      </c>
      <c r="N263">
        <v>-1.9053211732700206</v>
      </c>
    </row>
    <row r="264" spans="1:14">
      <c r="A264">
        <v>263</v>
      </c>
      <c r="B264">
        <v>494</v>
      </c>
      <c r="C264">
        <v>280</v>
      </c>
      <c r="D264">
        <v>48</v>
      </c>
      <c r="E264">
        <v>45</v>
      </c>
      <c r="G264">
        <f t="shared" si="16"/>
        <v>-1.0522117349774376</v>
      </c>
      <c r="H264">
        <f t="shared" si="17"/>
        <v>-1.7388120300849113</v>
      </c>
      <c r="I264">
        <f t="shared" si="18"/>
        <v>-2.5088831934744231</v>
      </c>
      <c r="K264">
        <f t="shared" si="19"/>
        <v>-1.7666356528455907</v>
      </c>
      <c r="M264">
        <v>263</v>
      </c>
      <c r="N264">
        <v>-1.7666356528455907</v>
      </c>
    </row>
    <row r="265" spans="1:14">
      <c r="A265">
        <v>264</v>
      </c>
      <c r="B265">
        <v>436</v>
      </c>
      <c r="C265">
        <v>157</v>
      </c>
      <c r="D265">
        <v>34</v>
      </c>
      <c r="E265">
        <v>103</v>
      </c>
      <c r="G265">
        <f t="shared" si="16"/>
        <v>-1.2492296542553623</v>
      </c>
      <c r="H265">
        <f t="shared" si="17"/>
        <v>-1.8343338907631828</v>
      </c>
      <c r="I265">
        <f t="shared" si="18"/>
        <v>-2.0950180228895339</v>
      </c>
      <c r="K265">
        <f t="shared" si="19"/>
        <v>-1.7261938559693597</v>
      </c>
      <c r="M265">
        <v>264</v>
      </c>
      <c r="N265">
        <v>-1.7261938559693597</v>
      </c>
    </row>
    <row r="266" spans="1:14">
      <c r="A266">
        <v>265</v>
      </c>
      <c r="B266">
        <v>1011</v>
      </c>
      <c r="C266">
        <v>351</v>
      </c>
      <c r="D266">
        <v>250</v>
      </c>
      <c r="E266">
        <v>411</v>
      </c>
      <c r="G266">
        <f t="shared" si="16"/>
        <v>-1.265086856521187</v>
      </c>
      <c r="H266">
        <f t="shared" si="17"/>
        <v>-1.333137465455815</v>
      </c>
      <c r="I266">
        <f t="shared" si="18"/>
        <v>-1.8592780920410519</v>
      </c>
      <c r="K266">
        <f t="shared" si="19"/>
        <v>-1.4858341380060178</v>
      </c>
      <c r="M266">
        <v>265</v>
      </c>
      <c r="N266">
        <v>-1.4858341380060178</v>
      </c>
    </row>
    <row r="267" spans="1:14">
      <c r="A267">
        <v>266</v>
      </c>
      <c r="B267">
        <v>1108</v>
      </c>
      <c r="C267">
        <v>211</v>
      </c>
      <c r="D267">
        <v>546</v>
      </c>
      <c r="E267">
        <v>301</v>
      </c>
      <c r="G267">
        <f t="shared" si="16"/>
        <v>-1.5259001224907283</v>
      </c>
      <c r="H267">
        <f t="shared" si="17"/>
        <v>-1.0336734362245255</v>
      </c>
      <c r="I267">
        <f t="shared" si="18"/>
        <v>-2.0343420231246876</v>
      </c>
      <c r="K267">
        <f t="shared" si="19"/>
        <v>-1.5313051939466471</v>
      </c>
      <c r="M267">
        <v>266</v>
      </c>
      <c r="N267">
        <v>-1.5313051939466471</v>
      </c>
    </row>
    <row r="268" spans="1:14">
      <c r="A268">
        <v>267</v>
      </c>
      <c r="B268">
        <v>1011</v>
      </c>
      <c r="C268">
        <v>74</v>
      </c>
      <c r="D268">
        <v>57</v>
      </c>
      <c r="E268">
        <v>396</v>
      </c>
      <c r="G268">
        <f t="shared" si="16"/>
        <v>-1.9411622532560349</v>
      </c>
      <c r="H268">
        <f t="shared" si="17"/>
        <v>-1.9752026184553615</v>
      </c>
      <c r="I268">
        <f t="shared" si="18"/>
        <v>-1.8754247279916088</v>
      </c>
      <c r="K268">
        <f t="shared" si="19"/>
        <v>-1.9305965332343351</v>
      </c>
      <c r="M268">
        <v>267</v>
      </c>
      <c r="N268">
        <v>-1.9305965332343351</v>
      </c>
    </row>
    <row r="269" spans="1:14">
      <c r="A269">
        <v>268</v>
      </c>
      <c r="B269">
        <v>1120</v>
      </c>
      <c r="C269">
        <v>106</v>
      </c>
      <c r="D269">
        <v>297</v>
      </c>
      <c r="E269">
        <v>216</v>
      </c>
      <c r="G269">
        <f t="shared" si="16"/>
        <v>-1.8295549748014213</v>
      </c>
      <c r="H269">
        <f t="shared" si="17"/>
        <v>-1.302787891889821</v>
      </c>
      <c r="I269">
        <f t="shared" si="18"/>
        <v>-2.1831330298453708</v>
      </c>
      <c r="K269">
        <f t="shared" si="19"/>
        <v>-1.7718252988455376</v>
      </c>
      <c r="M269">
        <v>268</v>
      </c>
      <c r="N269">
        <v>-1.7718252988455376</v>
      </c>
    </row>
    <row r="270" spans="1:14">
      <c r="A270">
        <v>269</v>
      </c>
      <c r="B270">
        <v>969</v>
      </c>
      <c r="C270">
        <v>338</v>
      </c>
      <c r="D270">
        <v>302</v>
      </c>
      <c r="E270">
        <v>305</v>
      </c>
      <c r="G270">
        <f t="shared" si="16"/>
        <v>-1.2630498941691206</v>
      </c>
      <c r="H270">
        <f t="shared" si="17"/>
        <v>-1.2326431526304664</v>
      </c>
      <c r="I270">
        <f t="shared" si="18"/>
        <v>-1.9703926960300995</v>
      </c>
      <c r="K270">
        <f t="shared" si="19"/>
        <v>-1.4886952476098954</v>
      </c>
      <c r="M270">
        <v>269</v>
      </c>
      <c r="N270">
        <v>-1.4886952476098954</v>
      </c>
    </row>
    <row r="271" spans="1:14">
      <c r="A271">
        <v>270</v>
      </c>
      <c r="B271">
        <v>1475</v>
      </c>
      <c r="C271">
        <v>196</v>
      </c>
      <c r="D271">
        <v>405</v>
      </c>
      <c r="E271">
        <v>1332</v>
      </c>
      <c r="G271">
        <f t="shared" si="16"/>
        <v>-1.6821787663537158</v>
      </c>
      <c r="H271">
        <f t="shared" si="17"/>
        <v>-1.2876633156363648</v>
      </c>
      <c r="I271">
        <f t="shared" si="18"/>
        <v>-1.5126565538060195</v>
      </c>
      <c r="K271">
        <f t="shared" si="19"/>
        <v>-1.4941662119320334</v>
      </c>
      <c r="M271">
        <v>270</v>
      </c>
      <c r="N271">
        <v>-1.4941662119320334</v>
      </c>
    </row>
    <row r="272" spans="1:14">
      <c r="A272">
        <v>271</v>
      </c>
      <c r="B272">
        <v>989</v>
      </c>
      <c r="C272">
        <v>151</v>
      </c>
      <c r="D272">
        <v>25</v>
      </c>
      <c r="E272">
        <v>66</v>
      </c>
      <c r="G272">
        <f t="shared" si="16"/>
        <v>-1.62186216170002</v>
      </c>
      <c r="H272">
        <f t="shared" si="17"/>
        <v>-2.3235826014619936</v>
      </c>
      <c r="I272">
        <f t="shared" si="18"/>
        <v>-2.6440211143814309</v>
      </c>
      <c r="K272">
        <f t="shared" si="19"/>
        <v>-2.1964886258478149</v>
      </c>
      <c r="M272">
        <v>271</v>
      </c>
      <c r="N272">
        <v>-2.1964886258478149</v>
      </c>
    </row>
    <row r="273" spans="1:14">
      <c r="A273">
        <v>272</v>
      </c>
      <c r="B273">
        <v>1155</v>
      </c>
      <c r="C273">
        <v>84</v>
      </c>
      <c r="D273">
        <v>946</v>
      </c>
      <c r="E273">
        <v>75</v>
      </c>
      <c r="G273">
        <f t="shared" si="16"/>
        <v>-1.9439455155622913</v>
      </c>
      <c r="H273">
        <f t="shared" si="17"/>
        <v>-0.81301716636322208</v>
      </c>
      <c r="I273">
        <f t="shared" si="18"/>
        <v>-2.6558894791625831</v>
      </c>
      <c r="K273">
        <f t="shared" si="19"/>
        <v>-1.8042840536960323</v>
      </c>
      <c r="M273">
        <v>272</v>
      </c>
      <c r="N273">
        <v>-1.8042840536960323</v>
      </c>
    </row>
    <row r="274" spans="1:14">
      <c r="A274">
        <v>273</v>
      </c>
      <c r="B274">
        <v>1083</v>
      </c>
      <c r="C274">
        <v>5850</v>
      </c>
      <c r="D274">
        <v>901</v>
      </c>
      <c r="E274">
        <v>5869</v>
      </c>
      <c r="G274">
        <f t="shared" si="16"/>
        <v>-7.3115407939149835E-2</v>
      </c>
      <c r="H274">
        <f t="shared" si="17"/>
        <v>-0.80622998418310909</v>
      </c>
      <c r="I274">
        <f t="shared" si="18"/>
        <v>-0.73443310543786688</v>
      </c>
      <c r="K274">
        <f t="shared" si="19"/>
        <v>-0.53792616585337527</v>
      </c>
      <c r="M274">
        <v>273</v>
      </c>
      <c r="N274">
        <v>-0.53792616585337527</v>
      </c>
    </row>
    <row r="275" spans="1:14">
      <c r="A275">
        <v>274</v>
      </c>
      <c r="B275">
        <v>605</v>
      </c>
      <c r="C275">
        <v>308</v>
      </c>
      <c r="D275">
        <v>71</v>
      </c>
      <c r="E275">
        <v>134</v>
      </c>
      <c r="G275">
        <f t="shared" si="16"/>
        <v>-1.0988474755480346</v>
      </c>
      <c r="H275">
        <f t="shared" si="17"/>
        <v>-1.6568233444702454</v>
      </c>
      <c r="I275">
        <f t="shared" si="18"/>
        <v>-2.1230193346137813</v>
      </c>
      <c r="K275">
        <f t="shared" si="19"/>
        <v>-1.6262300515440204</v>
      </c>
      <c r="M275">
        <v>274</v>
      </c>
      <c r="N275">
        <v>-1.6262300515440204</v>
      </c>
    </row>
    <row r="276" spans="1:14">
      <c r="A276">
        <v>275</v>
      </c>
      <c r="B276">
        <v>1309</v>
      </c>
      <c r="C276">
        <v>103</v>
      </c>
      <c r="D276">
        <v>300</v>
      </c>
      <c r="E276">
        <v>239</v>
      </c>
      <c r="G276">
        <f t="shared" si="16"/>
        <v>-1.9097452392415935</v>
      </c>
      <c r="H276">
        <f t="shared" si="17"/>
        <v>-1.3661447103679452</v>
      </c>
      <c r="I276">
        <f t="shared" si="18"/>
        <v>-2.206910503928738</v>
      </c>
      <c r="K276">
        <f t="shared" si="19"/>
        <v>-1.8276001511794255</v>
      </c>
      <c r="M276">
        <v>275</v>
      </c>
      <c r="N276">
        <v>-1.8276001511794255</v>
      </c>
    </row>
    <row r="277" spans="1:14">
      <c r="A277">
        <v>276</v>
      </c>
      <c r="B277">
        <v>400</v>
      </c>
      <c r="C277">
        <v>134</v>
      </c>
      <c r="D277">
        <v>50</v>
      </c>
      <c r="E277">
        <v>806</v>
      </c>
      <c r="G277">
        <f t="shared" si="16"/>
        <v>-1.2805980103591648</v>
      </c>
      <c r="H277">
        <f t="shared" si="17"/>
        <v>-1.6294163055287951</v>
      </c>
      <c r="I277">
        <f t="shared" si="18"/>
        <v>-1.1640937078489917</v>
      </c>
      <c r="K277">
        <f t="shared" si="19"/>
        <v>-1.358036007912317</v>
      </c>
      <c r="M277">
        <v>276</v>
      </c>
      <c r="N277">
        <v>-1.358036007912317</v>
      </c>
    </row>
    <row r="278" spans="1:14">
      <c r="A278">
        <v>277</v>
      </c>
      <c r="B278">
        <v>1039</v>
      </c>
      <c r="C278">
        <v>462</v>
      </c>
      <c r="D278">
        <v>470</v>
      </c>
      <c r="E278">
        <v>1100</v>
      </c>
      <c r="G278">
        <f t="shared" si="16"/>
        <v>-1.1576163893970619</v>
      </c>
      <c r="H278">
        <f t="shared" si="17"/>
        <v>-1.0708440081583117</v>
      </c>
      <c r="I278">
        <f t="shared" si="18"/>
        <v>-1.4435916207250725</v>
      </c>
      <c r="K278">
        <f t="shared" si="19"/>
        <v>-1.2240173394268155</v>
      </c>
      <c r="M278">
        <v>277</v>
      </c>
      <c r="N278">
        <v>-1.2240173394268155</v>
      </c>
    </row>
    <row r="279" spans="1:14">
      <c r="A279">
        <v>278</v>
      </c>
      <c r="B279">
        <v>1334</v>
      </c>
      <c r="C279">
        <v>351</v>
      </c>
      <c r="D279">
        <v>98</v>
      </c>
      <c r="E279">
        <v>362</v>
      </c>
      <c r="G279">
        <f t="shared" si="16"/>
        <v>-1.3854915305107161</v>
      </c>
      <c r="H279">
        <f t="shared" si="17"/>
        <v>-1.8602560724248871</v>
      </c>
      <c r="I279">
        <f t="shared" si="18"/>
        <v>-2.0348160173734846</v>
      </c>
      <c r="K279">
        <f t="shared" si="19"/>
        <v>-1.7601878734363627</v>
      </c>
      <c r="M279">
        <v>278</v>
      </c>
      <c r="N279">
        <v>-1.7601878734363627</v>
      </c>
    </row>
    <row r="280" spans="1:14">
      <c r="A280">
        <v>279</v>
      </c>
      <c r="B280">
        <v>1738</v>
      </c>
      <c r="C280">
        <v>1930</v>
      </c>
      <c r="D280">
        <v>185</v>
      </c>
      <c r="E280">
        <v>8046</v>
      </c>
      <c r="G280">
        <f t="shared" si="16"/>
        <v>-0.76013528050088386</v>
      </c>
      <c r="H280">
        <f t="shared" si="17"/>
        <v>-1.6992043622464856</v>
      </c>
      <c r="I280">
        <f t="shared" si="18"/>
        <v>-0.80283850220352515</v>
      </c>
      <c r="K280">
        <f t="shared" si="19"/>
        <v>-1.0873927149836315</v>
      </c>
      <c r="M280">
        <v>279</v>
      </c>
      <c r="N280">
        <v>-1.0873927149836315</v>
      </c>
    </row>
    <row r="281" spans="1:14">
      <c r="A281">
        <v>280</v>
      </c>
      <c r="B281">
        <v>649</v>
      </c>
      <c r="C281">
        <v>112</v>
      </c>
      <c r="D281">
        <v>21854</v>
      </c>
      <c r="E281">
        <v>250</v>
      </c>
      <c r="G281">
        <f t="shared" si="16"/>
        <v>-1.5686694915261974</v>
      </c>
      <c r="H281">
        <f t="shared" si="17"/>
        <v>0.80095992340343469</v>
      </c>
      <c r="I281">
        <f t="shared" si="18"/>
        <v>-1.8826734464544517</v>
      </c>
      <c r="K281">
        <f t="shared" si="19"/>
        <v>-0.88346100485907142</v>
      </c>
      <c r="M281">
        <v>280</v>
      </c>
      <c r="N281">
        <v>-0.88346100485907142</v>
      </c>
    </row>
    <row r="282" spans="1:14">
      <c r="A282">
        <v>281</v>
      </c>
      <c r="B282">
        <v>1204</v>
      </c>
      <c r="C282">
        <v>6240</v>
      </c>
      <c r="D282">
        <v>396</v>
      </c>
      <c r="E282">
        <v>3110</v>
      </c>
      <c r="G282">
        <f t="shared" si="16"/>
        <v>-9.1084714635391695E-2</v>
      </c>
      <c r="H282">
        <f t="shared" si="17"/>
        <v>-1.2092576195331453</v>
      </c>
      <c r="I282">
        <f t="shared" si="18"/>
        <v>-1.0562348562210881</v>
      </c>
      <c r="K282">
        <f t="shared" si="19"/>
        <v>-0.78552573012987503</v>
      </c>
      <c r="M282">
        <v>281</v>
      </c>
      <c r="N282">
        <v>-0.78552573012987503</v>
      </c>
    </row>
    <row r="283" spans="1:14">
      <c r="A283">
        <v>282</v>
      </c>
      <c r="B283">
        <v>1193</v>
      </c>
      <c r="C283">
        <v>86</v>
      </c>
      <c r="D283">
        <v>1471</v>
      </c>
      <c r="E283">
        <v>3111</v>
      </c>
      <c r="G283">
        <f t="shared" si="16"/>
        <v>-1.9477848098227841</v>
      </c>
      <c r="H283">
        <f t="shared" si="17"/>
        <v>-0.63535408947966343</v>
      </c>
      <c r="I283">
        <f t="shared" si="18"/>
        <v>-1.0521091908877584</v>
      </c>
      <c r="K283">
        <f t="shared" si="19"/>
        <v>-1.2117493633967353</v>
      </c>
      <c r="M283">
        <v>282</v>
      </c>
      <c r="N283">
        <v>-1.2117493633967353</v>
      </c>
    </row>
    <row r="284" spans="1:14">
      <c r="A284">
        <v>283</v>
      </c>
      <c r="B284">
        <v>1344</v>
      </c>
      <c r="C284">
        <v>290</v>
      </c>
      <c r="D284">
        <v>182</v>
      </c>
      <c r="E284">
        <v>349</v>
      </c>
      <c r="G284">
        <f t="shared" si="16"/>
        <v>-1.4716440882148603</v>
      </c>
      <c r="H284">
        <f t="shared" si="17"/>
        <v>-1.5946541992695833</v>
      </c>
      <c r="I284">
        <f t="shared" si="18"/>
        <v>-2.0539426000847465</v>
      </c>
      <c r="K284">
        <f t="shared" si="19"/>
        <v>-1.7067469625230636</v>
      </c>
      <c r="M284">
        <v>283</v>
      </c>
      <c r="N284">
        <v>-1.7067469625230636</v>
      </c>
    </row>
    <row r="285" spans="1:14">
      <c r="A285">
        <v>284</v>
      </c>
      <c r="B285">
        <v>871</v>
      </c>
      <c r="C285">
        <v>256</v>
      </c>
      <c r="D285">
        <v>300</v>
      </c>
      <c r="E285">
        <v>799</v>
      </c>
      <c r="G285">
        <f t="shared" si="16"/>
        <v>-1.3374210070918235</v>
      </c>
      <c r="H285">
        <f t="shared" si="17"/>
        <v>-1.1892232188248524</v>
      </c>
      <c r="I285">
        <f t="shared" si="18"/>
        <v>-1.5058401340197918</v>
      </c>
      <c r="K285">
        <f t="shared" si="19"/>
        <v>-1.3441614533121558</v>
      </c>
      <c r="M285">
        <v>284</v>
      </c>
      <c r="N285">
        <v>-1.3441614533121558</v>
      </c>
    </row>
    <row r="286" spans="1:14">
      <c r="A286">
        <v>285</v>
      </c>
      <c r="B286">
        <v>1074</v>
      </c>
      <c r="C286">
        <v>107</v>
      </c>
      <c r="D286">
        <v>41</v>
      </c>
      <c r="E286">
        <v>179</v>
      </c>
      <c r="G286">
        <f t="shared" si="16"/>
        <v>-1.8072633210743372</v>
      </c>
      <c r="H286">
        <f t="shared" si="17"/>
        <v>-2.1445467431806531</v>
      </c>
      <c r="I286">
        <f t="shared" si="18"/>
        <v>-2.2465200087097639</v>
      </c>
      <c r="K286">
        <f t="shared" si="19"/>
        <v>-2.0661100243215849</v>
      </c>
      <c r="M286">
        <v>285</v>
      </c>
      <c r="N286">
        <v>-2.0661100243215849</v>
      </c>
    </row>
    <row r="287" spans="1:14">
      <c r="A287">
        <v>286</v>
      </c>
      <c r="B287">
        <v>1146</v>
      </c>
      <c r="C287">
        <v>1449</v>
      </c>
      <c r="D287">
        <v>437</v>
      </c>
      <c r="E287">
        <v>260</v>
      </c>
      <c r="G287">
        <f t="shared" si="16"/>
        <v>-0.7037590495562065</v>
      </c>
      <c r="H287">
        <f t="shared" si="17"/>
        <v>-1.1450294991978009</v>
      </c>
      <c r="I287">
        <f t="shared" si="18"/>
        <v>-2.1125800279866733</v>
      </c>
      <c r="K287">
        <f t="shared" si="19"/>
        <v>-1.3204561922468936</v>
      </c>
      <c r="M287">
        <v>286</v>
      </c>
      <c r="N287">
        <v>-1.3204561922468936</v>
      </c>
    </row>
    <row r="288" spans="1:14">
      <c r="A288">
        <v>287</v>
      </c>
      <c r="B288">
        <v>735</v>
      </c>
      <c r="C288">
        <v>141</v>
      </c>
      <c r="D288">
        <v>105</v>
      </c>
      <c r="E288">
        <v>1031</v>
      </c>
      <c r="G288">
        <f t="shared" si="16"/>
        <v>-1.5227110438248248</v>
      </c>
      <c r="H288">
        <f t="shared" si="17"/>
        <v>-1.5714243585511085</v>
      </c>
      <c r="I288">
        <f t="shared" si="18"/>
        <v>-1.3213974321267983</v>
      </c>
      <c r="K288">
        <f t="shared" si="19"/>
        <v>-1.4718442781675771</v>
      </c>
      <c r="M288">
        <v>287</v>
      </c>
      <c r="N288">
        <v>-1.4718442781675771</v>
      </c>
    </row>
    <row r="289" spans="1:14">
      <c r="A289">
        <v>288</v>
      </c>
      <c r="B289">
        <v>747</v>
      </c>
      <c r="C289">
        <v>348</v>
      </c>
      <c r="D289">
        <v>10504</v>
      </c>
      <c r="E289">
        <v>108828</v>
      </c>
      <c r="G289">
        <f>LOG10(C289/B289)-LOG10(151582/23714)</f>
        <v>-1.1373841752648279</v>
      </c>
      <c r="H289">
        <f t="shared" si="17"/>
        <v>0.42170779272917247</v>
      </c>
      <c r="I289">
        <f t="shared" si="18"/>
        <v>0.69505128780358572</v>
      </c>
      <c r="K289">
        <f t="shared" si="19"/>
        <v>-6.8750315773565829E-3</v>
      </c>
      <c r="M289">
        <v>288</v>
      </c>
      <c r="N289">
        <v>-6.8750315773565829E-3</v>
      </c>
    </row>
    <row r="290" spans="1:14">
      <c r="A290">
        <v>289</v>
      </c>
      <c r="B290">
        <v>1200</v>
      </c>
      <c r="C290">
        <v>64</v>
      </c>
      <c r="D290">
        <v>56</v>
      </c>
      <c r="E290">
        <v>75</v>
      </c>
      <c r="G290">
        <f t="shared" si="16"/>
        <v>-2.0786440894597478</v>
      </c>
      <c r="H290">
        <f t="shared" si="17"/>
        <v>-2.0573195375782762</v>
      </c>
      <c r="I290">
        <f t="shared" si="18"/>
        <v>-2.672488740982045</v>
      </c>
      <c r="K290">
        <f t="shared" si="19"/>
        <v>-2.2694841226733562</v>
      </c>
      <c r="M290">
        <v>289</v>
      </c>
      <c r="N290">
        <v>-2.2694841226733562</v>
      </c>
    </row>
    <row r="291" spans="1:14">
      <c r="A291">
        <v>290</v>
      </c>
      <c r="B291">
        <v>456</v>
      </c>
      <c r="C291">
        <v>147</v>
      </c>
      <c r="D291">
        <v>1393</v>
      </c>
      <c r="E291">
        <v>1528</v>
      </c>
      <c r="G291">
        <f t="shared" si="16"/>
        <v>-1.297290325312269</v>
      </c>
      <c r="H291">
        <f t="shared" si="17"/>
        <v>-0.24134004477732324</v>
      </c>
      <c r="I291">
        <f t="shared" si="18"/>
        <v>-0.94321024675088383</v>
      </c>
      <c r="K291">
        <f t="shared" si="19"/>
        <v>-0.82728020561349203</v>
      </c>
      <c r="M291">
        <v>290</v>
      </c>
      <c r="N291">
        <v>-0.82728020561349203</v>
      </c>
    </row>
    <row r="292" spans="1:14">
      <c r="A292">
        <v>291</v>
      </c>
      <c r="B292">
        <v>861</v>
      </c>
      <c r="C292">
        <v>1512</v>
      </c>
      <c r="D292">
        <v>935</v>
      </c>
      <c r="E292">
        <v>398</v>
      </c>
      <c r="G292">
        <f t="shared" si="16"/>
        <v>-0.561094177684477</v>
      </c>
      <c r="H292">
        <f t="shared" si="17"/>
        <v>-0.69051785911798869</v>
      </c>
      <c r="I292">
        <f t="shared" si="18"/>
        <v>-1.8034888377060869</v>
      </c>
      <c r="K292">
        <f t="shared" si="19"/>
        <v>-1.0183669581695176</v>
      </c>
      <c r="M292">
        <v>291</v>
      </c>
      <c r="N292">
        <v>-1.0183669581695176</v>
      </c>
    </row>
    <row r="293" spans="1:14">
      <c r="A293">
        <v>292</v>
      </c>
      <c r="B293">
        <v>1170</v>
      </c>
      <c r="C293">
        <v>819</v>
      </c>
      <c r="D293">
        <v>665</v>
      </c>
      <c r="E293">
        <v>647</v>
      </c>
      <c r="G293">
        <f t="shared" si="16"/>
        <v>-0.96054477738175315</v>
      </c>
      <c r="H293">
        <f t="shared" si="17"/>
        <v>-0.97169053497990876</v>
      </c>
      <c r="I293">
        <f t="shared" si="18"/>
        <v>-1.7256503394035811</v>
      </c>
      <c r="K293">
        <f t="shared" si="19"/>
        <v>-1.2192952172550811</v>
      </c>
      <c r="M293">
        <v>292</v>
      </c>
      <c r="N293">
        <v>-1.2192952172550811</v>
      </c>
    </row>
    <row r="294" spans="1:14">
      <c r="A294">
        <v>293</v>
      </c>
      <c r="B294">
        <v>641</v>
      </c>
      <c r="C294">
        <v>409</v>
      </c>
      <c r="D294">
        <v>398</v>
      </c>
      <c r="E294">
        <v>534</v>
      </c>
      <c r="G294">
        <f t="shared" si="16"/>
        <v>-1.0007775389074856</v>
      </c>
      <c r="H294">
        <f t="shared" si="17"/>
        <v>-0.93330127598198132</v>
      </c>
      <c r="I294">
        <f t="shared" si="18"/>
        <v>-1.547685530816381</v>
      </c>
      <c r="K294">
        <f t="shared" si="19"/>
        <v>-1.1605881152352826</v>
      </c>
      <c r="M294">
        <v>293</v>
      </c>
      <c r="N294">
        <v>-1.1605881152352826</v>
      </c>
    </row>
    <row r="295" spans="1:14">
      <c r="A295">
        <v>294</v>
      </c>
      <c r="B295">
        <v>1129</v>
      </c>
      <c r="C295">
        <v>435</v>
      </c>
      <c r="D295">
        <v>111</v>
      </c>
      <c r="E295">
        <v>239</v>
      </c>
      <c r="G295">
        <f t="shared" si="16"/>
        <v>-1.2198475023663404</v>
      </c>
      <c r="H295">
        <f t="shared" si="17"/>
        <v>-1.7336972816751621</v>
      </c>
      <c r="I295">
        <f t="shared" si="18"/>
        <v>-2.14266479930295</v>
      </c>
      <c r="K295">
        <f t="shared" si="19"/>
        <v>-1.6987365277814843</v>
      </c>
      <c r="M295">
        <v>294</v>
      </c>
      <c r="N295">
        <v>-1.6987365277814843</v>
      </c>
    </row>
    <row r="296" spans="1:14">
      <c r="A296">
        <v>295</v>
      </c>
      <c r="B296">
        <v>789</v>
      </c>
      <c r="C296">
        <v>134</v>
      </c>
      <c r="D296">
        <v>1341</v>
      </c>
      <c r="E296">
        <v>74</v>
      </c>
      <c r="G296">
        <f t="shared" si="16"/>
        <v>-1.5756150222406227</v>
      </c>
      <c r="H296">
        <f t="shared" si="17"/>
        <v>-0.4959745438946731</v>
      </c>
      <c r="I296">
        <f t="shared" si="18"/>
        <v>-2.4962140418045644</v>
      </c>
      <c r="K296">
        <f t="shared" si="19"/>
        <v>-1.52260120264662</v>
      </c>
      <c r="M296">
        <v>295</v>
      </c>
      <c r="N296">
        <v>-1.52260120264662</v>
      </c>
    </row>
    <row r="297" spans="1:14">
      <c r="A297">
        <v>296</v>
      </c>
      <c r="B297">
        <v>821</v>
      </c>
      <c r="C297">
        <v>316</v>
      </c>
      <c r="D297">
        <v>120</v>
      </c>
      <c r="E297">
        <v>243</v>
      </c>
      <c r="G297">
        <f t="shared" si="16"/>
        <v>-1.220298891897047</v>
      </c>
      <c r="H297">
        <f t="shared" si="17"/>
        <v>-1.5614882296086676</v>
      </c>
      <c r="I297">
        <f t="shared" si="18"/>
        <v>-1.9971056418472486</v>
      </c>
      <c r="K297">
        <f t="shared" si="19"/>
        <v>-1.5929642544509877</v>
      </c>
      <c r="M297">
        <v>296</v>
      </c>
      <c r="N297">
        <v>-1.5929642544509877</v>
      </c>
    </row>
    <row r="298" spans="1:14">
      <c r="A298">
        <v>297</v>
      </c>
      <c r="B298">
        <v>1314</v>
      </c>
      <c r="C298">
        <v>1071</v>
      </c>
      <c r="D298">
        <v>129</v>
      </c>
      <c r="E298">
        <v>1982</v>
      </c>
      <c r="G298">
        <f t="shared" si="16"/>
        <v>-0.8944487117879163</v>
      </c>
      <c r="H298">
        <f t="shared" si="17"/>
        <v>-1.7343319734613649</v>
      </c>
      <c r="I298">
        <f t="shared" si="18"/>
        <v>-1.2898604734006254</v>
      </c>
      <c r="K298">
        <f t="shared" si="19"/>
        <v>-1.3062137195499688</v>
      </c>
      <c r="M298">
        <v>297</v>
      </c>
      <c r="N298">
        <v>-1.3062137195499688</v>
      </c>
    </row>
    <row r="299" spans="1:14">
      <c r="A299">
        <v>298</v>
      </c>
      <c r="B299">
        <v>828</v>
      </c>
      <c r="C299">
        <v>336</v>
      </c>
      <c r="D299">
        <v>82</v>
      </c>
      <c r="E299">
        <v>149</v>
      </c>
      <c r="G299">
        <f t="shared" si="16"/>
        <v>-1.197333876791046</v>
      </c>
      <c r="H299">
        <f t="shared" si="17"/>
        <v>-1.730542802938015</v>
      </c>
      <c r="I299">
        <f t="shared" si="18"/>
        <v>-2.2132128266987259</v>
      </c>
      <c r="K299">
        <f t="shared" si="19"/>
        <v>-1.7136965021425956</v>
      </c>
      <c r="M299">
        <v>298</v>
      </c>
      <c r="N299">
        <v>-1.7136965021425956</v>
      </c>
    </row>
    <row r="300" spans="1:14">
      <c r="A300">
        <v>299</v>
      </c>
      <c r="B300">
        <v>736</v>
      </c>
      <c r="C300">
        <v>1059</v>
      </c>
      <c r="D300">
        <v>153</v>
      </c>
      <c r="E300">
        <v>116</v>
      </c>
      <c r="G300">
        <f t="shared" si="16"/>
        <v>-0.64762467162602388</v>
      </c>
      <c r="H300">
        <f t="shared" si="17"/>
        <v>-1.4085127020567518</v>
      </c>
      <c r="I300">
        <f t="shared" si="18"/>
        <v>-2.2707885834367003</v>
      </c>
      <c r="K300">
        <f t="shared" si="19"/>
        <v>-1.4423086523731588</v>
      </c>
      <c r="M300">
        <v>299</v>
      </c>
      <c r="N300">
        <v>-1.4423086523731588</v>
      </c>
    </row>
    <row r="301" spans="1:14">
      <c r="A301">
        <v>300</v>
      </c>
      <c r="B301">
        <v>809</v>
      </c>
      <c r="C301">
        <v>9</v>
      </c>
      <c r="D301">
        <v>6</v>
      </c>
      <c r="E301">
        <v>11</v>
      </c>
      <c r="G301">
        <f t="shared" si="16"/>
        <v>-2.7593488295689577</v>
      </c>
      <c r="H301">
        <f t="shared" si="17"/>
        <v>-2.8561235897654806</v>
      </c>
      <c r="I301">
        <f t="shared" si="18"/>
        <v>-3.3349245947801673</v>
      </c>
      <c r="K301">
        <f t="shared" si="19"/>
        <v>-2.9834656713715351</v>
      </c>
      <c r="M301">
        <v>300</v>
      </c>
      <c r="N301">
        <v>-2.9834656713715351</v>
      </c>
    </row>
    <row r="302" spans="1:14">
      <c r="A302">
        <v>301</v>
      </c>
      <c r="B302">
        <v>1148</v>
      </c>
      <c r="C302">
        <v>154</v>
      </c>
      <c r="D302">
        <v>122</v>
      </c>
      <c r="E302">
        <v>100</v>
      </c>
      <c r="G302">
        <f t="shared" si="16"/>
        <v>-1.6780639846215015</v>
      </c>
      <c r="H302">
        <f t="shared" si="17"/>
        <v>-1.6999083759240583</v>
      </c>
      <c r="I302">
        <f t="shared" si="18"/>
        <v>-2.5283106463880749</v>
      </c>
      <c r="K302">
        <f t="shared" si="19"/>
        <v>-1.9687610023112114</v>
      </c>
      <c r="M302">
        <v>301</v>
      </c>
      <c r="N302">
        <v>-1.9687610023112114</v>
      </c>
    </row>
    <row r="303" spans="1:14">
      <c r="A303">
        <v>302</v>
      </c>
      <c r="B303">
        <v>950</v>
      </c>
      <c r="C303">
        <v>46</v>
      </c>
      <c r="D303">
        <v>212</v>
      </c>
      <c r="E303">
        <v>55</v>
      </c>
      <c r="G303">
        <f t="shared" si="16"/>
        <v>-2.1206085910032835</v>
      </c>
      <c r="H303">
        <f t="shared" si="17"/>
        <v>-1.377714062896948</v>
      </c>
      <c r="I303">
        <f t="shared" si="18"/>
        <v>-2.705729674120724</v>
      </c>
      <c r="K303">
        <f t="shared" si="19"/>
        <v>-2.0680174426736517</v>
      </c>
      <c r="M303">
        <v>302</v>
      </c>
      <c r="N303">
        <v>-2.0680174426736517</v>
      </c>
    </row>
    <row r="304" spans="1:14">
      <c r="A304">
        <v>303</v>
      </c>
      <c r="B304">
        <v>581</v>
      </c>
      <c r="C304">
        <v>30</v>
      </c>
      <c r="D304">
        <v>9</v>
      </c>
      <c r="E304">
        <v>41</v>
      </c>
      <c r="G304">
        <f t="shared" si="16"/>
        <v>-2.0926976950666782</v>
      </c>
      <c r="H304">
        <f t="shared" si="17"/>
        <v>-2.5362599414878577</v>
      </c>
      <c r="I304">
        <f t="shared" si="18"/>
        <v>-2.6197610339967152</v>
      </c>
      <c r="K304">
        <f t="shared" si="19"/>
        <v>-2.4162395568504169</v>
      </c>
      <c r="M304">
        <v>303</v>
      </c>
      <c r="N304">
        <v>-2.4162395568504169</v>
      </c>
    </row>
    <row r="305" spans="1:14">
      <c r="A305">
        <v>304</v>
      </c>
      <c r="B305">
        <v>902</v>
      </c>
      <c r="C305">
        <v>44</v>
      </c>
      <c r="D305">
        <v>25</v>
      </c>
      <c r="E305">
        <v>60</v>
      </c>
      <c r="G305">
        <f t="shared" si="16"/>
        <v>-2.1173966784517644</v>
      </c>
      <c r="H305">
        <f t="shared" si="17"/>
        <v>-2.2835928474067559</v>
      </c>
      <c r="I305">
        <f t="shared" si="18"/>
        <v>-2.6454240454844182</v>
      </c>
      <c r="K305">
        <f t="shared" si="19"/>
        <v>-2.3488045237809794</v>
      </c>
      <c r="M305">
        <v>304</v>
      </c>
      <c r="N305">
        <v>-2.3488045237809794</v>
      </c>
    </row>
    <row r="306" spans="1:14">
      <c r="A306">
        <v>305</v>
      </c>
      <c r="B306">
        <v>673</v>
      </c>
      <c r="C306">
        <v>37</v>
      </c>
      <c r="D306">
        <v>2</v>
      </c>
      <c r="E306">
        <v>8</v>
      </c>
      <c r="G306">
        <f t="shared" si="16"/>
        <v>-2.0654561575529917</v>
      </c>
      <c r="H306">
        <f t="shared" si="17"/>
        <v>-3.2533113870968475</v>
      </c>
      <c r="I306">
        <f t="shared" si="18"/>
        <v>-3.3932938355581532</v>
      </c>
      <c r="K306">
        <f t="shared" si="19"/>
        <v>-2.9040204600693307</v>
      </c>
      <c r="M306">
        <v>305</v>
      </c>
      <c r="N306">
        <v>-2.9040204600693307</v>
      </c>
    </row>
    <row r="307" spans="1:14">
      <c r="A307">
        <v>306</v>
      </c>
      <c r="B307">
        <v>855</v>
      </c>
      <c r="C307">
        <v>18</v>
      </c>
      <c r="D307">
        <v>17</v>
      </c>
      <c r="E307">
        <v>23</v>
      </c>
      <c r="G307">
        <f t="shared" si="16"/>
        <v>-2.4823364270208765</v>
      </c>
      <c r="H307">
        <f t="shared" si="17"/>
        <v>-2.4278435118867505</v>
      </c>
      <c r="I307">
        <f t="shared" si="18"/>
        <v>-3.0386070370366998</v>
      </c>
      <c r="K307">
        <f t="shared" si="19"/>
        <v>-2.6495956586481086</v>
      </c>
      <c r="M307">
        <v>306</v>
      </c>
      <c r="N307">
        <v>-2.6495956586481086</v>
      </c>
    </row>
    <row r="308" spans="1:14">
      <c r="A308">
        <v>307</v>
      </c>
      <c r="B308">
        <v>1035</v>
      </c>
      <c r="C308">
        <v>123</v>
      </c>
      <c r="D308">
        <v>228</v>
      </c>
      <c r="E308">
        <v>462</v>
      </c>
      <c r="G308">
        <f t="shared" si="16"/>
        <v>-1.7306780557495487</v>
      </c>
      <c r="H308">
        <f t="shared" si="17"/>
        <v>-1.3833318213293344</v>
      </c>
      <c r="I308">
        <f t="shared" si="18"/>
        <v>-1.8186671325629311</v>
      </c>
      <c r="K308">
        <f t="shared" si="19"/>
        <v>-1.6442256698806048</v>
      </c>
      <c r="M308">
        <v>307</v>
      </c>
      <c r="N308">
        <v>-1.6442256698806048</v>
      </c>
    </row>
    <row r="309" spans="1:14">
      <c r="A309">
        <v>308</v>
      </c>
      <c r="B309">
        <v>934</v>
      </c>
      <c r="C309">
        <v>167</v>
      </c>
      <c r="D309">
        <v>886</v>
      </c>
      <c r="E309">
        <v>140</v>
      </c>
      <c r="G309">
        <f t="shared" si="16"/>
        <v>-1.55327322247852</v>
      </c>
      <c r="H309">
        <f t="shared" si="17"/>
        <v>-0.74923947287989434</v>
      </c>
      <c r="I309">
        <f t="shared" si="18"/>
        <v>-2.2925875988779754</v>
      </c>
      <c r="K309">
        <f t="shared" si="19"/>
        <v>-1.5317000980787967</v>
      </c>
      <c r="M309">
        <v>308</v>
      </c>
      <c r="N309">
        <v>-1.5317000980787967</v>
      </c>
    </row>
    <row r="310" spans="1:14">
      <c r="A310">
        <v>309</v>
      </c>
      <c r="B310">
        <v>934</v>
      </c>
      <c r="C310">
        <v>13</v>
      </c>
      <c r="D310">
        <v>5</v>
      </c>
      <c r="E310">
        <v>7</v>
      </c>
      <c r="G310">
        <f t="shared" si="16"/>
        <v>-2.6620463413192663</v>
      </c>
      <c r="H310">
        <f t="shared" si="17"/>
        <v>-2.9977031904309266</v>
      </c>
      <c r="I310">
        <f t="shared" si="18"/>
        <v>-3.5936175945419566</v>
      </c>
      <c r="K310">
        <f t="shared" si="19"/>
        <v>-3.0844557087640498</v>
      </c>
      <c r="M310">
        <v>309</v>
      </c>
      <c r="N310">
        <v>-3.0844557087640498</v>
      </c>
    </row>
    <row r="311" spans="1:14">
      <c r="A311">
        <v>310</v>
      </c>
      <c r="B311">
        <v>1094</v>
      </c>
      <c r="C311">
        <v>12</v>
      </c>
      <c r="D311">
        <v>53</v>
      </c>
      <c r="E311">
        <v>45</v>
      </c>
      <c r="G311">
        <f t="shared" si="16"/>
        <v>-2.7654788933457972</v>
      </c>
      <c r="H311">
        <f t="shared" si="17"/>
        <v>-2.0410677709334748</v>
      </c>
      <c r="I311">
        <f t="shared" si="18"/>
        <v>-2.8541735665481882</v>
      </c>
      <c r="K311">
        <f t="shared" si="19"/>
        <v>-2.5535734102758201</v>
      </c>
      <c r="M311">
        <v>310</v>
      </c>
      <c r="N311">
        <v>-2.5535734102758201</v>
      </c>
    </row>
    <row r="312" spans="1:14">
      <c r="A312">
        <v>311</v>
      </c>
      <c r="B312">
        <v>1189</v>
      </c>
      <c r="C312">
        <v>204</v>
      </c>
      <c r="D312">
        <v>81</v>
      </c>
      <c r="E312">
        <v>138</v>
      </c>
      <c r="G312">
        <f t="shared" si="16"/>
        <v>-1.5711945045888029</v>
      </c>
      <c r="H312">
        <f t="shared" si="17"/>
        <v>-1.8930231542768934</v>
      </c>
      <c r="I312">
        <f t="shared" si="18"/>
        <v>-2.4036715265435751</v>
      </c>
      <c r="K312">
        <f t="shared" si="19"/>
        <v>-1.9559630618030905</v>
      </c>
      <c r="M312">
        <v>311</v>
      </c>
      <c r="N312">
        <v>-1.9559630618030905</v>
      </c>
    </row>
    <row r="313" spans="1:14">
      <c r="A313">
        <v>312</v>
      </c>
      <c r="B313">
        <v>1011</v>
      </c>
      <c r="C313">
        <v>100</v>
      </c>
      <c r="D313">
        <v>27</v>
      </c>
      <c r="E313">
        <v>103</v>
      </c>
      <c r="G313">
        <f t="shared" si="16"/>
        <v>-1.8103939729870111</v>
      </c>
      <c r="H313">
        <f t="shared" si="17"/>
        <v>-2.2997137099688656</v>
      </c>
      <c r="I313">
        <f t="shared" si="18"/>
        <v>-2.4602826892119491</v>
      </c>
      <c r="K313">
        <f t="shared" si="19"/>
        <v>-2.1901301240559419</v>
      </c>
      <c r="M313">
        <v>312</v>
      </c>
      <c r="N313">
        <v>-2.1901301240559419</v>
      </c>
    </row>
    <row r="314" spans="1:14">
      <c r="A314">
        <v>313</v>
      </c>
      <c r="B314">
        <v>785</v>
      </c>
      <c r="C314">
        <v>51</v>
      </c>
      <c r="D314">
        <v>157</v>
      </c>
      <c r="E314">
        <v>156</v>
      </c>
      <c r="G314">
        <f t="shared" si="16"/>
        <v>-1.9929422980433262</v>
      </c>
      <c r="H314">
        <f t="shared" si="17"/>
        <v>-1.4252963228728706</v>
      </c>
      <c r="I314">
        <f t="shared" si="18"/>
        <v>-2.1701138167169107</v>
      </c>
      <c r="K314">
        <f t="shared" si="19"/>
        <v>-1.8627841458777024</v>
      </c>
      <c r="M314">
        <v>313</v>
      </c>
      <c r="N314">
        <v>-1.8627841458777024</v>
      </c>
    </row>
    <row r="315" spans="1:14">
      <c r="A315">
        <v>314</v>
      </c>
      <c r="B315">
        <v>416</v>
      </c>
      <c r="C315">
        <v>230</v>
      </c>
      <c r="D315">
        <v>124</v>
      </c>
      <c r="E315">
        <v>128</v>
      </c>
      <c r="G315">
        <f t="shared" si="16"/>
        <v>-1.0630083120051599</v>
      </c>
      <c r="H315">
        <f t="shared" si="17"/>
        <v>-1.2519979640013594</v>
      </c>
      <c r="I315">
        <f t="shared" si="18"/>
        <v>-1.9802521193049945</v>
      </c>
      <c r="K315">
        <f t="shared" si="19"/>
        <v>-1.4317527984371712</v>
      </c>
      <c r="M315">
        <v>314</v>
      </c>
      <c r="N315">
        <v>-1.4317527984371712</v>
      </c>
    </row>
    <row r="316" spans="1:14">
      <c r="A316">
        <v>315</v>
      </c>
      <c r="B316">
        <v>1141</v>
      </c>
      <c r="C316">
        <v>53</v>
      </c>
      <c r="D316">
        <v>67</v>
      </c>
      <c r="E316">
        <v>48</v>
      </c>
      <c r="G316">
        <f t="shared" si="16"/>
        <v>-2.1386525922134356</v>
      </c>
      <c r="H316">
        <f t="shared" si="17"/>
        <v>-1.95753716025424</v>
      </c>
      <c r="I316">
        <f t="shared" si="18"/>
        <v>-2.8444131653687474</v>
      </c>
      <c r="K316">
        <f t="shared" si="19"/>
        <v>-2.3135343059454745</v>
      </c>
      <c r="M316">
        <v>315</v>
      </c>
      <c r="N316">
        <v>-2.3135343059454745</v>
      </c>
    </row>
    <row r="317" spans="1:14">
      <c r="A317">
        <v>316</v>
      </c>
      <c r="B317">
        <v>785</v>
      </c>
      <c r="C317">
        <v>9</v>
      </c>
      <c r="D317">
        <v>4</v>
      </c>
      <c r="E317">
        <v>27</v>
      </c>
      <c r="G317">
        <f t="shared" si="16"/>
        <v>-2.7462699647019377</v>
      </c>
      <c r="H317">
        <f t="shared" si="17"/>
        <v>-3.0191359839541421</v>
      </c>
      <c r="I317">
        <f t="shared" si="18"/>
        <v>-2.931874650912385</v>
      </c>
      <c r="K317">
        <f t="shared" si="19"/>
        <v>-2.8990935331894883</v>
      </c>
      <c r="M317">
        <v>316</v>
      </c>
      <c r="N317">
        <v>-2.8990935331894883</v>
      </c>
    </row>
    <row r="318" spans="1:14">
      <c r="A318">
        <v>317</v>
      </c>
      <c r="B318">
        <v>910</v>
      </c>
      <c r="C318">
        <v>64</v>
      </c>
      <c r="D318">
        <v>24</v>
      </c>
      <c r="E318">
        <v>33</v>
      </c>
      <c r="G318">
        <f t="shared" si="16"/>
        <v>-1.9585042357332163</v>
      </c>
      <c r="H318">
        <f t="shared" si="17"/>
        <v>-2.3051564691463393</v>
      </c>
      <c r="I318">
        <f t="shared" si="18"/>
        <v>-2.9088962107693259</v>
      </c>
      <c r="K318">
        <f t="shared" si="19"/>
        <v>-2.3908523052162938</v>
      </c>
      <c r="M318">
        <v>317</v>
      </c>
      <c r="N318">
        <v>-2.3908523052162938</v>
      </c>
    </row>
    <row r="319" spans="1:14">
      <c r="A319">
        <v>318</v>
      </c>
      <c r="B319">
        <v>815</v>
      </c>
      <c r="C319">
        <v>86</v>
      </c>
      <c r="D319">
        <v>17</v>
      </c>
      <c r="E319">
        <v>163</v>
      </c>
      <c r="G319">
        <f t="shared" si="16"/>
        <v>-1.7823019748924187</v>
      </c>
      <c r="H319">
        <f t="shared" si="17"/>
        <v>-2.4070350058985546</v>
      </c>
      <c r="I319">
        <f t="shared" si="18"/>
        <v>-2.1673387626621388</v>
      </c>
      <c r="K319">
        <f t="shared" si="19"/>
        <v>-2.1188919144843705</v>
      </c>
      <c r="M319">
        <v>318</v>
      </c>
      <c r="N319">
        <v>-2.1188919144843705</v>
      </c>
    </row>
    <row r="320" spans="1:14">
      <c r="A320">
        <v>319</v>
      </c>
      <c r="B320">
        <v>402</v>
      </c>
      <c r="C320">
        <v>81</v>
      </c>
      <c r="D320">
        <v>598</v>
      </c>
      <c r="E320">
        <v>177</v>
      </c>
      <c r="G320">
        <f t="shared" si="16"/>
        <v>-1.5013838516018303</v>
      </c>
      <c r="H320">
        <f t="shared" si="17"/>
        <v>-0.55385118763291086</v>
      </c>
      <c r="I320">
        <f t="shared" si="18"/>
        <v>-1.8246215450487835</v>
      </c>
      <c r="K320">
        <f t="shared" si="19"/>
        <v>-1.2932855280945084</v>
      </c>
      <c r="M320">
        <v>319</v>
      </c>
      <c r="N320">
        <v>-1.2932855280945084</v>
      </c>
    </row>
    <row r="321" spans="1:14">
      <c r="A321">
        <v>320</v>
      </c>
      <c r="B321">
        <v>1177</v>
      </c>
      <c r="C321">
        <v>61</v>
      </c>
      <c r="D321">
        <v>796</v>
      </c>
      <c r="E321">
        <v>88</v>
      </c>
      <c r="G321">
        <f t="shared" si="16"/>
        <v>-2.0910894452286777</v>
      </c>
      <c r="H321">
        <f t="shared" si="17"/>
        <v>-0.89618971364261735</v>
      </c>
      <c r="I321">
        <f t="shared" si="18"/>
        <v>-2.594662549019386</v>
      </c>
      <c r="K321">
        <f t="shared" si="19"/>
        <v>-1.8606472359635602</v>
      </c>
      <c r="M321">
        <v>320</v>
      </c>
      <c r="N321">
        <v>-1.8606472359635602</v>
      </c>
    </row>
    <row r="322" spans="1:14">
      <c r="A322">
        <v>321</v>
      </c>
      <c r="B322">
        <v>1104</v>
      </c>
      <c r="C322">
        <v>5</v>
      </c>
      <c r="D322">
        <v>19</v>
      </c>
      <c r="E322">
        <v>26</v>
      </c>
      <c r="G322">
        <f t="shared" si="16"/>
        <v>-3.1496418864531712</v>
      </c>
      <c r="H322">
        <f t="shared" si="17"/>
        <v>-2.4905417909772027</v>
      </c>
      <c r="I322">
        <f t="shared" si="18"/>
        <v>-3.0963644837484821</v>
      </c>
      <c r="K322">
        <f t="shared" si="19"/>
        <v>-2.912182720392952</v>
      </c>
      <c r="M322">
        <v>321</v>
      </c>
      <c r="N322">
        <v>-2.912182720392952</v>
      </c>
    </row>
    <row r="323" spans="1:14">
      <c r="A323">
        <v>322</v>
      </c>
      <c r="B323">
        <v>1188</v>
      </c>
      <c r="C323">
        <v>242</v>
      </c>
      <c r="D323">
        <v>104</v>
      </c>
      <c r="E323">
        <v>595</v>
      </c>
      <c r="G323">
        <f t="shared" ref="G323:G386" si="20">LOG10(C323/B323)-LOG10(151582/23714)</f>
        <v>-1.4966438920607534</v>
      </c>
      <c r="H323">
        <f t="shared" ref="H323:H386" si="21">LOG10(D323/B323)-LOG10(126279/23714)</f>
        <v>-1.7841094198832459</v>
      </c>
      <c r="I323">
        <f t="shared" ref="I323:I386" si="22">LOG10(E323/B323)-LOG10(697226/23714)</f>
        <v>-1.7686682332427452</v>
      </c>
      <c r="K323">
        <f t="shared" ref="K323:K386" si="23">AVERAGE(G323:I323)</f>
        <v>-1.683140515062248</v>
      </c>
      <c r="M323">
        <v>322</v>
      </c>
      <c r="N323">
        <v>-1.683140515062248</v>
      </c>
    </row>
    <row r="324" spans="1:14">
      <c r="A324">
        <v>323</v>
      </c>
      <c r="B324">
        <v>1120</v>
      </c>
      <c r="C324">
        <v>36</v>
      </c>
      <c r="D324">
        <v>102</v>
      </c>
      <c r="E324">
        <v>130</v>
      </c>
      <c r="G324">
        <f t="shared" si="20"/>
        <v>-2.2985583392989044</v>
      </c>
      <c r="H324">
        <f t="shared" si="21"/>
        <v>-1.7669441694451158</v>
      </c>
      <c r="I324">
        <f t="shared" si="22"/>
        <v>-2.403643428689465</v>
      </c>
      <c r="K324">
        <f t="shared" si="23"/>
        <v>-2.1563819791444949</v>
      </c>
      <c r="M324">
        <v>323</v>
      </c>
      <c r="N324">
        <v>-2.1563819791444949</v>
      </c>
    </row>
    <row r="325" spans="1:14">
      <c r="A325">
        <v>324</v>
      </c>
      <c r="B325">
        <v>624</v>
      </c>
      <c r="C325">
        <v>17</v>
      </c>
      <c r="D325">
        <v>231</v>
      </c>
      <c r="E325">
        <v>665</v>
      </c>
      <c r="G325">
        <f t="shared" si="20"/>
        <v>-2.3703784857001597</v>
      </c>
      <c r="H325">
        <f t="shared" si="21"/>
        <v>-1.1578989283271315</v>
      </c>
      <c r="I325">
        <f t="shared" si="22"/>
        <v>-1.4407317027054394</v>
      </c>
      <c r="K325">
        <f t="shared" si="23"/>
        <v>-1.6563363722442437</v>
      </c>
      <c r="M325">
        <v>324</v>
      </c>
      <c r="N325">
        <v>-1.6563363722442437</v>
      </c>
    </row>
    <row r="326" spans="1:14">
      <c r="A326">
        <v>325</v>
      </c>
      <c r="B326">
        <v>862</v>
      </c>
      <c r="C326">
        <v>49</v>
      </c>
      <c r="D326">
        <v>26</v>
      </c>
      <c r="E326">
        <v>60</v>
      </c>
      <c r="G326">
        <f t="shared" si="20"/>
        <v>-2.0509540031922091</v>
      </c>
      <c r="H326">
        <f t="shared" si="21"/>
        <v>-2.2468602363907464</v>
      </c>
      <c r="I326">
        <f t="shared" si="22"/>
        <v>-2.6257247737671889</v>
      </c>
      <c r="K326">
        <f t="shared" si="23"/>
        <v>-2.3078463377833813</v>
      </c>
      <c r="M326">
        <v>325</v>
      </c>
      <c r="N326">
        <v>-2.3078463377833813</v>
      </c>
    </row>
    <row r="327" spans="1:14">
      <c r="A327">
        <v>326</v>
      </c>
      <c r="B327">
        <v>451</v>
      </c>
      <c r="C327">
        <v>44</v>
      </c>
      <c r="D327">
        <v>260</v>
      </c>
      <c r="E327">
        <v>94</v>
      </c>
      <c r="G327">
        <f t="shared" si="20"/>
        <v>-1.8163666827877831</v>
      </c>
      <c r="H327">
        <f t="shared" si="21"/>
        <v>-0.96552951244399421</v>
      </c>
      <c r="I327">
        <f t="shared" si="22"/>
        <v>-2.1494174466043816</v>
      </c>
      <c r="K327">
        <f t="shared" si="23"/>
        <v>-1.6437712139453862</v>
      </c>
      <c r="M327">
        <v>326</v>
      </c>
      <c r="N327">
        <v>-1.6437712139453862</v>
      </c>
    </row>
    <row r="328" spans="1:14">
      <c r="A328">
        <v>327</v>
      </c>
      <c r="B328">
        <v>429</v>
      </c>
      <c r="C328">
        <v>70</v>
      </c>
      <c r="D328">
        <v>736</v>
      </c>
      <c r="E328">
        <v>347</v>
      </c>
      <c r="G328">
        <f t="shared" si="20"/>
        <v>-1.5930020695664773</v>
      </c>
      <c r="H328">
        <f t="shared" si="21"/>
        <v>-0.49190579638407705</v>
      </c>
      <c r="I328">
        <f t="shared" si="22"/>
        <v>-1.5604965757199705</v>
      </c>
      <c r="K328">
        <f t="shared" si="23"/>
        <v>-1.215134813890175</v>
      </c>
      <c r="M328">
        <v>327</v>
      </c>
      <c r="N328">
        <v>-1.215134813890175</v>
      </c>
    </row>
    <row r="329" spans="1:14">
      <c r="A329">
        <v>328</v>
      </c>
      <c r="B329">
        <v>1224</v>
      </c>
      <c r="C329">
        <v>124</v>
      </c>
      <c r="D329">
        <v>10</v>
      </c>
      <c r="E329">
        <v>10</v>
      </c>
      <c r="G329">
        <f t="shared" si="20"/>
        <v>-1.8000025500433172</v>
      </c>
      <c r="H329">
        <f t="shared" si="21"/>
        <v>-2.814107736346394</v>
      </c>
      <c r="I329">
        <f t="shared" si="22"/>
        <v>-3.5561501761356622</v>
      </c>
      <c r="K329">
        <f t="shared" si="23"/>
        <v>-2.7234201541751246</v>
      </c>
      <c r="M329">
        <v>328</v>
      </c>
      <c r="N329">
        <v>-2.7234201541751246</v>
      </c>
    </row>
    <row r="330" spans="1:14">
      <c r="A330">
        <v>329</v>
      </c>
      <c r="B330">
        <v>726</v>
      </c>
      <c r="C330">
        <v>878</v>
      </c>
      <c r="D330">
        <v>139</v>
      </c>
      <c r="E330">
        <v>999</v>
      </c>
      <c r="G330">
        <f t="shared" si="20"/>
        <v>-0.72308492219000109</v>
      </c>
      <c r="H330">
        <f t="shared" si="21"/>
        <v>-1.4442481389828503</v>
      </c>
      <c r="I330">
        <f t="shared" si="22"/>
        <v>-1.3297398908002314</v>
      </c>
      <c r="K330">
        <f t="shared" si="23"/>
        <v>-1.1656909839910277</v>
      </c>
      <c r="M330">
        <v>329</v>
      </c>
      <c r="N330">
        <v>-1.1656909839910277</v>
      </c>
    </row>
    <row r="331" spans="1:14">
      <c r="A331">
        <v>330</v>
      </c>
      <c r="B331">
        <v>785</v>
      </c>
      <c r="C331">
        <v>6</v>
      </c>
      <c r="D331">
        <v>29</v>
      </c>
      <c r="E331">
        <v>13</v>
      </c>
      <c r="G331">
        <f t="shared" si="20"/>
        <v>-2.9223612237576191</v>
      </c>
      <c r="H331">
        <f t="shared" si="21"/>
        <v>-2.158797977383148</v>
      </c>
      <c r="I331">
        <f t="shared" si="22"/>
        <v>-3.2492950627645358</v>
      </c>
      <c r="K331">
        <f t="shared" si="23"/>
        <v>-2.7768180879684343</v>
      </c>
      <c r="M331">
        <v>330</v>
      </c>
      <c r="N331">
        <v>-2.7768180879684343</v>
      </c>
    </row>
    <row r="332" spans="1:14">
      <c r="A332">
        <v>331</v>
      </c>
      <c r="B332">
        <v>888</v>
      </c>
      <c r="C332">
        <v>48</v>
      </c>
      <c r="D332">
        <v>115</v>
      </c>
      <c r="E332">
        <v>36</v>
      </c>
      <c r="G332">
        <f t="shared" si="20"/>
        <v>-2.0728145457990239</v>
      </c>
      <c r="H332">
        <f t="shared" si="21"/>
        <v>-1.6140414439618409</v>
      </c>
      <c r="I332">
        <f t="shared" si="22"/>
        <v>-2.8604792233374337</v>
      </c>
      <c r="K332">
        <f t="shared" si="23"/>
        <v>-2.1824450710327663</v>
      </c>
      <c r="M332">
        <v>331</v>
      </c>
      <c r="N332">
        <v>-2.1824450710327663</v>
      </c>
    </row>
    <row r="333" spans="1:14">
      <c r="A333">
        <v>332</v>
      </c>
      <c r="B333">
        <v>679</v>
      </c>
      <c r="C333">
        <v>17</v>
      </c>
      <c r="D333">
        <v>63</v>
      </c>
      <c r="E333">
        <v>52</v>
      </c>
      <c r="G333">
        <f t="shared" si="20"/>
        <v>-2.4070636702982378</v>
      </c>
      <c r="H333">
        <f t="shared" si="21"/>
        <v>-1.7588555433637718</v>
      </c>
      <c r="I333">
        <f t="shared" si="22"/>
        <v>-2.5842351889718227</v>
      </c>
      <c r="K333">
        <f t="shared" si="23"/>
        <v>-2.2500514675446106</v>
      </c>
      <c r="M333">
        <v>332</v>
      </c>
      <c r="N333">
        <v>-2.2500514675446106</v>
      </c>
    </row>
    <row r="334" spans="1:14">
      <c r="A334">
        <v>333</v>
      </c>
      <c r="B334">
        <v>704</v>
      </c>
      <c r="C334">
        <v>210</v>
      </c>
      <c r="D334">
        <v>4074</v>
      </c>
      <c r="E334">
        <v>71</v>
      </c>
      <c r="G334">
        <f t="shared" si="20"/>
        <v>-1.3309961818042029</v>
      </c>
      <c r="H334">
        <f t="shared" si="21"/>
        <v>3.61220469851814E-2</v>
      </c>
      <c r="I334">
        <f t="shared" si="22"/>
        <v>-2.464683068749157</v>
      </c>
      <c r="K334">
        <f t="shared" si="23"/>
        <v>-1.2531857345227262</v>
      </c>
      <c r="M334">
        <v>333</v>
      </c>
      <c r="N334">
        <v>-1.2531857345227262</v>
      </c>
    </row>
    <row r="335" spans="1:14">
      <c r="A335">
        <v>334</v>
      </c>
      <c r="B335">
        <v>629</v>
      </c>
      <c r="C335">
        <v>99</v>
      </c>
      <c r="D335">
        <v>35</v>
      </c>
      <c r="E335">
        <v>142</v>
      </c>
      <c r="G335">
        <f t="shared" si="20"/>
        <v>-1.6086582682437289</v>
      </c>
      <c r="H335">
        <f t="shared" si="21"/>
        <v>-1.9809089196318448</v>
      </c>
      <c r="I335">
        <f t="shared" si="22"/>
        <v>-2.1147310593883324</v>
      </c>
      <c r="K335">
        <f t="shared" si="23"/>
        <v>-1.9014327490879686</v>
      </c>
      <c r="M335">
        <v>334</v>
      </c>
      <c r="N335">
        <v>-1.9014327490879686</v>
      </c>
    </row>
    <row r="336" spans="1:14">
      <c r="A336">
        <v>335</v>
      </c>
      <c r="B336">
        <v>1139</v>
      </c>
      <c r="C336">
        <v>8</v>
      </c>
      <c r="D336">
        <v>6</v>
      </c>
      <c r="E336">
        <v>15</v>
      </c>
      <c r="G336">
        <f t="shared" si="20"/>
        <v>-2.9590765544831665</v>
      </c>
      <c r="H336">
        <f t="shared" si="21"/>
        <v>-3.0046987922323085</v>
      </c>
      <c r="I336">
        <f t="shared" si="22"/>
        <v>-3.3488012233495392</v>
      </c>
      <c r="K336">
        <f t="shared" si="23"/>
        <v>-3.1041921900216711</v>
      </c>
      <c r="M336">
        <v>335</v>
      </c>
      <c r="N336">
        <v>-3.1041921900216711</v>
      </c>
    </row>
    <row r="337" spans="1:14">
      <c r="A337">
        <v>336</v>
      </c>
      <c r="B337">
        <v>1264</v>
      </c>
      <c r="C337">
        <v>29</v>
      </c>
      <c r="D337">
        <v>77</v>
      </c>
      <c r="E337">
        <v>149</v>
      </c>
      <c r="G337">
        <f t="shared" si="20"/>
        <v>-2.4449918934434201</v>
      </c>
      <c r="H337">
        <f t="shared" si="21"/>
        <v>-1.9415826673107359</v>
      </c>
      <c r="I337">
        <f t="shared" si="22"/>
        <v>-2.3969295638602119</v>
      </c>
      <c r="K337">
        <f t="shared" si="23"/>
        <v>-2.2611680415381223</v>
      </c>
      <c r="M337">
        <v>336</v>
      </c>
      <c r="N337">
        <v>-2.2611680415381223</v>
      </c>
    </row>
    <row r="338" spans="1:14">
      <c r="A338">
        <v>337</v>
      </c>
      <c r="B338">
        <v>562</v>
      </c>
      <c r="C338">
        <v>8</v>
      </c>
      <c r="D338">
        <v>5</v>
      </c>
      <c r="E338">
        <v>0</v>
      </c>
      <c r="G338">
        <f t="shared" si="20"/>
        <v>-2.6522891459731275</v>
      </c>
      <c r="H338">
        <f t="shared" si="21"/>
        <v>-2.7770926297698941</v>
      </c>
      <c r="I338" t="e">
        <f t="shared" si="22"/>
        <v>#NUM!</v>
      </c>
      <c r="K338" t="e">
        <f t="shared" si="23"/>
        <v>#NUM!</v>
      </c>
      <c r="M338">
        <v>337</v>
      </c>
      <c r="N338">
        <v>-3</v>
      </c>
    </row>
    <row r="339" spans="1:14">
      <c r="A339">
        <v>338</v>
      </c>
      <c r="B339">
        <v>817</v>
      </c>
      <c r="C339">
        <v>51</v>
      </c>
      <c r="D339">
        <v>60</v>
      </c>
      <c r="E339">
        <v>76</v>
      </c>
      <c r="G339">
        <f t="shared" si="20"/>
        <v>-2.010294697830489</v>
      </c>
      <c r="H339">
        <f t="shared" si="21"/>
        <v>-1.8603971246856235</v>
      </c>
      <c r="I339">
        <f t="shared" si="22"/>
        <v>-2.4997772225777442</v>
      </c>
      <c r="K339">
        <f t="shared" si="23"/>
        <v>-2.123489681697952</v>
      </c>
      <c r="M339">
        <v>338</v>
      </c>
      <c r="N339">
        <v>-2.123489681697952</v>
      </c>
    </row>
    <row r="340" spans="1:14">
      <c r="A340">
        <v>339</v>
      </c>
      <c r="B340">
        <v>921</v>
      </c>
      <c r="C340">
        <v>19</v>
      </c>
      <c r="D340">
        <v>12</v>
      </c>
      <c r="E340">
        <v>21</v>
      </c>
      <c r="G340">
        <f t="shared" si="20"/>
        <v>-2.49114884664003</v>
      </c>
      <c r="H340">
        <f t="shared" si="21"/>
        <v>-2.6114047026860758</v>
      </c>
      <c r="I340">
        <f t="shared" si="22"/>
        <v>-3.1104090937890496</v>
      </c>
      <c r="K340">
        <f t="shared" si="23"/>
        <v>-2.7376542143717182</v>
      </c>
      <c r="M340">
        <v>339</v>
      </c>
      <c r="N340">
        <v>-2.7376542143717182</v>
      </c>
    </row>
    <row r="341" spans="1:14">
      <c r="A341">
        <v>340</v>
      </c>
      <c r="B341">
        <v>1032</v>
      </c>
      <c r="C341">
        <v>146</v>
      </c>
      <c r="D341">
        <v>25</v>
      </c>
      <c r="E341">
        <v>69</v>
      </c>
      <c r="G341">
        <f t="shared" si="20"/>
        <v>-1.6549696589027654</v>
      </c>
      <c r="H341">
        <f t="shared" si="21"/>
        <v>-2.3420660071560064</v>
      </c>
      <c r="I341">
        <f t="shared" si="22"/>
        <v>-2.6431993648800574</v>
      </c>
      <c r="K341">
        <f t="shared" si="23"/>
        <v>-2.2134116769796095</v>
      </c>
      <c r="M341">
        <v>340</v>
      </c>
      <c r="N341">
        <v>-2.2134116769796095</v>
      </c>
    </row>
    <row r="342" spans="1:14">
      <c r="A342">
        <v>341</v>
      </c>
      <c r="B342">
        <v>368</v>
      </c>
      <c r="C342">
        <v>97</v>
      </c>
      <c r="D342">
        <v>42</v>
      </c>
      <c r="E342">
        <v>138</v>
      </c>
      <c r="G342">
        <f t="shared" si="20"/>
        <v>-1.3847189018032826</v>
      </c>
      <c r="H342">
        <f t="shared" si="21"/>
        <v>-1.6689248468124689</v>
      </c>
      <c r="I342">
        <f t="shared" si="22"/>
        <v>-1.8943374905984012</v>
      </c>
      <c r="K342">
        <f t="shared" si="23"/>
        <v>-1.649327079738051</v>
      </c>
      <c r="M342">
        <v>341</v>
      </c>
      <c r="N342">
        <v>-1.649327079738051</v>
      </c>
    </row>
    <row r="343" spans="1:14">
      <c r="A343">
        <v>342</v>
      </c>
      <c r="B343">
        <v>817</v>
      </c>
      <c r="C343">
        <v>52</v>
      </c>
      <c r="D343">
        <v>30</v>
      </c>
      <c r="E343">
        <v>91</v>
      </c>
      <c r="G343">
        <f t="shared" si="20"/>
        <v>-2.0018615302936262</v>
      </c>
      <c r="H343">
        <f t="shared" si="21"/>
        <v>-2.1614271203496047</v>
      </c>
      <c r="I343">
        <f t="shared" si="22"/>
        <v>-2.4215494225374421</v>
      </c>
      <c r="K343">
        <f t="shared" si="23"/>
        <v>-2.1949460243935577</v>
      </c>
      <c r="M343">
        <v>342</v>
      </c>
      <c r="N343">
        <v>-2.1949460243935577</v>
      </c>
    </row>
    <row r="344" spans="1:14">
      <c r="A344">
        <v>343</v>
      </c>
      <c r="B344">
        <v>915</v>
      </c>
      <c r="C344">
        <v>128</v>
      </c>
      <c r="D344">
        <v>38</v>
      </c>
      <c r="E344">
        <v>62</v>
      </c>
      <c r="G344">
        <f t="shared" si="20"/>
        <v>-1.6598539418145899</v>
      </c>
      <c r="H344">
        <f t="shared" si="21"/>
        <v>-2.1079638159864897</v>
      </c>
      <c r="I344">
        <f t="shared" si="22"/>
        <v>-2.6373981628943142</v>
      </c>
      <c r="K344">
        <f t="shared" si="23"/>
        <v>-2.1350719735651311</v>
      </c>
      <c r="M344">
        <v>343</v>
      </c>
      <c r="N344">
        <v>-2.1350719735651311</v>
      </c>
    </row>
    <row r="345" spans="1:14">
      <c r="A345">
        <v>344</v>
      </c>
      <c r="B345">
        <v>703</v>
      </c>
      <c r="C345">
        <v>10</v>
      </c>
      <c r="D345">
        <v>74</v>
      </c>
      <c r="E345">
        <v>515</v>
      </c>
      <c r="G345">
        <f t="shared" si="20"/>
        <v>-2.652598142415834</v>
      </c>
      <c r="H345">
        <f t="shared" si="21"/>
        <v>-1.7040499238256994</v>
      </c>
      <c r="I345">
        <f t="shared" si="22"/>
        <v>-1.6035168543047529</v>
      </c>
      <c r="K345">
        <f t="shared" si="23"/>
        <v>-1.9867216401820953</v>
      </c>
      <c r="M345">
        <v>344</v>
      </c>
      <c r="N345">
        <v>-1.9867216401820953</v>
      </c>
    </row>
    <row r="346" spans="1:14">
      <c r="A346">
        <v>345</v>
      </c>
      <c r="B346">
        <v>1248</v>
      </c>
      <c r="C346">
        <v>30</v>
      </c>
      <c r="D346">
        <v>63</v>
      </c>
      <c r="E346">
        <v>23</v>
      </c>
      <c r="G346">
        <f t="shared" si="20"/>
        <v>-2.4247361480227525</v>
      </c>
      <c r="H346">
        <f t="shared" si="21"/>
        <v>-2.0232003544296751</v>
      </c>
      <c r="I346">
        <f t="shared" si="22"/>
        <v>-3.2028555076549323</v>
      </c>
      <c r="K346">
        <f t="shared" si="23"/>
        <v>-2.55026400336912</v>
      </c>
      <c r="M346">
        <v>345</v>
      </c>
      <c r="N346">
        <v>-2.55026400336912</v>
      </c>
    </row>
    <row r="347" spans="1:14">
      <c r="A347">
        <v>346</v>
      </c>
      <c r="B347">
        <v>1127</v>
      </c>
      <c r="C347">
        <v>16</v>
      </c>
      <c r="D347">
        <v>19</v>
      </c>
      <c r="E347">
        <v>15</v>
      </c>
      <c r="G347">
        <f t="shared" si="20"/>
        <v>-2.6534467507861916</v>
      </c>
      <c r="H347">
        <f t="shared" si="21"/>
        <v>-2.4994966336301294</v>
      </c>
      <c r="I347">
        <f t="shared" si="22"/>
        <v>-3.3442014153165456</v>
      </c>
      <c r="K347">
        <f t="shared" si="23"/>
        <v>-2.8323815999109558</v>
      </c>
      <c r="M347">
        <v>346</v>
      </c>
      <c r="N347">
        <v>-2.8323815999109558</v>
      </c>
    </row>
    <row r="348" spans="1:14">
      <c r="A348">
        <v>347</v>
      </c>
      <c r="B348">
        <v>767</v>
      </c>
      <c r="C348">
        <v>20</v>
      </c>
      <c r="D348">
        <v>75</v>
      </c>
      <c r="E348">
        <v>29</v>
      </c>
      <c r="G348">
        <f t="shared" si="20"/>
        <v>-2.3894081856810097</v>
      </c>
      <c r="H348">
        <f t="shared" si="21"/>
        <v>-1.7360604190941324</v>
      </c>
      <c r="I348">
        <f t="shared" si="22"/>
        <v>-2.8907661243761451</v>
      </c>
      <c r="K348">
        <f t="shared" si="23"/>
        <v>-2.3387449097170956</v>
      </c>
      <c r="M348">
        <v>347</v>
      </c>
      <c r="N348">
        <v>-2.3387449097170956</v>
      </c>
    </row>
    <row r="349" spans="1:14">
      <c r="A349">
        <v>348</v>
      </c>
      <c r="B349">
        <v>711</v>
      </c>
      <c r="C349">
        <v>119</v>
      </c>
      <c r="D349">
        <v>38</v>
      </c>
      <c r="E349">
        <v>68</v>
      </c>
      <c r="G349">
        <f t="shared" si="20"/>
        <v>-1.5819654567332455</v>
      </c>
      <c r="H349">
        <f t="shared" si="21"/>
        <v>-1.9984123226498078</v>
      </c>
      <c r="I349">
        <f t="shared" si="22"/>
        <v>-2.48772944634965</v>
      </c>
      <c r="K349">
        <f t="shared" si="23"/>
        <v>-2.0227024085775676</v>
      </c>
      <c r="M349">
        <v>348</v>
      </c>
      <c r="N349">
        <v>-2.0227024085775676</v>
      </c>
    </row>
    <row r="350" spans="1:14">
      <c r="A350">
        <v>349</v>
      </c>
      <c r="B350">
        <v>1015</v>
      </c>
      <c r="C350">
        <v>8</v>
      </c>
      <c r="D350">
        <v>4</v>
      </c>
      <c r="E350">
        <v>31</v>
      </c>
      <c r="G350">
        <f t="shared" si="20"/>
        <v>-2.9090188726532977</v>
      </c>
      <c r="H350">
        <f t="shared" si="21"/>
        <v>-3.1307323694581211</v>
      </c>
      <c r="I350">
        <f t="shared" si="22"/>
        <v>-2.9834731067410791</v>
      </c>
      <c r="K350">
        <f t="shared" si="23"/>
        <v>-3.0077414496174995</v>
      </c>
      <c r="M350">
        <v>349</v>
      </c>
      <c r="N350">
        <v>-3.0077414496174995</v>
      </c>
    </row>
    <row r="351" spans="1:14">
      <c r="A351">
        <v>350</v>
      </c>
      <c r="B351">
        <v>992</v>
      </c>
      <c r="C351">
        <v>35</v>
      </c>
      <c r="D351">
        <v>6</v>
      </c>
      <c r="E351">
        <v>26</v>
      </c>
      <c r="G351">
        <f t="shared" si="20"/>
        <v>-2.258086445199913</v>
      </c>
      <c r="H351">
        <f t="shared" si="21"/>
        <v>-2.9446867403073869</v>
      </c>
      <c r="I351">
        <f t="shared" si="22"/>
        <v>-3.0499070825094807</v>
      </c>
      <c r="K351">
        <f t="shared" si="23"/>
        <v>-2.7508934226722599</v>
      </c>
      <c r="M351">
        <v>350</v>
      </c>
      <c r="N351">
        <v>-2.7508934226722599</v>
      </c>
    </row>
    <row r="352" spans="1:14">
      <c r="A352">
        <v>351</v>
      </c>
      <c r="B352">
        <v>664</v>
      </c>
      <c r="C352">
        <v>5</v>
      </c>
      <c r="D352">
        <v>14</v>
      </c>
      <c r="E352">
        <v>46</v>
      </c>
      <c r="G352">
        <f t="shared" si="20"/>
        <v>-2.9288408924280089</v>
      </c>
      <c r="H352">
        <f t="shared" si="21"/>
        <v>-2.4023663622266311</v>
      </c>
      <c r="I352">
        <f t="shared" si="22"/>
        <v>-2.6277790060125632</v>
      </c>
      <c r="K352">
        <f t="shared" si="23"/>
        <v>-2.6529954202224011</v>
      </c>
      <c r="M352">
        <v>351</v>
      </c>
      <c r="N352">
        <v>-2.6529954202224011</v>
      </c>
    </row>
    <row r="353" spans="1:14">
      <c r="A353">
        <v>352</v>
      </c>
      <c r="B353">
        <v>399</v>
      </c>
      <c r="C353">
        <v>182</v>
      </c>
      <c r="D353">
        <v>127</v>
      </c>
      <c r="E353">
        <v>186</v>
      </c>
      <c r="G353">
        <f t="shared" si="20"/>
        <v>-1.1465443250976834</v>
      </c>
      <c r="H353">
        <f t="shared" si="21"/>
        <v>-1.223495493267643</v>
      </c>
      <c r="I353">
        <f t="shared" si="22"/>
        <v>-1.7998287097949519</v>
      </c>
      <c r="K353">
        <f t="shared" si="23"/>
        <v>-1.389956176053426</v>
      </c>
      <c r="M353">
        <v>352</v>
      </c>
      <c r="N353">
        <v>-1.389956176053426</v>
      </c>
    </row>
    <row r="354" spans="1:14">
      <c r="A354">
        <v>353</v>
      </c>
      <c r="B354">
        <v>1107</v>
      </c>
      <c r="C354">
        <v>14</v>
      </c>
      <c r="D354">
        <v>21</v>
      </c>
      <c r="E354">
        <v>11</v>
      </c>
      <c r="G354">
        <f t="shared" si="20"/>
        <v>-2.7036624025964948</v>
      </c>
      <c r="H354">
        <f t="shared" si="21"/>
        <v>-2.4482546446816551</v>
      </c>
      <c r="I354">
        <f t="shared" si="22"/>
        <v>-3.4711236940466179</v>
      </c>
      <c r="K354">
        <f t="shared" si="23"/>
        <v>-2.8743469137749229</v>
      </c>
      <c r="M354">
        <v>353</v>
      </c>
      <c r="N354">
        <v>-2.8743469137749229</v>
      </c>
    </row>
    <row r="355" spans="1:14">
      <c r="A355">
        <v>354</v>
      </c>
      <c r="B355">
        <v>1364</v>
      </c>
      <c r="C355">
        <v>19</v>
      </c>
      <c r="D355">
        <v>19</v>
      </c>
      <c r="E355">
        <v>28</v>
      </c>
      <c r="G355">
        <f t="shared" si="20"/>
        <v>-2.6617035867636414</v>
      </c>
      <c r="H355">
        <f t="shared" si="21"/>
        <v>-2.582387087904483</v>
      </c>
      <c r="I355">
        <f t="shared" si="22"/>
        <v>-3.1560250973043606</v>
      </c>
      <c r="K355">
        <f t="shared" si="23"/>
        <v>-2.8000385906574947</v>
      </c>
      <c r="M355">
        <v>354</v>
      </c>
      <c r="N355">
        <v>-2.8000385906574947</v>
      </c>
    </row>
    <row r="356" spans="1:14">
      <c r="A356">
        <v>355</v>
      </c>
      <c r="B356">
        <v>904</v>
      </c>
      <c r="C356">
        <v>20</v>
      </c>
      <c r="D356">
        <v>68</v>
      </c>
      <c r="E356">
        <v>92</v>
      </c>
      <c r="G356">
        <f t="shared" si="20"/>
        <v>-2.4607812522073917</v>
      </c>
      <c r="H356">
        <f t="shared" si="21"/>
        <v>-1.8499858363059785</v>
      </c>
      <c r="I356">
        <f t="shared" si="22"/>
        <v>-2.4607493614559282</v>
      </c>
      <c r="K356">
        <f t="shared" si="23"/>
        <v>-2.2571721499897661</v>
      </c>
      <c r="M356">
        <v>355</v>
      </c>
      <c r="N356">
        <v>-2.2571721499897661</v>
      </c>
    </row>
    <row r="357" spans="1:14">
      <c r="A357">
        <v>356</v>
      </c>
      <c r="B357">
        <v>1102</v>
      </c>
      <c r="C357">
        <v>11</v>
      </c>
      <c r="D357">
        <v>8</v>
      </c>
      <c r="E357">
        <v>21</v>
      </c>
      <c r="G357">
        <f t="shared" si="20"/>
        <v>-2.8064317267535515</v>
      </c>
      <c r="H357">
        <f t="shared" si="21"/>
        <v>-2.8654179260606747</v>
      </c>
      <c r="I357">
        <f t="shared" si="22"/>
        <v>-3.1883310581079671</v>
      </c>
      <c r="K357">
        <f t="shared" si="23"/>
        <v>-2.9533935703073979</v>
      </c>
      <c r="M357">
        <v>356</v>
      </c>
      <c r="N357">
        <v>-2.9533935703073979</v>
      </c>
    </row>
    <row r="358" spans="1:14">
      <c r="A358">
        <v>357</v>
      </c>
      <c r="B358">
        <v>1223</v>
      </c>
      <c r="C358">
        <v>298</v>
      </c>
      <c r="D358">
        <v>396</v>
      </c>
      <c r="E358">
        <v>186</v>
      </c>
      <c r="G358">
        <f t="shared" si="20"/>
        <v>-1.4188530103560402</v>
      </c>
      <c r="H358">
        <f t="shared" si="21"/>
        <v>-1.2160575896476249</v>
      </c>
      <c r="I358">
        <f t="shared" si="22"/>
        <v>-2.286282271144489</v>
      </c>
      <c r="K358">
        <f t="shared" si="23"/>
        <v>-1.6403976237160514</v>
      </c>
      <c r="M358">
        <v>357</v>
      </c>
      <c r="N358">
        <v>-1.6403976237160514</v>
      </c>
    </row>
    <row r="359" spans="1:14">
      <c r="A359">
        <v>358</v>
      </c>
      <c r="B359">
        <v>788</v>
      </c>
      <c r="C359">
        <v>469</v>
      </c>
      <c r="D359">
        <v>129</v>
      </c>
      <c r="E359">
        <v>661</v>
      </c>
      <c r="G359">
        <f t="shared" si="20"/>
        <v>-1.030996192170482</v>
      </c>
      <c r="H359">
        <f t="shared" si="21"/>
        <v>-1.512262825727158</v>
      </c>
      <c r="I359">
        <f t="shared" si="22"/>
        <v>-1.544693516330035</v>
      </c>
      <c r="K359">
        <f t="shared" si="23"/>
        <v>-1.3626508447425583</v>
      </c>
      <c r="M359">
        <v>358</v>
      </c>
      <c r="N359">
        <v>-1.3626508447425583</v>
      </c>
    </row>
    <row r="360" spans="1:14">
      <c r="A360">
        <v>359</v>
      </c>
      <c r="B360">
        <v>655</v>
      </c>
      <c r="C360">
        <v>32</v>
      </c>
      <c r="D360">
        <v>70</v>
      </c>
      <c r="E360">
        <v>24</v>
      </c>
      <c r="G360">
        <f t="shared" si="20"/>
        <v>-2.1167341390678871</v>
      </c>
      <c r="H360">
        <f t="shared" si="21"/>
        <v>-1.6974695785143781</v>
      </c>
      <c r="I360">
        <f t="shared" si="22"/>
        <v>-2.9043988166062968</v>
      </c>
      <c r="K360">
        <f t="shared" si="23"/>
        <v>-2.2395341780628542</v>
      </c>
      <c r="M360">
        <v>359</v>
      </c>
      <c r="N360">
        <v>-2.2395341780628542</v>
      </c>
    </row>
    <row r="361" spans="1:14">
      <c r="A361">
        <v>360</v>
      </c>
      <c r="B361">
        <v>564</v>
      </c>
      <c r="C361">
        <v>75</v>
      </c>
      <c r="D361">
        <v>19</v>
      </c>
      <c r="E361">
        <v>185</v>
      </c>
      <c r="G361">
        <f t="shared" si="20"/>
        <v>-1.6818606579876523</v>
      </c>
      <c r="H361">
        <f t="shared" si="21"/>
        <v>-2.1988518215673651</v>
      </c>
      <c r="I361">
        <f t="shared" si="22"/>
        <v>-1.9524761339064485</v>
      </c>
      <c r="K361">
        <f t="shared" si="23"/>
        <v>-1.9443962044871554</v>
      </c>
      <c r="M361">
        <v>360</v>
      </c>
      <c r="N361">
        <v>-1.9443962044871554</v>
      </c>
    </row>
    <row r="362" spans="1:14">
      <c r="A362">
        <v>361</v>
      </c>
      <c r="B362">
        <v>702</v>
      </c>
      <c r="C362">
        <v>28</v>
      </c>
      <c r="D362">
        <v>41</v>
      </c>
      <c r="E362">
        <v>20</v>
      </c>
      <c r="G362">
        <f t="shared" si="20"/>
        <v>-2.2048218981835959</v>
      </c>
      <c r="H362">
        <f t="shared" si="21"/>
        <v>-1.9598795739469215</v>
      </c>
      <c r="I362">
        <f t="shared" si="22"/>
        <v>-3.0136758747919439</v>
      </c>
      <c r="K362">
        <f t="shared" si="23"/>
        <v>-2.3927924489741534</v>
      </c>
      <c r="M362">
        <v>361</v>
      </c>
      <c r="N362">
        <v>-2.3927924489741534</v>
      </c>
    </row>
    <row r="363" spans="1:14">
      <c r="A363">
        <v>362</v>
      </c>
      <c r="B363">
        <v>762</v>
      </c>
      <c r="C363">
        <v>2667</v>
      </c>
      <c r="D363">
        <v>372</v>
      </c>
      <c r="E363">
        <v>1009</v>
      </c>
      <c r="G363">
        <f t="shared" si="20"/>
        <v>-0.26157477304573429</v>
      </c>
      <c r="H363">
        <f t="shared" si="21"/>
        <v>-1.0377383499945547</v>
      </c>
      <c r="I363">
        <f t="shared" si="22"/>
        <v>-1.3464325634288099</v>
      </c>
      <c r="K363">
        <f t="shared" si="23"/>
        <v>-0.88191522882303308</v>
      </c>
      <c r="M363">
        <v>362</v>
      </c>
      <c r="N363">
        <v>-0.88191522882303308</v>
      </c>
    </row>
    <row r="364" spans="1:14">
      <c r="A364">
        <v>363</v>
      </c>
      <c r="B364">
        <v>998</v>
      </c>
      <c r="C364">
        <v>29</v>
      </c>
      <c r="D364">
        <v>8</v>
      </c>
      <c r="E364">
        <v>24</v>
      </c>
      <c r="G364">
        <f t="shared" si="20"/>
        <v>-2.3423753607844251</v>
      </c>
      <c r="H364">
        <f t="shared" si="21"/>
        <v>-2.8223668728322795</v>
      </c>
      <c r="I364">
        <f t="shared" si="22"/>
        <v>-3.0872880579018851</v>
      </c>
      <c r="K364">
        <f t="shared" si="23"/>
        <v>-2.7506767638395302</v>
      </c>
      <c r="M364">
        <v>363</v>
      </c>
      <c r="N364">
        <v>-2.7506767638395302</v>
      </c>
    </row>
    <row r="365" spans="1:14">
      <c r="A365">
        <v>364</v>
      </c>
      <c r="B365">
        <v>941</v>
      </c>
      <c r="C365">
        <v>39</v>
      </c>
      <c r="D365">
        <v>39</v>
      </c>
      <c r="E365">
        <v>24</v>
      </c>
      <c r="G365">
        <f t="shared" si="20"/>
        <v>-2.1881678337967676</v>
      </c>
      <c r="H365">
        <f t="shared" si="21"/>
        <v>-2.1088513349376092</v>
      </c>
      <c r="I365">
        <f t="shared" si="22"/>
        <v>-3.0617471400417706</v>
      </c>
      <c r="K365">
        <f t="shared" si="23"/>
        <v>-2.4529221029253825</v>
      </c>
      <c r="M365">
        <v>364</v>
      </c>
      <c r="N365">
        <v>-2.4529221029253825</v>
      </c>
    </row>
    <row r="366" spans="1:14">
      <c r="A366">
        <v>365</v>
      </c>
      <c r="B366">
        <v>752</v>
      </c>
      <c r="C366">
        <v>26</v>
      </c>
      <c r="D366">
        <v>9</v>
      </c>
      <c r="E366">
        <v>27</v>
      </c>
      <c r="G366">
        <f t="shared" si="20"/>
        <v>-2.2668873100168341</v>
      </c>
      <c r="H366">
        <f t="shared" si="21"/>
        <v>-2.6483016496891691</v>
      </c>
      <c r="I366">
        <f t="shared" si="22"/>
        <v>-2.9132228347587752</v>
      </c>
      <c r="K366">
        <f t="shared" si="23"/>
        <v>-2.609470598154926</v>
      </c>
      <c r="M366">
        <v>365</v>
      </c>
      <c r="N366">
        <v>-2.609470598154926</v>
      </c>
    </row>
    <row r="367" spans="1:14">
      <c r="A367">
        <v>366</v>
      </c>
      <c r="B367">
        <v>926</v>
      </c>
      <c r="C367">
        <v>42</v>
      </c>
      <c r="D367">
        <v>61</v>
      </c>
      <c r="E367">
        <v>143</v>
      </c>
      <c r="G367">
        <f t="shared" si="20"/>
        <v>-2.149004513680044</v>
      </c>
      <c r="H367">
        <f t="shared" si="21"/>
        <v>-1.9076074702080188</v>
      </c>
      <c r="I367">
        <f t="shared" si="22"/>
        <v>-2.2796437075429923</v>
      </c>
      <c r="K367">
        <f t="shared" si="23"/>
        <v>-2.1120852304770183</v>
      </c>
      <c r="M367">
        <v>366</v>
      </c>
      <c r="N367">
        <v>-2.1120852304770183</v>
      </c>
    </row>
    <row r="368" spans="1:14">
      <c r="A368">
        <v>367</v>
      </c>
      <c r="B368">
        <v>396</v>
      </c>
      <c r="C368">
        <v>17</v>
      </c>
      <c r="D368">
        <v>4</v>
      </c>
      <c r="E368">
        <v>13</v>
      </c>
      <c r="G368">
        <f t="shared" si="20"/>
        <v>-2.1728890819432483</v>
      </c>
      <c r="H368">
        <f t="shared" si="21"/>
        <v>-2.7219615131344015</v>
      </c>
      <c r="I368">
        <f t="shared" si="22"/>
        <v>-2.9521205919447953</v>
      </c>
      <c r="K368">
        <f t="shared" si="23"/>
        <v>-2.6156570623408149</v>
      </c>
      <c r="M368">
        <v>367</v>
      </c>
      <c r="N368">
        <v>-2.6156570623408149</v>
      </c>
    </row>
    <row r="369" spans="1:14">
      <c r="A369">
        <v>368</v>
      </c>
      <c r="B369">
        <v>941</v>
      </c>
      <c r="C369">
        <v>37</v>
      </c>
      <c r="D369">
        <v>10</v>
      </c>
      <c r="E369">
        <v>19</v>
      </c>
      <c r="G369">
        <f t="shared" si="20"/>
        <v>-2.2110307167562722</v>
      </c>
      <c r="H369">
        <f t="shared" si="21"/>
        <v>-2.6999159419641088</v>
      </c>
      <c r="I369">
        <f t="shared" si="22"/>
        <v>-3.1632047808005481</v>
      </c>
      <c r="K369">
        <f t="shared" si="23"/>
        <v>-2.6913838131736427</v>
      </c>
      <c r="M369">
        <v>368</v>
      </c>
      <c r="N369">
        <v>-2.6913838131736427</v>
      </c>
    </row>
    <row r="370" spans="1:14">
      <c r="A370">
        <v>369</v>
      </c>
      <c r="B370">
        <v>613</v>
      </c>
      <c r="C370">
        <v>6</v>
      </c>
      <c r="D370">
        <v>33</v>
      </c>
      <c r="E370">
        <v>12</v>
      </c>
      <c r="G370">
        <f t="shared" si="20"/>
        <v>-2.8149520415307814</v>
      </c>
      <c r="H370">
        <f t="shared" si="21"/>
        <v>-1.9952728531773793</v>
      </c>
      <c r="I370">
        <f t="shared" si="22"/>
        <v>-3.17664798679691</v>
      </c>
      <c r="K370">
        <f t="shared" si="23"/>
        <v>-2.6622909605016902</v>
      </c>
      <c r="M370">
        <v>369</v>
      </c>
      <c r="N370">
        <v>-2.6622909605016902</v>
      </c>
    </row>
    <row r="371" spans="1:14">
      <c r="A371">
        <v>370</v>
      </c>
      <c r="B371">
        <v>723</v>
      </c>
      <c r="C371">
        <v>24</v>
      </c>
      <c r="D371">
        <v>13</v>
      </c>
      <c r="E371">
        <v>10</v>
      </c>
      <c r="G371">
        <f t="shared" si="20"/>
        <v>-2.2845698729789348</v>
      </c>
      <c r="H371">
        <f t="shared" si="21"/>
        <v>-2.4715212635245458</v>
      </c>
      <c r="I371">
        <f t="shared" si="22"/>
        <v>-3.327507055620651</v>
      </c>
      <c r="K371">
        <f t="shared" si="23"/>
        <v>-2.694532730708044</v>
      </c>
      <c r="M371">
        <v>370</v>
      </c>
      <c r="N371">
        <v>-2.694532730708044</v>
      </c>
    </row>
    <row r="372" spans="1:14">
      <c r="A372">
        <v>371</v>
      </c>
      <c r="B372">
        <v>862</v>
      </c>
      <c r="C372">
        <v>8</v>
      </c>
      <c r="D372">
        <v>190</v>
      </c>
      <c r="E372">
        <v>28</v>
      </c>
      <c r="G372">
        <f t="shared" si="20"/>
        <v>-2.8380600962287792</v>
      </c>
      <c r="H372">
        <f t="shared" si="21"/>
        <v>-1.3830799834087355</v>
      </c>
      <c r="I372">
        <f t="shared" si="22"/>
        <v>-2.9567179928086134</v>
      </c>
      <c r="K372">
        <f t="shared" si="23"/>
        <v>-2.3926193574820425</v>
      </c>
      <c r="M372">
        <v>371</v>
      </c>
      <c r="N372">
        <v>-2.3926193574820425</v>
      </c>
    </row>
    <row r="373" spans="1:14">
      <c r="A373">
        <v>372</v>
      </c>
      <c r="B373">
        <v>619</v>
      </c>
      <c r="C373">
        <v>313</v>
      </c>
      <c r="D373">
        <v>31</v>
      </c>
      <c r="E373">
        <v>44</v>
      </c>
      <c r="G373">
        <f t="shared" si="20"/>
        <v>-1.1017891288696795</v>
      </c>
      <c r="H373">
        <f t="shared" si="21"/>
        <v>-2.0266552737226968</v>
      </c>
      <c r="I373">
        <f t="shared" si="22"/>
        <v>-2.6166067308600507</v>
      </c>
      <c r="K373">
        <f t="shared" si="23"/>
        <v>-1.9150170444841423</v>
      </c>
      <c r="M373">
        <v>372</v>
      </c>
      <c r="N373">
        <v>-1.9150170444841423</v>
      </c>
    </row>
    <row r="374" spans="1:14">
      <c r="A374">
        <v>373</v>
      </c>
      <c r="B374">
        <v>1410</v>
      </c>
      <c r="C374">
        <v>21</v>
      </c>
      <c r="D374">
        <v>30</v>
      </c>
      <c r="E374">
        <v>24</v>
      </c>
      <c r="G374">
        <f t="shared" si="20"/>
        <v>-2.6326426353174703</v>
      </c>
      <c r="H374">
        <f t="shared" si="21"/>
        <v>-2.3984241764725693</v>
      </c>
      <c r="I374">
        <f t="shared" si="22"/>
        <v>-3.2373766292698938</v>
      </c>
      <c r="K374">
        <f t="shared" si="23"/>
        <v>-2.7561478136866442</v>
      </c>
      <c r="M374">
        <v>373</v>
      </c>
      <c r="N374">
        <v>-2.7561478136866442</v>
      </c>
    </row>
    <row r="375" spans="1:14">
      <c r="A375">
        <v>374</v>
      </c>
      <c r="B375">
        <v>799</v>
      </c>
      <c r="C375">
        <v>6</v>
      </c>
      <c r="D375">
        <v>12</v>
      </c>
      <c r="E375">
        <v>10</v>
      </c>
      <c r="G375">
        <f t="shared" si="20"/>
        <v>-2.9300383463263575</v>
      </c>
      <c r="H375">
        <f t="shared" si="21"/>
        <v>-2.5496918518032183</v>
      </c>
      <c r="I375">
        <f t="shared" si="22"/>
        <v>-3.3709155376401112</v>
      </c>
      <c r="K375">
        <f t="shared" si="23"/>
        <v>-2.9502152452565622</v>
      </c>
      <c r="M375">
        <v>374</v>
      </c>
      <c r="N375">
        <v>-2.9502152452565622</v>
      </c>
    </row>
    <row r="376" spans="1:14">
      <c r="A376">
        <v>375</v>
      </c>
      <c r="B376">
        <v>477</v>
      </c>
      <c r="C376">
        <v>29</v>
      </c>
      <c r="D376">
        <v>47</v>
      </c>
      <c r="E376">
        <v>53</v>
      </c>
      <c r="G376">
        <f t="shared" si="20"/>
        <v>-2.021763198537168</v>
      </c>
      <c r="H376">
        <f t="shared" si="21"/>
        <v>-1.7327468396412482</v>
      </c>
      <c r="I376">
        <f t="shared" si="22"/>
        <v>-2.4226112677654448</v>
      </c>
      <c r="K376">
        <f t="shared" si="23"/>
        <v>-2.0590404353146203</v>
      </c>
      <c r="M376">
        <v>375</v>
      </c>
      <c r="N376">
        <v>-2.0590404353146203</v>
      </c>
    </row>
    <row r="377" spans="1:14">
      <c r="A377">
        <v>376</v>
      </c>
      <c r="B377">
        <v>930</v>
      </c>
      <c r="C377">
        <v>16</v>
      </c>
      <c r="D377">
        <v>31</v>
      </c>
      <c r="E377">
        <v>33</v>
      </c>
      <c r="G377">
        <f t="shared" si="20"/>
        <v>-2.57000578329402</v>
      </c>
      <c r="H377">
        <f t="shared" si="21"/>
        <v>-2.203447573256514</v>
      </c>
      <c r="I377">
        <f t="shared" si="22"/>
        <v>-2.9183377670021677</v>
      </c>
      <c r="K377">
        <f t="shared" si="23"/>
        <v>-2.5639303745175672</v>
      </c>
      <c r="M377">
        <v>376</v>
      </c>
      <c r="N377">
        <v>-2.5639303745175672</v>
      </c>
    </row>
    <row r="378" spans="1:14">
      <c r="A378">
        <v>377</v>
      </c>
      <c r="B378">
        <v>887</v>
      </c>
      <c r="C378">
        <v>159</v>
      </c>
      <c r="D378">
        <v>299</v>
      </c>
      <c r="E378">
        <v>29</v>
      </c>
      <c r="G378">
        <f t="shared" si="20"/>
        <v>-1.5521693129072849</v>
      </c>
      <c r="H378">
        <f t="shared" si="21"/>
        <v>-1.1985787500441485</v>
      </c>
      <c r="I378">
        <f t="shared" si="22"/>
        <v>-2.9538943802588902</v>
      </c>
      <c r="K378">
        <f t="shared" si="23"/>
        <v>-1.9015474810701078</v>
      </c>
      <c r="M378">
        <v>377</v>
      </c>
      <c r="N378">
        <v>-1.9015474810701078</v>
      </c>
    </row>
    <row r="379" spans="1:14">
      <c r="A379">
        <v>378</v>
      </c>
      <c r="B379">
        <v>1706</v>
      </c>
      <c r="C379">
        <v>13</v>
      </c>
      <c r="D379">
        <v>19</v>
      </c>
      <c r="E379">
        <v>27</v>
      </c>
      <c r="G379">
        <f t="shared" si="20"/>
        <v>-2.9236784919206773</v>
      </c>
      <c r="H379">
        <f t="shared" si="21"/>
        <v>-2.679551744415527</v>
      </c>
      <c r="I379">
        <f t="shared" si="22"/>
        <v>-3.2689840209986372</v>
      </c>
      <c r="K379">
        <f t="shared" si="23"/>
        <v>-2.9574047524449472</v>
      </c>
      <c r="M379">
        <v>378</v>
      </c>
      <c r="N379">
        <v>-2.9574047524449472</v>
      </c>
    </row>
    <row r="380" spans="1:14">
      <c r="A380">
        <v>379</v>
      </c>
      <c r="B380">
        <v>968</v>
      </c>
      <c r="C380">
        <v>9</v>
      </c>
      <c r="D380">
        <v>7</v>
      </c>
      <c r="E380">
        <v>10</v>
      </c>
      <c r="G380">
        <f t="shared" si="20"/>
        <v>-2.8372756652650786</v>
      </c>
      <c r="H380">
        <f t="shared" si="21"/>
        <v>-2.8671036358309885</v>
      </c>
      <c r="I380">
        <f t="shared" si="22"/>
        <v>-3.4542441156345136</v>
      </c>
      <c r="K380">
        <f t="shared" si="23"/>
        <v>-3.052874472243527</v>
      </c>
      <c r="M380">
        <v>379</v>
      </c>
      <c r="N380">
        <v>-3.052874472243527</v>
      </c>
    </row>
    <row r="381" spans="1:14">
      <c r="A381">
        <v>380</v>
      </c>
      <c r="B381">
        <v>1183</v>
      </c>
      <c r="C381">
        <v>271</v>
      </c>
      <c r="D381">
        <v>71</v>
      </c>
      <c r="E381">
        <v>155</v>
      </c>
      <c r="G381">
        <f t="shared" si="20"/>
        <v>-1.4456582711495347</v>
      </c>
      <c r="H381">
        <f t="shared" si="21"/>
        <v>-1.9480527144457067</v>
      </c>
      <c r="I381">
        <f t="shared" si="22"/>
        <v>-2.351021804783759</v>
      </c>
      <c r="K381">
        <f t="shared" si="23"/>
        <v>-1.9149109301263334</v>
      </c>
      <c r="M381">
        <v>380</v>
      </c>
      <c r="N381">
        <v>-1.9149109301263334</v>
      </c>
    </row>
    <row r="382" spans="1:14">
      <c r="A382">
        <v>381</v>
      </c>
      <c r="B382">
        <v>751</v>
      </c>
      <c r="C382">
        <v>24</v>
      </c>
      <c r="D382">
        <v>75</v>
      </c>
      <c r="E382">
        <v>117</v>
      </c>
      <c r="G382">
        <f t="shared" si="20"/>
        <v>-2.3010715126885724</v>
      </c>
      <c r="H382">
        <f t="shared" si="21"/>
        <v>-1.7269049921493203</v>
      </c>
      <c r="I382">
        <f t="shared" si="22"/>
        <v>-2.2758228335841268</v>
      </c>
      <c r="K382">
        <f t="shared" si="23"/>
        <v>-2.1012664461406731</v>
      </c>
      <c r="M382">
        <v>381</v>
      </c>
      <c r="N382">
        <v>-2.1012664461406731</v>
      </c>
    </row>
    <row r="383" spans="1:14">
      <c r="A383">
        <v>382</v>
      </c>
      <c r="B383">
        <v>450</v>
      </c>
      <c r="C383">
        <v>45</v>
      </c>
      <c r="D383">
        <v>42</v>
      </c>
      <c r="E383">
        <v>10</v>
      </c>
      <c r="G383">
        <f t="shared" si="20"/>
        <v>-1.80564281739601</v>
      </c>
      <c r="H383">
        <f t="shared" si="21"/>
        <v>-1.756289541914295</v>
      </c>
      <c r="I383">
        <f t="shared" si="22"/>
        <v>-3.121581272101464</v>
      </c>
      <c r="K383">
        <f t="shared" si="23"/>
        <v>-2.2278378771372562</v>
      </c>
      <c r="M383">
        <v>382</v>
      </c>
      <c r="N383">
        <v>-2.2278378771372562</v>
      </c>
    </row>
    <row r="384" spans="1:14">
      <c r="A384">
        <v>383</v>
      </c>
      <c r="B384">
        <v>1347</v>
      </c>
      <c r="C384">
        <v>92</v>
      </c>
      <c r="D384">
        <v>39</v>
      </c>
      <c r="E384">
        <v>41</v>
      </c>
      <c r="G384">
        <f t="shared" si="20"/>
        <v>-1.9712225857734402</v>
      </c>
      <c r="H384">
        <f t="shared" si="21"/>
        <v>-2.2646293072333381</v>
      </c>
      <c r="I384">
        <f t="shared" si="22"/>
        <v>-2.9849524973293704</v>
      </c>
      <c r="K384">
        <f t="shared" si="23"/>
        <v>-2.406934796778716</v>
      </c>
      <c r="M384">
        <v>383</v>
      </c>
      <c r="N384">
        <v>-2.406934796778716</v>
      </c>
    </row>
    <row r="385" spans="1:14">
      <c r="A385">
        <v>384</v>
      </c>
      <c r="B385">
        <v>564</v>
      </c>
      <c r="C385">
        <v>49</v>
      </c>
      <c r="D385">
        <v>111</v>
      </c>
      <c r="E385">
        <v>666</v>
      </c>
      <c r="G385">
        <f t="shared" si="20"/>
        <v>-1.8667258413508385</v>
      </c>
      <c r="H385">
        <f t="shared" si="21"/>
        <v>-1.4322824437335364</v>
      </c>
      <c r="I385">
        <f t="shared" si="22"/>
        <v>-1.3961736331391612</v>
      </c>
      <c r="K385">
        <f t="shared" si="23"/>
        <v>-1.5650606394078455</v>
      </c>
      <c r="M385">
        <v>384</v>
      </c>
      <c r="N385">
        <v>-1.5650606394078455</v>
      </c>
    </row>
    <row r="386" spans="1:14">
      <c r="A386">
        <v>385</v>
      </c>
      <c r="B386">
        <v>748</v>
      </c>
      <c r="C386">
        <v>72</v>
      </c>
      <c r="D386">
        <v>137</v>
      </c>
      <c r="E386">
        <v>39</v>
      </c>
      <c r="G386">
        <f t="shared" si="20"/>
        <v>-1.822211918829203</v>
      </c>
      <c r="H386">
        <f t="shared" si="21"/>
        <v>-1.4635073492449062</v>
      </c>
      <c r="I386">
        <f t="shared" si="22"/>
        <v>-2.7512057491640824</v>
      </c>
      <c r="K386">
        <f t="shared" si="23"/>
        <v>-2.012308339079397</v>
      </c>
      <c r="M386">
        <v>385</v>
      </c>
      <c r="N386">
        <v>-2.012308339079397</v>
      </c>
    </row>
    <row r="387" spans="1:14">
      <c r="A387">
        <v>386</v>
      </c>
      <c r="B387">
        <v>634</v>
      </c>
      <c r="C387">
        <v>17</v>
      </c>
      <c r="D387">
        <v>32</v>
      </c>
      <c r="E387">
        <v>79</v>
      </c>
      <c r="G387">
        <f t="shared" ref="G387:G450" si="24">LOG10(C387/B387)-LOG10(151582/23714)</f>
        <v>-2.3772831538994685</v>
      </c>
      <c r="H387">
        <f t="shared" ref="H387:H450" si="25">LOG10(D387/B387)-LOG10(126279/23714)</f>
        <v>-2.0232655980986785</v>
      </c>
      <c r="I387">
        <f t="shared" ref="I387:I450" si="26">LOG10(E387/B387)-LOG10(697226/23714)</f>
        <v>-2.3728309249174115</v>
      </c>
      <c r="K387">
        <f t="shared" ref="K387:K450" si="27">AVERAGE(G387:I387)</f>
        <v>-2.2577932256385194</v>
      </c>
      <c r="M387">
        <v>386</v>
      </c>
      <c r="N387">
        <v>-2.2577932256385194</v>
      </c>
    </row>
    <row r="388" spans="1:14">
      <c r="A388">
        <v>387</v>
      </c>
      <c r="B388">
        <v>568</v>
      </c>
      <c r="C388">
        <v>281</v>
      </c>
      <c r="D388">
        <v>105</v>
      </c>
      <c r="E388">
        <v>401</v>
      </c>
      <c r="G388">
        <f t="shared" si="24"/>
        <v>-1.1112848332019489</v>
      </c>
      <c r="H388">
        <f t="shared" si="25"/>
        <v>-1.4594853551779325</v>
      </c>
      <c r="I388">
        <f t="shared" si="26"/>
        <v>-1.6195727214169566</v>
      </c>
      <c r="K388">
        <f t="shared" si="27"/>
        <v>-1.3967809699322793</v>
      </c>
      <c r="M388">
        <v>387</v>
      </c>
      <c r="N388">
        <v>-1.3967809699322793</v>
      </c>
    </row>
    <row r="389" spans="1:14">
      <c r="A389">
        <v>388</v>
      </c>
      <c r="B389">
        <v>644</v>
      </c>
      <c r="C389">
        <v>251</v>
      </c>
      <c r="D389">
        <v>33</v>
      </c>
      <c r="E389">
        <v>79</v>
      </c>
      <c r="G389">
        <f t="shared" si="24"/>
        <v>-1.2148549632747838</v>
      </c>
      <c r="H389">
        <f t="shared" si="25"/>
        <v>-2.0166982460187763</v>
      </c>
      <c r="I389">
        <f t="shared" si="26"/>
        <v>-2.3796275343954907</v>
      </c>
      <c r="K389">
        <f t="shared" si="27"/>
        <v>-1.8703935812296837</v>
      </c>
      <c r="M389">
        <v>388</v>
      </c>
      <c r="N389">
        <v>-1.8703935812296837</v>
      </c>
    </row>
    <row r="390" spans="1:14">
      <c r="A390">
        <v>389</v>
      </c>
      <c r="B390">
        <v>1431</v>
      </c>
      <c r="C390">
        <v>137</v>
      </c>
      <c r="D390">
        <v>57</v>
      </c>
      <c r="E390">
        <v>166</v>
      </c>
      <c r="G390">
        <f t="shared" si="24"/>
        <v>-1.8245618839993796</v>
      </c>
      <c r="H390">
        <f t="shared" si="25"/>
        <v>-2.1260910966241369</v>
      </c>
      <c r="I390">
        <f t="shared" si="26"/>
        <v>-2.4039003040458411</v>
      </c>
      <c r="K390">
        <f t="shared" si="27"/>
        <v>-2.118184428223119</v>
      </c>
      <c r="M390">
        <v>389</v>
      </c>
      <c r="N390">
        <v>-2.118184428223119</v>
      </c>
    </row>
    <row r="391" spans="1:14">
      <c r="A391">
        <v>390</v>
      </c>
      <c r="B391">
        <v>1171</v>
      </c>
      <c r="C391">
        <v>124</v>
      </c>
      <c r="D391">
        <v>27</v>
      </c>
      <c r="E391">
        <v>158</v>
      </c>
      <c r="G391">
        <f t="shared" si="24"/>
        <v>-1.780778027306138</v>
      </c>
      <c r="H391">
        <f t="shared" si="25"/>
        <v>-2.3635194494502274</v>
      </c>
      <c r="I391">
        <f t="shared" si="26"/>
        <v>-2.3382685664440603</v>
      </c>
      <c r="K391">
        <f t="shared" si="27"/>
        <v>-2.1608553477334755</v>
      </c>
      <c r="M391">
        <v>390</v>
      </c>
      <c r="N391">
        <v>-2.1608553477334755</v>
      </c>
    </row>
    <row r="392" spans="1:14">
      <c r="A392">
        <v>391</v>
      </c>
      <c r="B392">
        <v>798</v>
      </c>
      <c r="C392">
        <v>8</v>
      </c>
      <c r="D392">
        <v>12</v>
      </c>
      <c r="E392">
        <v>51</v>
      </c>
      <c r="G392">
        <f t="shared" si="24"/>
        <v>-2.8045557217547961</v>
      </c>
      <c r="H392">
        <f t="shared" si="25"/>
        <v>-2.5491479638399563</v>
      </c>
      <c r="I392">
        <f t="shared" si="26"/>
        <v>-2.6628014735789129</v>
      </c>
      <c r="K392">
        <f t="shared" si="27"/>
        <v>-2.6721683863912218</v>
      </c>
      <c r="M392">
        <v>391</v>
      </c>
      <c r="N392">
        <v>-2.6721683863912218</v>
      </c>
    </row>
    <row r="393" spans="1:14">
      <c r="A393">
        <v>392</v>
      </c>
      <c r="B393">
        <v>1164</v>
      </c>
      <c r="C393">
        <v>30</v>
      </c>
      <c r="D393">
        <v>57</v>
      </c>
      <c r="E393">
        <v>8</v>
      </c>
      <c r="G393">
        <f t="shared" si="24"/>
        <v>-2.394474542990217</v>
      </c>
      <c r="H393">
        <f t="shared" si="25"/>
        <v>-2.0364044431782298</v>
      </c>
      <c r="I393">
        <f t="shared" si="26"/>
        <v>-3.6312317516480461</v>
      </c>
      <c r="K393">
        <f t="shared" si="27"/>
        <v>-2.6873702459388311</v>
      </c>
      <c r="M393">
        <v>392</v>
      </c>
      <c r="N393">
        <v>-2.6873702459388311</v>
      </c>
    </row>
    <row r="394" spans="1:14">
      <c r="A394">
        <v>393</v>
      </c>
      <c r="B394">
        <v>1292</v>
      </c>
      <c r="C394">
        <v>7</v>
      </c>
      <c r="D394">
        <v>79</v>
      </c>
      <c r="E394">
        <v>57</v>
      </c>
      <c r="G394">
        <f t="shared" si="24"/>
        <v>-3.0718072910408187</v>
      </c>
      <c r="H394">
        <f t="shared" si="25"/>
        <v>-1.9399617409054755</v>
      </c>
      <c r="I394">
        <f t="shared" si="26"/>
        <v>-2.823756416312694</v>
      </c>
      <c r="K394">
        <f t="shared" si="27"/>
        <v>-2.6118418160863293</v>
      </c>
      <c r="M394">
        <v>393</v>
      </c>
      <c r="N394">
        <v>-2.6118418160863293</v>
      </c>
    </row>
    <row r="395" spans="1:14">
      <c r="A395">
        <v>394</v>
      </c>
      <c r="B395">
        <v>1036</v>
      </c>
      <c r="C395">
        <v>123</v>
      </c>
      <c r="D395">
        <v>88</v>
      </c>
      <c r="E395">
        <v>113</v>
      </c>
      <c r="G395">
        <f t="shared" si="24"/>
        <v>-1.7310974613658261</v>
      </c>
      <c r="H395">
        <f t="shared" si="25"/>
        <v>-1.7972034017958971</v>
      </c>
      <c r="I395">
        <f t="shared" si="26"/>
        <v>-2.4306500702519145</v>
      </c>
      <c r="K395">
        <f t="shared" si="27"/>
        <v>-1.986316977804546</v>
      </c>
      <c r="M395">
        <v>394</v>
      </c>
      <c r="N395">
        <v>-1.986316977804546</v>
      </c>
    </row>
    <row r="396" spans="1:14">
      <c r="A396">
        <v>395</v>
      </c>
      <c r="B396">
        <v>569</v>
      </c>
      <c r="C396">
        <v>69</v>
      </c>
      <c r="D396">
        <v>234</v>
      </c>
      <c r="E396">
        <v>30</v>
      </c>
      <c r="G396">
        <f t="shared" si="24"/>
        <v>-1.7219059930538259</v>
      </c>
      <c r="H396">
        <f t="shared" si="25"/>
        <v>-1.1122227275217802</v>
      </c>
      <c r="I396">
        <f t="shared" si="26"/>
        <v>-2.7463597700015288</v>
      </c>
      <c r="K396">
        <f t="shared" si="27"/>
        <v>-1.8601628301923785</v>
      </c>
      <c r="M396">
        <v>395</v>
      </c>
      <c r="N396">
        <v>-1.8601628301923785</v>
      </c>
    </row>
    <row r="397" spans="1:14">
      <c r="A397">
        <v>396</v>
      </c>
      <c r="B397">
        <v>753</v>
      </c>
      <c r="C397">
        <v>273</v>
      </c>
      <c r="D397">
        <v>211</v>
      </c>
      <c r="E397">
        <v>54</v>
      </c>
      <c r="G397">
        <f t="shared" si="24"/>
        <v>-1.2462751465559545</v>
      </c>
      <c r="H397">
        <f t="shared" si="25"/>
        <v>-1.2788388394398598</v>
      </c>
      <c r="I397">
        <f t="shared" si="26"/>
        <v>-2.612769974703852</v>
      </c>
      <c r="K397">
        <f t="shared" si="27"/>
        <v>-1.7126279868998886</v>
      </c>
      <c r="M397">
        <v>396</v>
      </c>
      <c r="N397">
        <v>-1.7126279868998886</v>
      </c>
    </row>
    <row r="398" spans="1:14">
      <c r="A398">
        <v>397</v>
      </c>
      <c r="B398">
        <v>387</v>
      </c>
      <c r="C398">
        <v>11</v>
      </c>
      <c r="D398">
        <v>20</v>
      </c>
      <c r="E398">
        <v>41</v>
      </c>
      <c r="G398">
        <f t="shared" si="24"/>
        <v>-2.3519610972566962</v>
      </c>
      <c r="H398">
        <f t="shared" si="25"/>
        <v>-2.013007287891782</v>
      </c>
      <c r="I398">
        <f t="shared" si="26"/>
        <v>-2.443295866625296</v>
      </c>
      <c r="K398">
        <f t="shared" si="27"/>
        <v>-2.2694214172579246</v>
      </c>
      <c r="M398">
        <v>397</v>
      </c>
      <c r="N398">
        <v>-2.2694214172579246</v>
      </c>
    </row>
    <row r="399" spans="1:14">
      <c r="A399">
        <v>398</v>
      </c>
      <c r="B399">
        <v>1074</v>
      </c>
      <c r="C399">
        <v>4</v>
      </c>
      <c r="D399">
        <v>9</v>
      </c>
      <c r="E399">
        <v>11</v>
      </c>
      <c r="G399">
        <f t="shared" si="24"/>
        <v>-3.234587107431584</v>
      </c>
      <c r="H399">
        <f t="shared" si="25"/>
        <v>-2.8030880904610638</v>
      </c>
      <c r="I399">
        <f t="shared" si="26"/>
        <v>-3.4579803545314318</v>
      </c>
      <c r="K399">
        <f t="shared" si="27"/>
        <v>-3.1652185174746932</v>
      </c>
      <c r="M399">
        <v>398</v>
      </c>
      <c r="N399">
        <v>-3.1652185174746932</v>
      </c>
    </row>
    <row r="400" spans="1:14">
      <c r="A400">
        <v>399</v>
      </c>
      <c r="B400">
        <v>687</v>
      </c>
      <c r="C400">
        <v>7</v>
      </c>
      <c r="D400">
        <v>6</v>
      </c>
      <c r="E400">
        <v>14</v>
      </c>
      <c r="G400">
        <f t="shared" si="24"/>
        <v>-2.7975015144413033</v>
      </c>
      <c r="H400">
        <f t="shared" si="25"/>
        <v>-2.7851318052127585</v>
      </c>
      <c r="I400">
        <f t="shared" si="26"/>
        <v>-3.1591974597074324</v>
      </c>
      <c r="K400">
        <f t="shared" si="27"/>
        <v>-2.9139435931204982</v>
      </c>
      <c r="M400">
        <v>399</v>
      </c>
      <c r="N400">
        <v>-2.9139435931204982</v>
      </c>
    </row>
    <row r="401" spans="1:14">
      <c r="A401">
        <v>400</v>
      </c>
      <c r="B401">
        <v>1346</v>
      </c>
      <c r="C401">
        <v>111</v>
      </c>
      <c r="D401">
        <v>59</v>
      </c>
      <c r="E401">
        <v>257</v>
      </c>
      <c r="G401">
        <f t="shared" si="24"/>
        <v>-1.8893648984973106</v>
      </c>
      <c r="H401">
        <f t="shared" si="25"/>
        <v>-2.0845193667826654</v>
      </c>
      <c r="I401">
        <f t="shared" si="26"/>
        <v>-2.1874806948827836</v>
      </c>
      <c r="K401">
        <f t="shared" si="27"/>
        <v>-2.0537883200542528</v>
      </c>
      <c r="M401">
        <v>400</v>
      </c>
      <c r="N401">
        <v>-2.0537883200542528</v>
      </c>
    </row>
    <row r="402" spans="1:14">
      <c r="A402">
        <v>401</v>
      </c>
      <c r="B402">
        <v>528</v>
      </c>
      <c r="C402">
        <v>85</v>
      </c>
      <c r="D402">
        <v>20</v>
      </c>
      <c r="E402">
        <v>107</v>
      </c>
      <c r="G402">
        <f t="shared" si="24"/>
        <v>-1.5988578142155294</v>
      </c>
      <c r="H402">
        <f t="shared" si="25"/>
        <v>-2.1479302454066826</v>
      </c>
      <c r="I402">
        <f t="shared" si="26"/>
        <v>-2.1616189031747228</v>
      </c>
      <c r="K402">
        <f t="shared" si="27"/>
        <v>-1.9694689875989784</v>
      </c>
      <c r="M402">
        <v>401</v>
      </c>
      <c r="N402">
        <v>-1.9694689875989784</v>
      </c>
    </row>
    <row r="403" spans="1:14">
      <c r="A403">
        <v>402</v>
      </c>
      <c r="B403">
        <v>1089</v>
      </c>
      <c r="C403">
        <v>160</v>
      </c>
      <c r="D403">
        <v>130</v>
      </c>
      <c r="E403">
        <v>44</v>
      </c>
      <c r="G403">
        <f t="shared" si="24"/>
        <v>-1.6385507144958602</v>
      </c>
      <c r="H403">
        <f t="shared" si="25"/>
        <v>-1.6494108459857899</v>
      </c>
      <c r="I403">
        <f t="shared" si="26"/>
        <v>-2.8619439615957072</v>
      </c>
      <c r="K403">
        <f t="shared" si="27"/>
        <v>-2.0499685073591194</v>
      </c>
      <c r="M403">
        <v>402</v>
      </c>
      <c r="N403">
        <v>-2.0499685073591194</v>
      </c>
    </row>
    <row r="404" spans="1:14">
      <c r="A404">
        <v>403</v>
      </c>
      <c r="B404">
        <v>660</v>
      </c>
      <c r="C404">
        <v>101</v>
      </c>
      <c r="D404">
        <v>155</v>
      </c>
      <c r="E404">
        <v>71</v>
      </c>
      <c r="G404">
        <f t="shared" si="24"/>
        <v>-1.6208653791552361</v>
      </c>
      <c r="H404">
        <f t="shared" si="25"/>
        <v>-1.3555385559084288</v>
      </c>
      <c r="I404">
        <f t="shared" si="26"/>
        <v>-2.4366543451489133</v>
      </c>
      <c r="K404">
        <f t="shared" si="27"/>
        <v>-1.8043527600708593</v>
      </c>
      <c r="M404">
        <v>403</v>
      </c>
      <c r="N404">
        <v>-1.8043527600708593</v>
      </c>
    </row>
    <row r="405" spans="1:14">
      <c r="A405">
        <v>404</v>
      </c>
      <c r="B405">
        <v>1114</v>
      </c>
      <c r="C405">
        <v>711</v>
      </c>
      <c r="D405">
        <v>579</v>
      </c>
      <c r="E405">
        <v>157</v>
      </c>
      <c r="G405">
        <f t="shared" si="24"/>
        <v>-1.0006584075039537</v>
      </c>
      <c r="H405">
        <f t="shared" si="25"/>
        <v>-1.0105329456471255</v>
      </c>
      <c r="I405">
        <f t="shared" si="26"/>
        <v>-2.3193542967545966</v>
      </c>
      <c r="K405">
        <f t="shared" si="27"/>
        <v>-1.4435152166352252</v>
      </c>
      <c r="M405">
        <v>404</v>
      </c>
      <c r="N405">
        <v>-1.4435152166352252</v>
      </c>
    </row>
    <row r="406" spans="1:14">
      <c r="A406">
        <v>405</v>
      </c>
      <c r="B406">
        <v>705</v>
      </c>
      <c r="C406">
        <v>9</v>
      </c>
      <c r="D406">
        <v>15</v>
      </c>
      <c r="E406">
        <v>18</v>
      </c>
      <c r="G406">
        <f t="shared" si="24"/>
        <v>-2.6995894249480838</v>
      </c>
      <c r="H406">
        <f t="shared" si="25"/>
        <v>-2.3984241764725693</v>
      </c>
      <c r="I406">
        <f t="shared" si="26"/>
        <v>-3.0612853702142129</v>
      </c>
      <c r="K406">
        <f t="shared" si="27"/>
        <v>-2.719766323878289</v>
      </c>
      <c r="M406">
        <v>405</v>
      </c>
      <c r="N406">
        <v>-2.719766323878289</v>
      </c>
    </row>
    <row r="407" spans="1:14">
      <c r="A407">
        <v>406</v>
      </c>
      <c r="B407">
        <v>464</v>
      </c>
      <c r="C407">
        <v>18</v>
      </c>
      <c r="D407">
        <v>11</v>
      </c>
      <c r="E407">
        <v>280</v>
      </c>
      <c r="G407">
        <f t="shared" si="24"/>
        <v>-2.2168882928475848</v>
      </c>
      <c r="H407">
        <f t="shared" si="25"/>
        <v>-2.3514516139335075</v>
      </c>
      <c r="I407">
        <f t="shared" si="26"/>
        <v>-1.6877287075387817</v>
      </c>
      <c r="K407">
        <f t="shared" si="27"/>
        <v>-2.0853562047732912</v>
      </c>
      <c r="M407">
        <v>406</v>
      </c>
      <c r="N407">
        <v>-2.0853562047732912</v>
      </c>
    </row>
    <row r="408" spans="1:14">
      <c r="A408">
        <v>407</v>
      </c>
      <c r="B408">
        <v>824</v>
      </c>
      <c r="C408">
        <v>6</v>
      </c>
      <c r="D408">
        <v>52</v>
      </c>
      <c r="E408">
        <v>39</v>
      </c>
      <c r="G408">
        <f t="shared" si="24"/>
        <v>-2.9434187787094821</v>
      </c>
      <c r="H408">
        <f t="shared" si="25"/>
        <v>-1.9262501865991681</v>
      </c>
      <c r="I408">
        <f t="shared" si="26"/>
        <v>-2.7932313629967367</v>
      </c>
      <c r="K408">
        <f t="shared" si="27"/>
        <v>-2.554300109435129</v>
      </c>
      <c r="M408">
        <v>407</v>
      </c>
      <c r="N408">
        <v>-2.554300109435129</v>
      </c>
    </row>
    <row r="409" spans="1:14">
      <c r="A409">
        <v>408</v>
      </c>
      <c r="B409">
        <v>646</v>
      </c>
      <c r="C409">
        <v>41</v>
      </c>
      <c r="D409">
        <v>7</v>
      </c>
      <c r="E409">
        <v>24</v>
      </c>
      <c r="G409">
        <f t="shared" si="24"/>
        <v>-2.0030914786713585</v>
      </c>
      <c r="H409">
        <f t="shared" si="25"/>
        <v>-2.6914607965176791</v>
      </c>
      <c r="I409">
        <f t="shared" si="26"/>
        <v>-2.8983900346095979</v>
      </c>
      <c r="K409">
        <f t="shared" si="27"/>
        <v>-2.5309807699328783</v>
      </c>
      <c r="M409">
        <v>408</v>
      </c>
      <c r="N409">
        <v>-2.5309807699328783</v>
      </c>
    </row>
    <row r="410" spans="1:14">
      <c r="A410">
        <v>409</v>
      </c>
      <c r="B410">
        <v>502</v>
      </c>
      <c r="C410">
        <v>42</v>
      </c>
      <c r="D410">
        <v>82</v>
      </c>
      <c r="E410">
        <v>56</v>
      </c>
      <c r="G410">
        <f t="shared" si="24"/>
        <v>-1.8830972441431288</v>
      </c>
      <c r="H410">
        <f t="shared" si="25"/>
        <v>-1.5132161832981543</v>
      </c>
      <c r="I410">
        <f t="shared" si="26"/>
        <v>-2.420884448464939</v>
      </c>
      <c r="K410">
        <f t="shared" si="27"/>
        <v>-1.9390659586354075</v>
      </c>
      <c r="M410">
        <v>409</v>
      </c>
      <c r="N410">
        <v>-1.9390659586354075</v>
      </c>
    </row>
    <row r="411" spans="1:14">
      <c r="A411">
        <v>410</v>
      </c>
      <c r="B411">
        <v>927</v>
      </c>
      <c r="C411">
        <v>105</v>
      </c>
      <c r="D411">
        <v>26</v>
      </c>
      <c r="E411">
        <v>47</v>
      </c>
      <c r="G411">
        <f t="shared" si="24"/>
        <v>-1.7515332524705691</v>
      </c>
      <c r="H411">
        <f t="shared" si="25"/>
        <v>-2.2784327047105308</v>
      </c>
      <c r="I411">
        <f t="shared" si="26"/>
        <v>-2.7633506345348997</v>
      </c>
      <c r="K411">
        <f t="shared" si="27"/>
        <v>-2.2644388639053332</v>
      </c>
      <c r="M411">
        <v>410</v>
      </c>
      <c r="N411">
        <v>-2.2644388639053332</v>
      </c>
    </row>
    <row r="412" spans="1:14">
      <c r="A412">
        <v>411</v>
      </c>
      <c r="B412">
        <v>1036</v>
      </c>
      <c r="C412">
        <v>17</v>
      </c>
      <c r="D412">
        <v>4</v>
      </c>
      <c r="E412">
        <v>7</v>
      </c>
      <c r="G412">
        <f t="shared" si="24"/>
        <v>-2.5905536514269505</v>
      </c>
      <c r="H412">
        <f t="shared" si="25"/>
        <v>-3.1396260826181037</v>
      </c>
      <c r="I412">
        <f t="shared" si="26"/>
        <v>-3.6386304737210775</v>
      </c>
      <c r="K412">
        <f t="shared" si="27"/>
        <v>-3.1229367359220439</v>
      </c>
      <c r="M412">
        <v>411</v>
      </c>
      <c r="N412">
        <v>-3.1229367359220439</v>
      </c>
    </row>
    <row r="413" spans="1:14">
      <c r="A413">
        <v>412</v>
      </c>
      <c r="B413">
        <v>546</v>
      </c>
      <c r="C413">
        <v>166</v>
      </c>
      <c r="D413">
        <v>43</v>
      </c>
      <c r="E413">
        <v>305</v>
      </c>
      <c r="G413">
        <f t="shared" si="24"/>
        <v>-1.322727372060692</v>
      </c>
      <c r="H413">
        <f t="shared" si="25"/>
        <v>-1.8300505056620024</v>
      </c>
      <c r="I413">
        <f t="shared" si="26"/>
        <v>-1.7212615616840714</v>
      </c>
      <c r="K413">
        <f t="shared" si="27"/>
        <v>-1.6246798131355886</v>
      </c>
      <c r="M413">
        <v>412</v>
      </c>
      <c r="N413">
        <v>-1.6246798131355886</v>
      </c>
    </row>
    <row r="414" spans="1:14">
      <c r="A414">
        <v>413</v>
      </c>
      <c r="B414">
        <v>999</v>
      </c>
      <c r="C414">
        <v>424</v>
      </c>
      <c r="D414">
        <v>31</v>
      </c>
      <c r="E414">
        <v>446</v>
      </c>
      <c r="G414">
        <f t="shared" si="24"/>
        <v>-1.1778424490292596</v>
      </c>
      <c r="H414">
        <f t="shared" si="25"/>
        <v>-2.2345301129285615</v>
      </c>
      <c r="I414">
        <f t="shared" si="26"/>
        <v>-1.8185993878399604</v>
      </c>
      <c r="K414">
        <f t="shared" si="27"/>
        <v>-1.7436573165992606</v>
      </c>
      <c r="M414">
        <v>413</v>
      </c>
      <c r="N414">
        <v>-1.7436573165992606</v>
      </c>
    </row>
    <row r="415" spans="1:14">
      <c r="A415">
        <v>414</v>
      </c>
      <c r="B415">
        <v>955</v>
      </c>
      <c r="C415">
        <v>4</v>
      </c>
      <c r="D415">
        <v>28</v>
      </c>
      <c r="E415">
        <v>16</v>
      </c>
      <c r="G415">
        <f t="shared" si="24"/>
        <v>-3.1835861976517936</v>
      </c>
      <c r="H415">
        <f t="shared" si="25"/>
        <v>-2.2591716587783788</v>
      </c>
      <c r="I415">
        <f t="shared" si="26"/>
        <v>-3.2442521472539418</v>
      </c>
      <c r="K415">
        <f t="shared" si="27"/>
        <v>-2.8956700012280385</v>
      </c>
      <c r="M415">
        <v>414</v>
      </c>
      <c r="N415">
        <v>-2.8956700012280385</v>
      </c>
    </row>
    <row r="416" spans="1:14">
      <c r="A416">
        <v>415</v>
      </c>
      <c r="B416">
        <v>596</v>
      </c>
      <c r="C416">
        <v>53</v>
      </c>
      <c r="D416">
        <v>42</v>
      </c>
      <c r="E416">
        <v>178</v>
      </c>
      <c r="G416">
        <f t="shared" si="24"/>
        <v>-1.8566132075354573</v>
      </c>
      <c r="H416">
        <f t="shared" si="25"/>
        <v>-1.8783232878791876</v>
      </c>
      <c r="I416">
        <f t="shared" si="26"/>
        <v>-1.9931950157574625</v>
      </c>
      <c r="K416">
        <f t="shared" si="27"/>
        <v>-1.9093771703907023</v>
      </c>
      <c r="M416">
        <v>415</v>
      </c>
      <c r="N416">
        <v>-1.9093771703907023</v>
      </c>
    </row>
    <row r="417" spans="1:14">
      <c r="A417">
        <v>416</v>
      </c>
      <c r="B417">
        <v>716</v>
      </c>
      <c r="C417">
        <v>12</v>
      </c>
      <c r="D417">
        <v>70</v>
      </c>
      <c r="E417">
        <v>32</v>
      </c>
      <c r="G417">
        <f t="shared" si="24"/>
        <v>-2.5813745936562409</v>
      </c>
      <c r="H417">
        <f t="shared" si="25"/>
        <v>-1.7361413008304503</v>
      </c>
      <c r="I417">
        <f t="shared" si="26"/>
        <v>-2.8181318023140696</v>
      </c>
      <c r="K417">
        <f t="shared" si="27"/>
        <v>-2.3785492322669204</v>
      </c>
      <c r="M417">
        <v>416</v>
      </c>
      <c r="N417">
        <v>-2.3785492322669204</v>
      </c>
    </row>
    <row r="418" spans="1:14">
      <c r="A418">
        <v>417</v>
      </c>
      <c r="B418">
        <v>626</v>
      </c>
      <c r="C418">
        <v>86</v>
      </c>
      <c r="D418">
        <v>25</v>
      </c>
      <c r="E418">
        <v>71</v>
      </c>
      <c r="G418">
        <f t="shared" si="24"/>
        <v>-1.6677186993628719</v>
      </c>
      <c r="H418">
        <f t="shared" si="25"/>
        <v>-2.1249606430752439</v>
      </c>
      <c r="I418">
        <f t="shared" si="26"/>
        <v>-2.4136847428174741</v>
      </c>
      <c r="K418">
        <f t="shared" si="27"/>
        <v>-2.0687880284185298</v>
      </c>
      <c r="M418">
        <v>417</v>
      </c>
      <c r="N418">
        <v>-2.0687880284185298</v>
      </c>
    </row>
    <row r="419" spans="1:14">
      <c r="A419">
        <v>418</v>
      </c>
      <c r="B419">
        <v>948</v>
      </c>
      <c r="C419">
        <v>23</v>
      </c>
      <c r="D419">
        <v>23</v>
      </c>
      <c r="E419">
        <v>15</v>
      </c>
      <c r="G419">
        <f t="shared" si="24"/>
        <v>-2.4207233187164832</v>
      </c>
      <c r="H419">
        <f t="shared" si="25"/>
        <v>-2.3414068198573252</v>
      </c>
      <c r="I419">
        <f t="shared" si="26"/>
        <v>-3.2690858366085047</v>
      </c>
      <c r="K419">
        <f t="shared" si="27"/>
        <v>-2.6770719917274377</v>
      </c>
      <c r="M419">
        <v>418</v>
      </c>
      <c r="N419">
        <v>-2.6770719917274377</v>
      </c>
    </row>
    <row r="420" spans="1:14">
      <c r="A420">
        <v>419</v>
      </c>
      <c r="B420">
        <v>1277</v>
      </c>
      <c r="C420">
        <v>19</v>
      </c>
      <c r="D420">
        <v>8</v>
      </c>
      <c r="E420">
        <v>18</v>
      </c>
      <c r="G420">
        <f t="shared" si="24"/>
        <v>-2.6330801137065962</v>
      </c>
      <c r="H420">
        <f t="shared" si="25"/>
        <v>-2.9294272288083234</v>
      </c>
      <c r="I420">
        <f t="shared" si="26"/>
        <v>-3.3192871504862289</v>
      </c>
      <c r="K420">
        <f t="shared" si="27"/>
        <v>-2.960598164333716</v>
      </c>
      <c r="M420">
        <v>419</v>
      </c>
      <c r="N420">
        <v>-2.960598164333716</v>
      </c>
    </row>
    <row r="421" spans="1:14">
      <c r="A421">
        <v>420</v>
      </c>
      <c r="B421">
        <v>886</v>
      </c>
      <c r="C421">
        <v>513</v>
      </c>
      <c r="D421">
        <v>48</v>
      </c>
      <c r="E421">
        <v>68</v>
      </c>
      <c r="G421">
        <f t="shared" si="24"/>
        <v>-1.0429591741712443</v>
      </c>
      <c r="H421">
        <f t="shared" si="25"/>
        <v>-1.9925188030483154</v>
      </c>
      <c r="I421">
        <f t="shared" si="26"/>
        <v>-2.5832935675069342</v>
      </c>
      <c r="K421">
        <f t="shared" si="27"/>
        <v>-1.8729238482421646</v>
      </c>
      <c r="M421">
        <v>420</v>
      </c>
      <c r="N421">
        <v>-1.8729238482421646</v>
      </c>
    </row>
    <row r="422" spans="1:14">
      <c r="A422">
        <v>421</v>
      </c>
      <c r="B422">
        <v>676</v>
      </c>
      <c r="C422">
        <v>18</v>
      </c>
      <c r="D422">
        <v>7</v>
      </c>
      <c r="E422">
        <v>18</v>
      </c>
      <c r="G422">
        <f t="shared" si="24"/>
        <v>-2.3803170082343401</v>
      </c>
      <c r="H422">
        <f t="shared" si="25"/>
        <v>-2.7111749744642308</v>
      </c>
      <c r="I422">
        <f t="shared" si="26"/>
        <v>-3.04304294916445</v>
      </c>
      <c r="K422">
        <f t="shared" si="27"/>
        <v>-2.7115116439543403</v>
      </c>
      <c r="M422">
        <v>421</v>
      </c>
      <c r="N422">
        <v>-2.7115116439543403</v>
      </c>
    </row>
    <row r="423" spans="1:14">
      <c r="A423">
        <v>422</v>
      </c>
      <c r="B423">
        <v>1084</v>
      </c>
      <c r="C423">
        <v>144</v>
      </c>
      <c r="D423">
        <v>49</v>
      </c>
      <c r="E423">
        <v>23</v>
      </c>
      <c r="G423">
        <f t="shared" si="24"/>
        <v>-1.6823096075031283</v>
      </c>
      <c r="H423">
        <f t="shared" si="25"/>
        <v>-2.0711595207107063</v>
      </c>
      <c r="I423">
        <f t="shared" si="26"/>
        <v>-3.1416702045108953</v>
      </c>
      <c r="K423">
        <f t="shared" si="27"/>
        <v>-2.29837977757491</v>
      </c>
      <c r="M423">
        <v>422</v>
      </c>
      <c r="N423">
        <v>-2.29837977757491</v>
      </c>
    </row>
    <row r="424" spans="1:14">
      <c r="A424">
        <v>423</v>
      </c>
      <c r="B424">
        <v>793</v>
      </c>
      <c r="C424">
        <v>404</v>
      </c>
      <c r="D424">
        <v>20</v>
      </c>
      <c r="E424">
        <v>25</v>
      </c>
      <c r="G424">
        <f t="shared" si="24"/>
        <v>-1.0985346396030087</v>
      </c>
      <c r="H424">
        <f t="shared" si="25"/>
        <v>-2.3245695101904742</v>
      </c>
      <c r="I424">
        <f t="shared" si="26"/>
        <v>-2.9697019369716862</v>
      </c>
      <c r="K424">
        <f t="shared" si="27"/>
        <v>-2.1309353622550566</v>
      </c>
      <c r="M424">
        <v>423</v>
      </c>
      <c r="N424">
        <v>-2.1309353622550566</v>
      </c>
    </row>
    <row r="425" spans="1:14">
      <c r="A425">
        <v>424</v>
      </c>
      <c r="B425">
        <v>816</v>
      </c>
      <c r="C425">
        <v>16</v>
      </c>
      <c r="D425">
        <v>11</v>
      </c>
      <c r="E425">
        <v>320</v>
      </c>
      <c r="G425">
        <f t="shared" si="24"/>
        <v>-2.513212993493946</v>
      </c>
      <c r="H425">
        <f t="shared" si="25"/>
        <v>-2.5966237921324877</v>
      </c>
      <c r="I425">
        <f t="shared" si="26"/>
        <v>-1.8749089387600752</v>
      </c>
      <c r="K425">
        <f t="shared" si="27"/>
        <v>-2.3282485747955031</v>
      </c>
      <c r="M425">
        <v>424</v>
      </c>
      <c r="N425">
        <v>-2.3282485747955031</v>
      </c>
    </row>
    <row r="426" spans="1:14">
      <c r="A426">
        <v>425</v>
      </c>
      <c r="B426">
        <v>1262</v>
      </c>
      <c r="C426">
        <v>11</v>
      </c>
      <c r="D426">
        <v>9</v>
      </c>
      <c r="E426">
        <v>20</v>
      </c>
      <c r="G426">
        <f t="shared" si="24"/>
        <v>-2.8653094871459004</v>
      </c>
      <c r="H426">
        <f t="shared" si="25"/>
        <v>-2.8731431640056426</v>
      </c>
      <c r="I426">
        <f t="shared" si="26"/>
        <v>-3.2683981175702543</v>
      </c>
      <c r="K426">
        <f t="shared" si="27"/>
        <v>-3.0022835895739326</v>
      </c>
      <c r="M426">
        <v>425</v>
      </c>
      <c r="N426">
        <v>-3.0022835895739326</v>
      </c>
    </row>
    <row r="427" spans="1:14">
      <c r="A427">
        <v>426</v>
      </c>
      <c r="B427">
        <v>1138</v>
      </c>
      <c r="C427">
        <v>220</v>
      </c>
      <c r="D427">
        <v>35</v>
      </c>
      <c r="E427">
        <v>106</v>
      </c>
      <c r="G427">
        <f t="shared" si="24"/>
        <v>-1.5193623986328562</v>
      </c>
      <c r="H427">
        <f t="shared" si="25"/>
        <v>-2.2384005362456283</v>
      </c>
      <c r="I427">
        <f t="shared" si="26"/>
        <v>-2.4992051551204022</v>
      </c>
      <c r="K427">
        <f t="shared" si="27"/>
        <v>-2.0856560299996292</v>
      </c>
      <c r="M427">
        <v>426</v>
      </c>
      <c r="N427">
        <v>-2.0856560299996292</v>
      </c>
    </row>
    <row r="428" spans="1:14">
      <c r="A428">
        <v>427</v>
      </c>
      <c r="B428">
        <v>1200</v>
      </c>
      <c r="C428">
        <v>15</v>
      </c>
      <c r="D428">
        <v>284</v>
      </c>
      <c r="E428">
        <v>97</v>
      </c>
      <c r="G428">
        <f t="shared" si="24"/>
        <v>-2.7087328043879535</v>
      </c>
      <c r="H428">
        <f t="shared" si="25"/>
        <v>-1.3521892245374389</v>
      </c>
      <c r="I428">
        <f t="shared" si="26"/>
        <v>-2.5607782701074999</v>
      </c>
      <c r="K428">
        <f t="shared" si="27"/>
        <v>-2.207233433010964</v>
      </c>
      <c r="M428">
        <v>427</v>
      </c>
      <c r="N428">
        <v>-2.207233433010964</v>
      </c>
    </row>
    <row r="429" spans="1:14">
      <c r="A429">
        <v>428</v>
      </c>
      <c r="B429">
        <v>983</v>
      </c>
      <c r="C429">
        <v>141</v>
      </c>
      <c r="D429">
        <v>19</v>
      </c>
      <c r="E429">
        <v>58</v>
      </c>
      <c r="G429">
        <f t="shared" si="24"/>
        <v>-1.6489772225727657</v>
      </c>
      <c r="H429">
        <f t="shared" si="25"/>
        <v>-2.4401262354161584</v>
      </c>
      <c r="I429">
        <f t="shared" si="26"/>
        <v>-2.6974942825953185</v>
      </c>
      <c r="K429">
        <f t="shared" si="27"/>
        <v>-2.2621992468614143</v>
      </c>
      <c r="M429">
        <v>428</v>
      </c>
      <c r="N429">
        <v>-2.2621992468614143</v>
      </c>
    </row>
    <row r="430" spans="1:14">
      <c r="A430">
        <v>429</v>
      </c>
      <c r="B430">
        <v>511</v>
      </c>
      <c r="C430">
        <v>59</v>
      </c>
      <c r="D430">
        <v>31</v>
      </c>
      <c r="E430">
        <v>39</v>
      </c>
      <c r="G430">
        <f t="shared" si="24"/>
        <v>-1.7432117058885785</v>
      </c>
      <c r="H430">
        <f t="shared" si="25"/>
        <v>-1.943385524837292</v>
      </c>
      <c r="I430">
        <f t="shared" si="26"/>
        <v>-2.5857250514343333</v>
      </c>
      <c r="K430">
        <f t="shared" si="27"/>
        <v>-2.0907740940534012</v>
      </c>
      <c r="M430">
        <v>429</v>
      </c>
      <c r="N430">
        <v>-2.0907740940534012</v>
      </c>
    </row>
    <row r="431" spans="1:14">
      <c r="A431">
        <v>430</v>
      </c>
      <c r="B431">
        <v>897</v>
      </c>
      <c r="C431">
        <v>48</v>
      </c>
      <c r="D431">
        <v>53</v>
      </c>
      <c r="E431">
        <v>85</v>
      </c>
      <c r="G431">
        <f t="shared" si="24"/>
        <v>-2.0771940230645147</v>
      </c>
      <c r="H431">
        <f t="shared" si="25"/>
        <v>-1.9548428919801548</v>
      </c>
      <c r="I431">
        <f t="shared" si="26"/>
        <v>-2.4917422756559193</v>
      </c>
      <c r="K431">
        <f t="shared" si="27"/>
        <v>-2.1745930635668631</v>
      </c>
      <c r="M431">
        <v>430</v>
      </c>
      <c r="N431">
        <v>-2.1745930635668631</v>
      </c>
    </row>
    <row r="432" spans="1:14">
      <c r="A432">
        <v>431</v>
      </c>
      <c r="B432">
        <v>666</v>
      </c>
      <c r="C432">
        <v>14</v>
      </c>
      <c r="D432">
        <v>5</v>
      </c>
      <c r="E432">
        <v>6</v>
      </c>
      <c r="G432">
        <f t="shared" si="24"/>
        <v>-2.482989010888073</v>
      </c>
      <c r="H432">
        <f t="shared" si="25"/>
        <v>-2.8508305433711341</v>
      </c>
      <c r="I432">
        <f t="shared" si="26"/>
        <v>-3.5136917371127776</v>
      </c>
      <c r="K432">
        <f t="shared" si="27"/>
        <v>-2.9491704304573285</v>
      </c>
      <c r="M432">
        <v>431</v>
      </c>
      <c r="N432">
        <v>-2.9491704304573285</v>
      </c>
    </row>
    <row r="433" spans="1:14">
      <c r="A433">
        <v>432</v>
      </c>
      <c r="B433">
        <v>421</v>
      </c>
      <c r="C433">
        <v>9</v>
      </c>
      <c r="D433">
        <v>25</v>
      </c>
      <c r="E433">
        <v>4</v>
      </c>
      <c r="G433">
        <f t="shared" si="24"/>
        <v>-2.4756824037923533</v>
      </c>
      <c r="H433">
        <f t="shared" si="25"/>
        <v>-1.9526684057004826</v>
      </c>
      <c r="I433">
        <f t="shared" si="26"/>
        <v>-3.4905908628338258</v>
      </c>
      <c r="K433">
        <f t="shared" si="27"/>
        <v>-2.6396472241088871</v>
      </c>
      <c r="M433">
        <v>432</v>
      </c>
      <c r="N433">
        <v>-2.6396472241088871</v>
      </c>
    </row>
    <row r="434" spans="1:14">
      <c r="A434">
        <v>433</v>
      </c>
      <c r="B434">
        <v>762</v>
      </c>
      <c r="C434">
        <v>14</v>
      </c>
      <c r="D434">
        <v>638</v>
      </c>
      <c r="E434">
        <v>39</v>
      </c>
      <c r="G434">
        <f t="shared" si="24"/>
        <v>-2.5414697530573722</v>
      </c>
      <c r="H434">
        <f t="shared" si="25"/>
        <v>-0.80346061115528988</v>
      </c>
      <c r="I434">
        <f t="shared" si="26"/>
        <v>-2.7592591226392216</v>
      </c>
      <c r="K434">
        <f t="shared" si="27"/>
        <v>-2.0347298289506277</v>
      </c>
      <c r="M434">
        <v>433</v>
      </c>
      <c r="N434">
        <v>-2.0347298289506277</v>
      </c>
    </row>
    <row r="435" spans="1:14">
      <c r="A435">
        <v>434</v>
      </c>
      <c r="B435">
        <v>1505</v>
      </c>
      <c r="C435">
        <v>52</v>
      </c>
      <c r="D435">
        <v>57</v>
      </c>
      <c r="E435">
        <v>58</v>
      </c>
      <c r="G435">
        <f t="shared" si="24"/>
        <v>-2.267175973691073</v>
      </c>
      <c r="H435">
        <f t="shared" si="25"/>
        <v>-2.1479879627942222</v>
      </c>
      <c r="I435">
        <f t="shared" si="26"/>
        <v>-2.882477264693045</v>
      </c>
      <c r="K435">
        <f t="shared" si="27"/>
        <v>-2.4325470670594469</v>
      </c>
      <c r="M435">
        <v>434</v>
      </c>
      <c r="N435">
        <v>-2.4325470670594469</v>
      </c>
    </row>
    <row r="436" spans="1:14">
      <c r="A436">
        <v>435</v>
      </c>
      <c r="B436">
        <v>637</v>
      </c>
      <c r="C436">
        <v>11</v>
      </c>
      <c r="D436">
        <v>3</v>
      </c>
      <c r="E436">
        <v>11</v>
      </c>
      <c r="G436">
        <f t="shared" si="24"/>
        <v>-2.5683895645731356</v>
      </c>
      <c r="H436">
        <f t="shared" si="25"/>
        <v>-3.05334449615254</v>
      </c>
      <c r="I436">
        <f t="shared" si="26"/>
        <v>-3.2311155055032454</v>
      </c>
      <c r="K436">
        <f t="shared" si="27"/>
        <v>-2.9509498554096401</v>
      </c>
      <c r="M436">
        <v>435</v>
      </c>
      <c r="N436">
        <v>-2.9509498554096401</v>
      </c>
    </row>
    <row r="437" spans="1:14">
      <c r="A437">
        <v>436</v>
      </c>
      <c r="B437">
        <v>501</v>
      </c>
      <c r="C437">
        <v>12</v>
      </c>
      <c r="D437">
        <v>92</v>
      </c>
      <c r="E437">
        <v>232</v>
      </c>
      <c r="G437">
        <f t="shared" si="24"/>
        <v>-2.426299297215631</v>
      </c>
      <c r="H437">
        <f t="shared" si="25"/>
        <v>-1.4623762170585421</v>
      </c>
      <c r="I437">
        <f t="shared" si="26"/>
        <v>-1.8027184993024661</v>
      </c>
      <c r="K437">
        <f t="shared" si="27"/>
        <v>-1.8971313378588797</v>
      </c>
      <c r="M437">
        <v>436</v>
      </c>
      <c r="N437">
        <v>-1.8971313378588797</v>
      </c>
    </row>
    <row r="438" spans="1:14">
      <c r="A438">
        <v>437</v>
      </c>
      <c r="B438">
        <v>565</v>
      </c>
      <c r="C438">
        <v>12</v>
      </c>
      <c r="D438">
        <v>327</v>
      </c>
      <c r="E438">
        <v>287</v>
      </c>
      <c r="G438">
        <f t="shared" si="24"/>
        <v>-2.4785100191678238</v>
      </c>
      <c r="H438">
        <f t="shared" si="25"/>
        <v>-0.9638270136960041</v>
      </c>
      <c r="I438">
        <f t="shared" si="26"/>
        <v>-1.7625353094115661</v>
      </c>
      <c r="K438">
        <f t="shared" si="27"/>
        <v>-1.7349574474251312</v>
      </c>
      <c r="M438">
        <v>437</v>
      </c>
      <c r="N438">
        <v>-1.7349574474251312</v>
      </c>
    </row>
    <row r="439" spans="1:14">
      <c r="A439">
        <v>438</v>
      </c>
      <c r="B439">
        <v>804</v>
      </c>
      <c r="C439">
        <v>17</v>
      </c>
      <c r="D439">
        <v>7</v>
      </c>
      <c r="E439">
        <v>8</v>
      </c>
      <c r="G439">
        <f t="shared" si="24"/>
        <v>-2.4804499447661872</v>
      </c>
      <c r="H439">
        <f t="shared" si="25"/>
        <v>-2.7864843272710464</v>
      </c>
      <c r="I439">
        <f t="shared" si="26"/>
        <v>-3.4705348200826278</v>
      </c>
      <c r="K439">
        <f t="shared" si="27"/>
        <v>-2.912489697373287</v>
      </c>
      <c r="M439">
        <v>438</v>
      </c>
      <c r="N439">
        <v>-2.912489697373287</v>
      </c>
    </row>
    <row r="440" spans="1:14">
      <c r="A440">
        <v>439</v>
      </c>
      <c r="B440">
        <v>907</v>
      </c>
      <c r="C440">
        <v>131</v>
      </c>
      <c r="D440">
        <v>10</v>
      </c>
      <c r="E440">
        <v>111</v>
      </c>
      <c r="G440">
        <f t="shared" si="24"/>
        <v>-1.6459788088003409</v>
      </c>
      <c r="H440">
        <f t="shared" si="25"/>
        <v>-2.6839336055969469</v>
      </c>
      <c r="I440">
        <f t="shared" si="26"/>
        <v>-2.380653066599558</v>
      </c>
      <c r="K440">
        <f t="shared" si="27"/>
        <v>-2.2368551603322824</v>
      </c>
      <c r="M440">
        <v>439</v>
      </c>
      <c r="N440">
        <v>-2.2368551603322824</v>
      </c>
    </row>
    <row r="441" spans="1:14">
      <c r="A441">
        <v>440</v>
      </c>
      <c r="B441">
        <v>964</v>
      </c>
      <c r="C441">
        <v>15</v>
      </c>
      <c r="D441">
        <v>114</v>
      </c>
      <c r="E441">
        <v>91</v>
      </c>
      <c r="G441">
        <f t="shared" si="24"/>
        <v>-2.6136285922431597</v>
      </c>
      <c r="H441">
        <f t="shared" si="25"/>
        <v>-1.65349850110321</v>
      </c>
      <c r="I441">
        <f t="shared" si="26"/>
        <v>-2.493404399907857</v>
      </c>
      <c r="K441">
        <f t="shared" si="27"/>
        <v>-2.2535104977514089</v>
      </c>
      <c r="M441">
        <v>440</v>
      </c>
      <c r="N441">
        <v>-2.2535104977514089</v>
      </c>
    </row>
    <row r="442" spans="1:14">
      <c r="A442">
        <v>441</v>
      </c>
      <c r="B442">
        <v>1037</v>
      </c>
      <c r="C442">
        <v>11</v>
      </c>
      <c r="D442">
        <v>3</v>
      </c>
      <c r="E442">
        <v>84</v>
      </c>
      <c r="G442">
        <f t="shared" si="24"/>
        <v>-2.7800288886268261</v>
      </c>
      <c r="H442">
        <f t="shared" si="25"/>
        <v>-3.2649838202062305</v>
      </c>
      <c r="I442">
        <f t="shared" si="26"/>
        <v>-2.5598682286532792</v>
      </c>
      <c r="K442">
        <f t="shared" si="27"/>
        <v>-2.8682936458287784</v>
      </c>
      <c r="M442">
        <v>441</v>
      </c>
      <c r="N442">
        <v>-2.8682936458287784</v>
      </c>
    </row>
    <row r="443" spans="1:14">
      <c r="A443">
        <v>442</v>
      </c>
      <c r="B443">
        <v>976</v>
      </c>
      <c r="C443">
        <v>774</v>
      </c>
      <c r="D443">
        <v>98</v>
      </c>
      <c r="E443">
        <v>245</v>
      </c>
      <c r="G443">
        <f t="shared" si="24"/>
        <v>-0.90635167437980912</v>
      </c>
      <c r="H443">
        <f t="shared" si="25"/>
        <v>-1.7245500605110486</v>
      </c>
      <c r="I443">
        <f t="shared" si="26"/>
        <v>-2.0686524916282796</v>
      </c>
      <c r="K443">
        <f t="shared" si="27"/>
        <v>-1.566518075506379</v>
      </c>
      <c r="M443">
        <v>442</v>
      </c>
      <c r="N443">
        <v>-1.566518075506379</v>
      </c>
    </row>
    <row r="444" spans="1:14">
      <c r="A444">
        <v>443</v>
      </c>
      <c r="B444">
        <v>1125</v>
      </c>
      <c r="C444">
        <v>9</v>
      </c>
      <c r="D444">
        <v>9</v>
      </c>
      <c r="E444">
        <v>17</v>
      </c>
      <c r="G444">
        <f t="shared" si="24"/>
        <v>-2.9025528304040664</v>
      </c>
      <c r="H444">
        <f t="shared" si="25"/>
        <v>-2.8232363315449081</v>
      </c>
      <c r="I444">
        <f t="shared" si="26"/>
        <v>-3.2890723593952274</v>
      </c>
      <c r="K444">
        <f t="shared" si="27"/>
        <v>-3.0049538404480671</v>
      </c>
      <c r="M444">
        <v>443</v>
      </c>
      <c r="N444">
        <v>-3.0049538404480671</v>
      </c>
    </row>
    <row r="445" spans="1:14">
      <c r="A445">
        <v>444</v>
      </c>
      <c r="B445">
        <v>492</v>
      </c>
      <c r="C445">
        <v>19</v>
      </c>
      <c r="D445">
        <v>20</v>
      </c>
      <c r="E445">
        <v>16</v>
      </c>
      <c r="G445">
        <f t="shared" si="24"/>
        <v>-2.218854319210541</v>
      </c>
      <c r="H445">
        <f t="shared" si="25"/>
        <v>-2.1172614256402307</v>
      </c>
      <c r="I445">
        <f t="shared" si="26"/>
        <v>-2.9562138784375556</v>
      </c>
      <c r="K445">
        <f t="shared" si="27"/>
        <v>-2.4307765410961091</v>
      </c>
      <c r="M445">
        <v>444</v>
      </c>
      <c r="N445">
        <v>-2.4307765410961091</v>
      </c>
    </row>
    <row r="446" spans="1:14">
      <c r="A446">
        <v>445</v>
      </c>
      <c r="B446">
        <v>717</v>
      </c>
      <c r="C446">
        <v>84</v>
      </c>
      <c r="D446">
        <v>60</v>
      </c>
      <c r="E446">
        <v>2583</v>
      </c>
      <c r="G446">
        <f t="shared" si="24"/>
        <v>-1.7368826870019283</v>
      </c>
      <c r="H446">
        <f t="shared" si="25"/>
        <v>-1.8036942238210081</v>
      </c>
      <c r="I446">
        <f t="shared" si="26"/>
        <v>-0.911763507820603</v>
      </c>
      <c r="K446">
        <f t="shared" si="27"/>
        <v>-1.4841134728811796</v>
      </c>
      <c r="M446">
        <v>445</v>
      </c>
      <c r="N446">
        <v>-1.4841134728811796</v>
      </c>
    </row>
    <row r="447" spans="1:14">
      <c r="A447">
        <v>446</v>
      </c>
      <c r="B447">
        <v>643</v>
      </c>
      <c r="C447">
        <v>68</v>
      </c>
      <c r="D447">
        <v>61</v>
      </c>
      <c r="E447">
        <v>190</v>
      </c>
      <c r="G447">
        <f t="shared" si="24"/>
        <v>-1.7813448776139957</v>
      </c>
      <c r="H447">
        <f t="shared" si="25"/>
        <v>-1.7492074564503066</v>
      </c>
      <c r="I447">
        <f t="shared" si="26"/>
        <v>-1.9978261302975131</v>
      </c>
      <c r="K447">
        <f t="shared" si="27"/>
        <v>-1.8427928214539386</v>
      </c>
      <c r="M447">
        <v>446</v>
      </c>
      <c r="N447">
        <v>-1.8427928214539386</v>
      </c>
    </row>
    <row r="448" spans="1:14">
      <c r="A448">
        <v>447</v>
      </c>
      <c r="B448">
        <v>907</v>
      </c>
      <c r="C448">
        <v>52</v>
      </c>
      <c r="D448">
        <v>66</v>
      </c>
      <c r="E448">
        <v>37</v>
      </c>
      <c r="G448">
        <f t="shared" si="24"/>
        <v>-2.0472467608213059</v>
      </c>
      <c r="H448">
        <f t="shared" si="25"/>
        <v>-1.8643896700550782</v>
      </c>
      <c r="I448">
        <f t="shared" si="26"/>
        <v>-2.8577743213192202</v>
      </c>
      <c r="K448">
        <f t="shared" si="27"/>
        <v>-2.2564702507318679</v>
      </c>
      <c r="M448">
        <v>447</v>
      </c>
      <c r="N448">
        <v>-2.2564702507318679</v>
      </c>
    </row>
    <row r="449" spans="1:14">
      <c r="A449">
        <v>448</v>
      </c>
      <c r="B449">
        <v>426</v>
      </c>
      <c r="C449">
        <v>76</v>
      </c>
      <c r="D449">
        <v>402</v>
      </c>
      <c r="E449">
        <v>161</v>
      </c>
      <c r="G449">
        <f t="shared" si="24"/>
        <v>-1.5542388242179377</v>
      </c>
      <c r="H449">
        <f t="shared" si="25"/>
        <v>-0.7515098645551006</v>
      </c>
      <c r="I449">
        <f t="shared" si="26"/>
        <v>-1.8909524813969891</v>
      </c>
      <c r="K449">
        <f t="shared" si="27"/>
        <v>-1.3989003900566759</v>
      </c>
      <c r="M449">
        <v>448</v>
      </c>
      <c r="N449">
        <v>-1.3989003900566759</v>
      </c>
    </row>
    <row r="450" spans="1:14">
      <c r="A450">
        <v>449</v>
      </c>
      <c r="B450">
        <v>1010</v>
      </c>
      <c r="C450">
        <v>59</v>
      </c>
      <c r="D450">
        <v>87</v>
      </c>
      <c r="E450">
        <v>183</v>
      </c>
      <c r="G450">
        <f t="shared" si="24"/>
        <v>-2.0391121795365086</v>
      </c>
      <c r="H450">
        <f t="shared" si="25"/>
        <v>-1.7911284397008758</v>
      </c>
      <c r="I450">
        <f t="shared" si="26"/>
        <v>-2.2102390423783334</v>
      </c>
      <c r="K450">
        <f t="shared" si="27"/>
        <v>-2.0134932205385727</v>
      </c>
      <c r="M450">
        <v>449</v>
      </c>
      <c r="N450">
        <v>-2.0134932205385727</v>
      </c>
    </row>
    <row r="451" spans="1:14">
      <c r="A451">
        <v>450</v>
      </c>
      <c r="B451">
        <v>1225</v>
      </c>
      <c r="C451">
        <v>30</v>
      </c>
      <c r="D451">
        <v>3</v>
      </c>
      <c r="E451">
        <v>14</v>
      </c>
      <c r="G451">
        <f t="shared" ref="G451:G514" si="28">LOG10(C451/B451)-LOG10(151582/23714)</f>
        <v>-2.4166576513768989</v>
      </c>
      <c r="H451">
        <f t="shared" ref="H451:H514" si="29">LOG10(D451/B451)-LOG10(126279/23714)</f>
        <v>-3.3373411525177406</v>
      </c>
      <c r="I451">
        <f t="shared" ref="I451:I514" si="30">LOG10(E451/B451)-LOG10(697226/23714)</f>
        <v>-3.4103768113484332</v>
      </c>
      <c r="K451">
        <f t="shared" ref="K451:K514" si="31">AVERAGE(G451:I451)</f>
        <v>-3.0547918717476907</v>
      </c>
      <c r="M451">
        <v>450</v>
      </c>
      <c r="N451">
        <v>-3.0547918717476907</v>
      </c>
    </row>
    <row r="452" spans="1:14">
      <c r="A452">
        <v>451</v>
      </c>
      <c r="B452">
        <v>794</v>
      </c>
      <c r="C452">
        <v>132</v>
      </c>
      <c r="D452">
        <v>45</v>
      </c>
      <c r="E452">
        <v>19</v>
      </c>
      <c r="G452">
        <f t="shared" si="28"/>
        <v>-1.5848893886172564</v>
      </c>
      <c r="H452">
        <f t="shared" si="29"/>
        <v>-1.9729343071886043</v>
      </c>
      <c r="I452">
        <f t="shared" si="30"/>
        <v>-3.0894356598003876</v>
      </c>
      <c r="K452">
        <f t="shared" si="31"/>
        <v>-2.215753118535416</v>
      </c>
      <c r="M452">
        <v>451</v>
      </c>
      <c r="N452">
        <v>-2.215753118535416</v>
      </c>
    </row>
    <row r="453" spans="1:14">
      <c r="A453">
        <v>452</v>
      </c>
      <c r="B453">
        <v>922</v>
      </c>
      <c r="C453">
        <v>10</v>
      </c>
      <c r="D453">
        <v>22</v>
      </c>
      <c r="E453">
        <v>51</v>
      </c>
      <c r="G453">
        <f t="shared" si="28"/>
        <v>-2.7703737384496394</v>
      </c>
      <c r="H453">
        <f t="shared" si="29"/>
        <v>-2.3486345587682749</v>
      </c>
      <c r="I453">
        <f t="shared" si="30"/>
        <v>-2.725529503281813</v>
      </c>
      <c r="K453">
        <f t="shared" si="31"/>
        <v>-2.6148459334999092</v>
      </c>
      <c r="M453">
        <v>452</v>
      </c>
      <c r="N453">
        <v>-2.6148459334999092</v>
      </c>
    </row>
    <row r="454" spans="1:14">
      <c r="A454">
        <v>453</v>
      </c>
      <c r="B454">
        <v>824</v>
      </c>
      <c r="C454">
        <v>20</v>
      </c>
      <c r="D454">
        <v>71</v>
      </c>
      <c r="E454">
        <v>35</v>
      </c>
      <c r="G454">
        <f t="shared" si="28"/>
        <v>-2.4205400334291447</v>
      </c>
      <c r="H454">
        <f t="shared" si="29"/>
        <v>-1.7909951815148921</v>
      </c>
      <c r="I454">
        <f t="shared" si="30"/>
        <v>-2.8402279256729601</v>
      </c>
      <c r="K454">
        <f t="shared" si="31"/>
        <v>-2.350587713538999</v>
      </c>
      <c r="M454">
        <v>453</v>
      </c>
      <c r="N454">
        <v>-2.350587713538999</v>
      </c>
    </row>
    <row r="455" spans="1:14">
      <c r="A455">
        <v>454</v>
      </c>
      <c r="B455">
        <v>1361</v>
      </c>
      <c r="C455">
        <v>19</v>
      </c>
      <c r="D455">
        <v>11</v>
      </c>
      <c r="E455">
        <v>14</v>
      </c>
      <c r="G455">
        <f t="shared" si="28"/>
        <v>-2.6607473416465157</v>
      </c>
      <c r="H455">
        <f t="shared" si="29"/>
        <v>-2.8187917585819613</v>
      </c>
      <c r="I455">
        <f t="shared" si="30"/>
        <v>-3.4560988478512167</v>
      </c>
      <c r="K455">
        <f t="shared" si="31"/>
        <v>-2.9785459826932317</v>
      </c>
      <c r="M455">
        <v>454</v>
      </c>
      <c r="N455">
        <v>-2.9785459826932317</v>
      </c>
    </row>
    <row r="456" spans="1:14">
      <c r="A456">
        <v>455</v>
      </c>
      <c r="B456">
        <v>1269</v>
      </c>
      <c r="C456">
        <v>19</v>
      </c>
      <c r="D456">
        <v>15</v>
      </c>
      <c r="E456">
        <v>14</v>
      </c>
      <c r="G456">
        <f t="shared" si="28"/>
        <v>-2.6303508385378858</v>
      </c>
      <c r="H456">
        <f t="shared" si="29"/>
        <v>-2.6536966815758753</v>
      </c>
      <c r="I456">
        <f t="shared" si="30"/>
        <v>-3.4257023447425867</v>
      </c>
      <c r="K456">
        <f t="shared" si="31"/>
        <v>-2.9032499549521162</v>
      </c>
      <c r="M456">
        <v>455</v>
      </c>
      <c r="N456">
        <v>-2.9032499549521162</v>
      </c>
    </row>
    <row r="457" spans="1:14">
      <c r="A457">
        <v>456</v>
      </c>
      <c r="B457">
        <v>1355</v>
      </c>
      <c r="C457">
        <v>8</v>
      </c>
      <c r="D457">
        <v>9</v>
      </c>
      <c r="E457">
        <v>7</v>
      </c>
      <c r="G457">
        <f t="shared" si="28"/>
        <v>-3.0344921256144906</v>
      </c>
      <c r="H457">
        <f t="shared" si="29"/>
        <v>-2.9040231043079516</v>
      </c>
      <c r="I457">
        <f t="shared" si="30"/>
        <v>-3.7552100135222877</v>
      </c>
      <c r="K457">
        <f t="shared" si="31"/>
        <v>-3.2312417478149098</v>
      </c>
      <c r="M457">
        <v>456</v>
      </c>
      <c r="N457">
        <v>-3.2312417478149098</v>
      </c>
    </row>
    <row r="458" spans="1:14">
      <c r="A458">
        <v>457</v>
      </c>
      <c r="B458">
        <v>948</v>
      </c>
      <c r="C458">
        <v>22</v>
      </c>
      <c r="D458">
        <v>6</v>
      </c>
      <c r="E458">
        <v>16</v>
      </c>
      <c r="G458">
        <f t="shared" si="28"/>
        <v>-2.4400284739118701</v>
      </c>
      <c r="H458">
        <f t="shared" si="29"/>
        <v>-2.9249834054912744</v>
      </c>
      <c r="I458">
        <f t="shared" si="30"/>
        <v>-3.2410571130082615</v>
      </c>
      <c r="K458">
        <f t="shared" si="31"/>
        <v>-2.8686896641371358</v>
      </c>
      <c r="M458">
        <v>457</v>
      </c>
      <c r="N458">
        <v>-2.8686896641371358</v>
      </c>
    </row>
    <row r="459" spans="1:14">
      <c r="A459">
        <v>458</v>
      </c>
      <c r="B459">
        <v>1066</v>
      </c>
      <c r="C459">
        <v>17</v>
      </c>
      <c r="D459">
        <v>96</v>
      </c>
      <c r="E459">
        <v>83</v>
      </c>
      <c r="G459">
        <f t="shared" si="28"/>
        <v>-2.6029511007082897</v>
      </c>
      <c r="H459">
        <f t="shared" si="29"/>
        <v>-1.7718122901878366</v>
      </c>
      <c r="I459">
        <f t="shared" si="30"/>
        <v>-2.5770478706405995</v>
      </c>
      <c r="K459">
        <f t="shared" si="31"/>
        <v>-2.3172704205122421</v>
      </c>
      <c r="M459">
        <v>458</v>
      </c>
      <c r="N459">
        <v>-2.3172704205122421</v>
      </c>
    </row>
    <row r="460" spans="1:14">
      <c r="A460">
        <v>459</v>
      </c>
      <c r="B460">
        <v>745</v>
      </c>
      <c r="C460">
        <v>265</v>
      </c>
      <c r="D460">
        <v>20</v>
      </c>
      <c r="E460">
        <v>202</v>
      </c>
      <c r="G460">
        <f t="shared" si="28"/>
        <v>-1.254553216207495</v>
      </c>
      <c r="H460">
        <f t="shared" si="29"/>
        <v>-2.2974525956211633</v>
      </c>
      <c r="I460">
        <f t="shared" si="30"/>
        <v>-2.0351736616277893</v>
      </c>
      <c r="K460">
        <f t="shared" si="31"/>
        <v>-1.862393157818816</v>
      </c>
      <c r="M460">
        <v>459</v>
      </c>
      <c r="N460">
        <v>-1.862393157818816</v>
      </c>
    </row>
    <row r="461" spans="1:14">
      <c r="A461">
        <v>460</v>
      </c>
      <c r="B461">
        <v>578</v>
      </c>
      <c r="C461">
        <v>9</v>
      </c>
      <c r="D461">
        <v>45</v>
      </c>
      <c r="E461">
        <v>31</v>
      </c>
      <c r="G461">
        <f t="shared" si="28"/>
        <v>-2.6133281463772144</v>
      </c>
      <c r="H461">
        <f t="shared" si="29"/>
        <v>-1.8350416431820369</v>
      </c>
      <c r="I461">
        <f t="shared" si="30"/>
        <v>-2.7389349029123764</v>
      </c>
      <c r="K461">
        <f t="shared" si="31"/>
        <v>-2.3957682308238759</v>
      </c>
      <c r="M461">
        <v>460</v>
      </c>
      <c r="N461">
        <v>-2.3957682308238759</v>
      </c>
    </row>
    <row r="462" spans="1:14">
      <c r="A462">
        <v>461</v>
      </c>
      <c r="B462">
        <v>909</v>
      </c>
      <c r="C462">
        <v>6</v>
      </c>
      <c r="D462">
        <v>7</v>
      </c>
      <c r="E462">
        <v>15</v>
      </c>
      <c r="G462">
        <f t="shared" si="28"/>
        <v>-2.9860554502343337</v>
      </c>
      <c r="H462">
        <f t="shared" si="29"/>
        <v>-2.8397921617445623</v>
      </c>
      <c r="I462">
        <f t="shared" si="30"/>
        <v>-3.2508413824924061</v>
      </c>
      <c r="K462">
        <f t="shared" si="31"/>
        <v>-3.0255629981571004</v>
      </c>
      <c r="M462">
        <v>461</v>
      </c>
      <c r="N462">
        <v>-3.0255629981571004</v>
      </c>
    </row>
    <row r="463" spans="1:14">
      <c r="A463">
        <v>462</v>
      </c>
      <c r="B463">
        <v>1387</v>
      </c>
      <c r="C463">
        <v>111</v>
      </c>
      <c r="D463">
        <v>730</v>
      </c>
      <c r="E463">
        <v>352</v>
      </c>
      <c r="G463">
        <f t="shared" si="28"/>
        <v>-1.9023962996826373</v>
      </c>
      <c r="H463">
        <f t="shared" si="29"/>
        <v>-1.0050799194896807</v>
      </c>
      <c r="I463">
        <f t="shared" si="30"/>
        <v>-2.063902555921274</v>
      </c>
      <c r="K463">
        <f t="shared" si="31"/>
        <v>-1.6571262583645308</v>
      </c>
      <c r="M463">
        <v>462</v>
      </c>
      <c r="N463">
        <v>-1.6571262583645308</v>
      </c>
    </row>
    <row r="464" spans="1:14">
      <c r="A464">
        <v>463</v>
      </c>
      <c r="B464">
        <v>694</v>
      </c>
      <c r="C464">
        <v>6</v>
      </c>
      <c r="D464">
        <v>7</v>
      </c>
      <c r="E464">
        <v>15</v>
      </c>
      <c r="G464">
        <f t="shared" si="28"/>
        <v>-2.8688510374672216</v>
      </c>
      <c r="H464">
        <f t="shared" si="29"/>
        <v>-2.7225877489774497</v>
      </c>
      <c r="I464">
        <f t="shared" si="30"/>
        <v>-3.1336369697252939</v>
      </c>
      <c r="K464">
        <f t="shared" si="31"/>
        <v>-2.9083585853899883</v>
      </c>
      <c r="M464">
        <v>463</v>
      </c>
      <c r="N464">
        <v>-2.9083585853899883</v>
      </c>
    </row>
    <row r="465" spans="1:14">
      <c r="A465">
        <v>464</v>
      </c>
      <c r="B465">
        <v>931</v>
      </c>
      <c r="C465">
        <v>820</v>
      </c>
      <c r="D465">
        <v>311</v>
      </c>
      <c r="E465">
        <v>387</v>
      </c>
      <c r="G465">
        <f t="shared" si="28"/>
        <v>-0.86077864599363596</v>
      </c>
      <c r="H465">
        <f t="shared" si="29"/>
        <v>-1.2025156104913568</v>
      </c>
      <c r="I465">
        <f t="shared" si="30"/>
        <v>-1.8496074742885513</v>
      </c>
      <c r="K465">
        <f t="shared" si="31"/>
        <v>-1.3043005769245146</v>
      </c>
      <c r="M465">
        <v>464</v>
      </c>
      <c r="N465">
        <v>-1.3043005769245146</v>
      </c>
    </row>
    <row r="466" spans="1:14">
      <c r="A466">
        <v>465</v>
      </c>
      <c r="B466">
        <v>1120</v>
      </c>
      <c r="C466">
        <v>106</v>
      </c>
      <c r="D466">
        <v>297</v>
      </c>
      <c r="E466">
        <v>216</v>
      </c>
      <c r="G466">
        <f t="shared" si="28"/>
        <v>-1.8295549748014213</v>
      </c>
      <c r="H466">
        <f t="shared" si="29"/>
        <v>-1.302787891889821</v>
      </c>
      <c r="I466">
        <f t="shared" si="30"/>
        <v>-2.1831330298453708</v>
      </c>
      <c r="K466">
        <f t="shared" si="31"/>
        <v>-1.7718252988455376</v>
      </c>
      <c r="M466">
        <v>465</v>
      </c>
      <c r="N466">
        <v>-1.7718252988455376</v>
      </c>
    </row>
    <row r="467" spans="1:14">
      <c r="A467">
        <v>466</v>
      </c>
      <c r="B467">
        <v>1698</v>
      </c>
      <c r="C467">
        <v>232</v>
      </c>
      <c r="D467">
        <v>1891</v>
      </c>
      <c r="E467">
        <v>404</v>
      </c>
      <c r="G467">
        <f t="shared" si="28"/>
        <v>-1.6700925184130442</v>
      </c>
      <c r="H467">
        <f t="shared" si="29"/>
        <v>-0.67957247559974587</v>
      </c>
      <c r="I467">
        <f t="shared" si="30"/>
        <v>-2.0919250791234489</v>
      </c>
      <c r="K467">
        <f t="shared" si="31"/>
        <v>-1.4805300243787463</v>
      </c>
      <c r="M467">
        <v>466</v>
      </c>
      <c r="N467">
        <v>-1.4805300243787463</v>
      </c>
    </row>
    <row r="468" spans="1:14">
      <c r="A468">
        <v>467</v>
      </c>
      <c r="B468">
        <v>810</v>
      </c>
      <c r="C468">
        <v>1447</v>
      </c>
      <c r="D468">
        <v>445</v>
      </c>
      <c r="E468">
        <v>626</v>
      </c>
      <c r="G468">
        <f t="shared" si="28"/>
        <v>-0.55365930515562223</v>
      </c>
      <c r="H468">
        <f t="shared" si="29"/>
        <v>-0.98645132643456979</v>
      </c>
      <c r="I468">
        <f t="shared" si="30"/>
        <v>-1.5802794439943402</v>
      </c>
      <c r="K468">
        <f t="shared" si="31"/>
        <v>-1.040130025194844</v>
      </c>
      <c r="M468">
        <v>467</v>
      </c>
      <c r="N468">
        <v>-1.040130025194844</v>
      </c>
    </row>
    <row r="469" spans="1:14">
      <c r="A469">
        <v>468</v>
      </c>
      <c r="B469">
        <v>1052</v>
      </c>
      <c r="C469">
        <v>476</v>
      </c>
      <c r="D469">
        <v>508</v>
      </c>
      <c r="E469">
        <v>627</v>
      </c>
      <c r="G469">
        <f t="shared" si="28"/>
        <v>-1.1500516044932372</v>
      </c>
      <c r="H469">
        <f t="shared" si="29"/>
        <v>-1.0424783460706526</v>
      </c>
      <c r="I469">
        <f t="shared" si="30"/>
        <v>-1.6931169573131239</v>
      </c>
      <c r="K469">
        <f t="shared" si="31"/>
        <v>-1.2952156359590046</v>
      </c>
      <c r="M469">
        <v>468</v>
      </c>
      <c r="N469">
        <v>-1.2952156359590046</v>
      </c>
    </row>
    <row r="470" spans="1:14">
      <c r="A470">
        <v>469</v>
      </c>
      <c r="B470">
        <v>913</v>
      </c>
      <c r="C470">
        <v>80</v>
      </c>
      <c r="D470">
        <v>210</v>
      </c>
      <c r="E470">
        <v>39</v>
      </c>
      <c r="G470">
        <f t="shared" si="28"/>
        <v>-1.8630236079383653</v>
      </c>
      <c r="H470">
        <f t="shared" si="29"/>
        <v>-1.3645778013372314</v>
      </c>
      <c r="I470">
        <f t="shared" si="30"/>
        <v>-2.8377749288339196</v>
      </c>
      <c r="K470">
        <f t="shared" si="31"/>
        <v>-2.0217921127031722</v>
      </c>
      <c r="M470">
        <v>469</v>
      </c>
      <c r="N470">
        <v>-2.0217921127031722</v>
      </c>
    </row>
    <row r="471" spans="1:14">
      <c r="A471">
        <v>470</v>
      </c>
      <c r="B471">
        <v>777</v>
      </c>
      <c r="C471">
        <v>216</v>
      </c>
      <c r="D471">
        <v>21</v>
      </c>
      <c r="E471">
        <v>85</v>
      </c>
      <c r="G471">
        <f t="shared" si="28"/>
        <v>-1.3616100850459933</v>
      </c>
      <c r="H471">
        <f t="shared" si="29"/>
        <v>-2.2945280426038468</v>
      </c>
      <c r="I471">
        <f t="shared" si="30"/>
        <v>-2.4293708514127417</v>
      </c>
      <c r="K471">
        <f t="shared" si="31"/>
        <v>-2.0285029930208607</v>
      </c>
      <c r="M471">
        <v>470</v>
      </c>
      <c r="N471">
        <v>-2.0285029930208607</v>
      </c>
    </row>
    <row r="472" spans="1:14">
      <c r="A472">
        <v>471</v>
      </c>
      <c r="B472">
        <v>687</v>
      </c>
      <c r="C472">
        <v>212</v>
      </c>
      <c r="D472">
        <v>61</v>
      </c>
      <c r="E472">
        <v>44</v>
      </c>
      <c r="G472">
        <f t="shared" si="28"/>
        <v>-1.3162636935268091</v>
      </c>
      <c r="H472">
        <f t="shared" si="29"/>
        <v>-1.7779532205856352</v>
      </c>
      <c r="I472">
        <f t="shared" si="30"/>
        <v>-2.6618728188994831</v>
      </c>
      <c r="K472">
        <f t="shared" si="31"/>
        <v>-1.9186965776706426</v>
      </c>
      <c r="M472">
        <v>471</v>
      </c>
      <c r="N472">
        <v>-1.9186965776706426</v>
      </c>
    </row>
    <row r="473" spans="1:14">
      <c r="A473">
        <v>472</v>
      </c>
      <c r="B473">
        <v>1179</v>
      </c>
      <c r="C473">
        <v>49</v>
      </c>
      <c r="D473">
        <v>47</v>
      </c>
      <c r="E473">
        <v>129</v>
      </c>
      <c r="G473">
        <f t="shared" si="28"/>
        <v>-2.1869605424625855</v>
      </c>
      <c r="H473">
        <f t="shared" si="29"/>
        <v>-2.1257422656962235</v>
      </c>
      <c r="I473">
        <f t="shared" si="30"/>
        <v>-2.42929285312196</v>
      </c>
      <c r="K473">
        <f t="shared" si="31"/>
        <v>-2.2473318870935897</v>
      </c>
      <c r="M473">
        <v>472</v>
      </c>
      <c r="N473">
        <v>-2.2473318870935897</v>
      </c>
    </row>
    <row r="474" spans="1:14">
      <c r="A474">
        <v>473</v>
      </c>
      <c r="B474">
        <v>839</v>
      </c>
      <c r="C474">
        <v>6720</v>
      </c>
      <c r="D474">
        <v>1695</v>
      </c>
      <c r="E474">
        <v>527</v>
      </c>
      <c r="G474">
        <f t="shared" si="28"/>
        <v>9.7964494829115067E-2</v>
      </c>
      <c r="H474">
        <f t="shared" si="29"/>
        <v>-0.42091857682645101</v>
      </c>
      <c r="I474">
        <f t="shared" si="30"/>
        <v>-1.6703201039422737</v>
      </c>
      <c r="K474">
        <f t="shared" si="31"/>
        <v>-0.66442472864653657</v>
      </c>
      <c r="M474">
        <v>473</v>
      </c>
      <c r="N474">
        <v>-0.66442472864653657</v>
      </c>
    </row>
    <row r="475" spans="1:14">
      <c r="A475">
        <v>474</v>
      </c>
      <c r="B475">
        <v>1309</v>
      </c>
      <c r="C475">
        <v>100</v>
      </c>
      <c r="D475">
        <v>211</v>
      </c>
      <c r="E475">
        <v>109</v>
      </c>
      <c r="G475">
        <f t="shared" si="28"/>
        <v>-1.9225824639467657</v>
      </c>
      <c r="H475">
        <f t="shared" si="29"/>
        <v>-1.5189835097899147</v>
      </c>
      <c r="I475">
        <f t="shared" si="30"/>
        <v>-2.5478819069362522</v>
      </c>
      <c r="K475">
        <f t="shared" si="31"/>
        <v>-1.9964826268909774</v>
      </c>
      <c r="M475">
        <v>474</v>
      </c>
      <c r="N475">
        <v>-1.9964826268909774</v>
      </c>
    </row>
    <row r="476" spans="1:14">
      <c r="A476">
        <v>475</v>
      </c>
      <c r="B476">
        <v>1309</v>
      </c>
      <c r="C476">
        <v>103</v>
      </c>
      <c r="D476">
        <v>300</v>
      </c>
      <c r="E476">
        <v>239</v>
      </c>
      <c r="G476">
        <f t="shared" si="28"/>
        <v>-1.9097452392415935</v>
      </c>
      <c r="H476">
        <f t="shared" si="29"/>
        <v>-1.3661447103679452</v>
      </c>
      <c r="I476">
        <f t="shared" si="30"/>
        <v>-2.206910503928738</v>
      </c>
      <c r="K476">
        <f t="shared" si="31"/>
        <v>-1.8276001511794255</v>
      </c>
      <c r="M476">
        <v>475</v>
      </c>
      <c r="N476">
        <v>-1.8276001511794255</v>
      </c>
    </row>
    <row r="477" spans="1:14">
      <c r="A477">
        <v>476</v>
      </c>
      <c r="B477">
        <v>1327</v>
      </c>
      <c r="C477">
        <v>1680</v>
      </c>
      <c r="D477">
        <v>1636</v>
      </c>
      <c r="E477">
        <v>1123</v>
      </c>
      <c r="G477">
        <f t="shared" si="28"/>
        <v>-0.70320445853458258</v>
      </c>
      <c r="H477">
        <f t="shared" si="29"/>
        <v>-0.63541394206598301</v>
      </c>
      <c r="I477">
        <f t="shared" si="30"/>
        <v>-1.5408599249290977</v>
      </c>
      <c r="K477">
        <f t="shared" si="31"/>
        <v>-0.95982610850988781</v>
      </c>
      <c r="M477">
        <v>476</v>
      </c>
      <c r="N477">
        <v>-0.95982610850988781</v>
      </c>
    </row>
    <row r="478" spans="1:14">
      <c r="A478">
        <v>477</v>
      </c>
      <c r="B478">
        <v>1977</v>
      </c>
      <c r="C478">
        <v>1574</v>
      </c>
      <c r="D478">
        <v>398</v>
      </c>
      <c r="E478">
        <v>900</v>
      </c>
      <c r="G478">
        <f t="shared" si="28"/>
        <v>-0.90464475868663652</v>
      </c>
      <c r="H478">
        <f t="shared" si="29"/>
        <v>-1.4224499157768362</v>
      </c>
      <c r="I478">
        <f t="shared" si="30"/>
        <v>-1.8101329182004675</v>
      </c>
      <c r="K478">
        <f t="shared" si="31"/>
        <v>-1.3790758642213135</v>
      </c>
      <c r="M478">
        <v>477</v>
      </c>
      <c r="N478">
        <v>-1.3790758642213135</v>
      </c>
    </row>
    <row r="479" spans="1:14">
      <c r="A479">
        <v>478</v>
      </c>
      <c r="B479">
        <v>1399</v>
      </c>
      <c r="C479">
        <v>548</v>
      </c>
      <c r="D479">
        <v>32553</v>
      </c>
      <c r="E479">
        <v>623</v>
      </c>
      <c r="G479">
        <f t="shared" si="28"/>
        <v>-1.2126799734034683</v>
      </c>
      <c r="H479">
        <f t="shared" si="29"/>
        <v>0.64044698517226528</v>
      </c>
      <c r="I479">
        <f t="shared" si="30"/>
        <v>-1.8196984261587781</v>
      </c>
      <c r="K479">
        <f t="shared" si="31"/>
        <v>-0.79731047146332701</v>
      </c>
      <c r="M479">
        <v>478</v>
      </c>
      <c r="N479">
        <v>-0.79731047146332701</v>
      </c>
    </row>
    <row r="480" spans="1:14">
      <c r="A480">
        <v>479</v>
      </c>
      <c r="B480">
        <v>1071</v>
      </c>
      <c r="C480">
        <v>709</v>
      </c>
      <c r="D480">
        <v>1760</v>
      </c>
      <c r="E480">
        <v>613</v>
      </c>
      <c r="G480">
        <f t="shared" si="28"/>
        <v>-0.98478605304479905</v>
      </c>
      <c r="H480">
        <f t="shared" si="29"/>
        <v>-0.51060312155455756</v>
      </c>
      <c r="I480">
        <f t="shared" si="30"/>
        <v>-1.7106977546395608</v>
      </c>
      <c r="K480">
        <f t="shared" si="31"/>
        <v>-1.068695643079639</v>
      </c>
      <c r="M480">
        <v>479</v>
      </c>
      <c r="N480">
        <v>-1.068695643079639</v>
      </c>
    </row>
    <row r="481" spans="1:14">
      <c r="A481">
        <v>480</v>
      </c>
      <c r="B481">
        <v>1230</v>
      </c>
      <c r="C481">
        <v>153</v>
      </c>
      <c r="D481">
        <v>211</v>
      </c>
      <c r="E481">
        <v>169</v>
      </c>
      <c r="G481">
        <f t="shared" si="28"/>
        <v>-1.7108564980178089</v>
      </c>
      <c r="H481">
        <f t="shared" si="29"/>
        <v>-1.491948974678557</v>
      </c>
      <c r="I481">
        <f t="shared" si="30"/>
        <v>-2.3303871651518442</v>
      </c>
      <c r="K481">
        <f t="shared" si="31"/>
        <v>-1.8443975459494035</v>
      </c>
      <c r="M481">
        <v>480</v>
      </c>
      <c r="N481">
        <v>-1.8443975459494035</v>
      </c>
    </row>
    <row r="482" spans="1:14">
      <c r="A482">
        <v>481</v>
      </c>
      <c r="B482">
        <v>772</v>
      </c>
      <c r="C482">
        <v>787</v>
      </c>
      <c r="D482">
        <v>679</v>
      </c>
      <c r="E482">
        <v>2087</v>
      </c>
      <c r="G482">
        <f t="shared" si="28"/>
        <v>-0.79728538537268157</v>
      </c>
      <c r="H482">
        <f t="shared" si="29"/>
        <v>-0.78207384459208618</v>
      </c>
      <c r="I482">
        <f t="shared" si="30"/>
        <v>-1.0364636095964022</v>
      </c>
      <c r="K482">
        <f t="shared" si="31"/>
        <v>-0.87194094652039</v>
      </c>
      <c r="M482">
        <v>481</v>
      </c>
      <c r="N482">
        <v>-0.87194094652039</v>
      </c>
    </row>
    <row r="483" spans="1:14">
      <c r="A483">
        <v>482</v>
      </c>
      <c r="B483">
        <v>1071</v>
      </c>
      <c r="C483">
        <v>295</v>
      </c>
      <c r="D483">
        <v>4533</v>
      </c>
      <c r="E483">
        <v>1812</v>
      </c>
      <c r="G483">
        <f t="shared" si="28"/>
        <v>-1.3656102722497026</v>
      </c>
      <c r="H483">
        <f t="shared" si="29"/>
        <v>-9.973007031001957E-2</v>
      </c>
      <c r="I483">
        <f t="shared" si="30"/>
        <v>-1.2400000358171814</v>
      </c>
      <c r="K483">
        <f t="shared" si="31"/>
        <v>-0.90178012612563452</v>
      </c>
      <c r="M483">
        <v>482</v>
      </c>
      <c r="N483">
        <v>-0.90178012612563452</v>
      </c>
    </row>
    <row r="484" spans="1:14">
      <c r="A484">
        <v>483</v>
      </c>
      <c r="B484">
        <v>648</v>
      </c>
      <c r="C484">
        <v>35</v>
      </c>
      <c r="D484">
        <v>41</v>
      </c>
      <c r="E484">
        <v>97</v>
      </c>
      <c r="G484">
        <f t="shared" si="28"/>
        <v>-2.0731497789163278</v>
      </c>
      <c r="H484">
        <f t="shared" si="29"/>
        <v>-1.9251174676877096</v>
      </c>
      <c r="I484">
        <f t="shared" si="30"/>
        <v>-2.2931720299304685</v>
      </c>
      <c r="K484">
        <f t="shared" si="31"/>
        <v>-2.097146425511502</v>
      </c>
      <c r="M484">
        <v>483</v>
      </c>
      <c r="N484">
        <v>-2.097146425511502</v>
      </c>
    </row>
    <row r="485" spans="1:14">
      <c r="A485">
        <v>484</v>
      </c>
      <c r="B485">
        <v>552</v>
      </c>
      <c r="C485">
        <v>445</v>
      </c>
      <c r="D485">
        <v>383</v>
      </c>
      <c r="E485">
        <v>152</v>
      </c>
      <c r="G485">
        <f t="shared" si="28"/>
        <v>-0.89922188414427728</v>
      </c>
      <c r="H485">
        <f t="shared" si="29"/>
        <v>-0.88506662229742794</v>
      </c>
      <c r="I485">
        <f t="shared" si="30"/>
        <v>-2.0284642481105464</v>
      </c>
      <c r="K485">
        <f t="shared" si="31"/>
        <v>-1.2709175848507506</v>
      </c>
      <c r="M485">
        <v>484</v>
      </c>
      <c r="N485">
        <v>-1.2709175848507506</v>
      </c>
    </row>
    <row r="486" spans="1:14">
      <c r="A486">
        <v>485</v>
      </c>
      <c r="B486">
        <v>1215</v>
      </c>
      <c r="C486">
        <v>1986</v>
      </c>
      <c r="D486">
        <v>1900</v>
      </c>
      <c r="E486">
        <v>203</v>
      </c>
      <c r="G486">
        <f t="shared" si="28"/>
        <v>-0.59223985117097855</v>
      </c>
      <c r="H486">
        <f t="shared" si="29"/>
        <v>-0.53214899551835371</v>
      </c>
      <c r="I486">
        <f t="shared" si="30"/>
        <v>-2.2454489983472383</v>
      </c>
      <c r="K486">
        <f t="shared" si="31"/>
        <v>-1.1232792816788568</v>
      </c>
      <c r="M486">
        <v>485</v>
      </c>
      <c r="N486">
        <v>-1.1232792816788568</v>
      </c>
    </row>
    <row r="487" spans="1:14">
      <c r="A487">
        <v>486</v>
      </c>
      <c r="B487">
        <v>1500</v>
      </c>
      <c r="C487">
        <v>114</v>
      </c>
      <c r="D487">
        <v>1360</v>
      </c>
      <c r="E487">
        <v>467</v>
      </c>
      <c r="G487">
        <f t="shared" si="28"/>
        <v>-1.9248292251152186</v>
      </c>
      <c r="H487">
        <f t="shared" si="29"/>
        <v>-0.7688786692223154</v>
      </c>
      <c r="I487">
        <f t="shared" si="30"/>
        <v>-1.9751431368156891</v>
      </c>
      <c r="K487">
        <f t="shared" si="31"/>
        <v>-1.5562836770510744</v>
      </c>
      <c r="M487">
        <v>486</v>
      </c>
      <c r="N487">
        <v>-1.5562836770510744</v>
      </c>
    </row>
    <row r="488" spans="1:14">
      <c r="A488">
        <v>487</v>
      </c>
      <c r="B488">
        <v>1465</v>
      </c>
      <c r="C488">
        <v>1358</v>
      </c>
      <c r="D488">
        <v>1182</v>
      </c>
      <c r="E488">
        <v>2133</v>
      </c>
      <c r="G488">
        <f t="shared" si="28"/>
        <v>-0.83858067214165533</v>
      </c>
      <c r="H488">
        <f t="shared" si="29"/>
        <v>-0.81954646668174336</v>
      </c>
      <c r="I488">
        <f t="shared" si="30"/>
        <v>-1.3052155275668196</v>
      </c>
      <c r="K488">
        <f t="shared" si="31"/>
        <v>-0.98778088879673953</v>
      </c>
      <c r="M488">
        <v>487</v>
      </c>
      <c r="N488">
        <v>-0.98778088879673953</v>
      </c>
    </row>
    <row r="489" spans="1:14">
      <c r="A489">
        <v>488</v>
      </c>
      <c r="B489">
        <v>850</v>
      </c>
      <c r="C489">
        <v>2557</v>
      </c>
      <c r="D489">
        <v>140</v>
      </c>
      <c r="E489">
        <v>61</v>
      </c>
      <c r="G489">
        <f t="shared" si="28"/>
        <v>-0.32733101508396723</v>
      </c>
      <c r="H489">
        <f t="shared" si="29"/>
        <v>-1.5096172085729065</v>
      </c>
      <c r="I489">
        <f t="shared" si="30"/>
        <v>-2.6124578490296457</v>
      </c>
      <c r="K489">
        <f t="shared" si="31"/>
        <v>-1.4831353575621733</v>
      </c>
      <c r="M489">
        <v>488</v>
      </c>
      <c r="N489">
        <v>-1.4831353575621733</v>
      </c>
    </row>
    <row r="490" spans="1:14">
      <c r="A490">
        <v>489</v>
      </c>
      <c r="B490">
        <v>859</v>
      </c>
      <c r="C490">
        <v>540</v>
      </c>
      <c r="D490">
        <v>607</v>
      </c>
      <c r="E490">
        <v>5366</v>
      </c>
      <c r="G490">
        <f t="shared" si="28"/>
        <v>-1.0072422214042838</v>
      </c>
      <c r="H490">
        <f t="shared" si="29"/>
        <v>-0.87713079129283644</v>
      </c>
      <c r="I490">
        <f t="shared" si="30"/>
        <v>-0.67271125382144215</v>
      </c>
      <c r="K490">
        <f t="shared" si="31"/>
        <v>-0.85236142217285416</v>
      </c>
      <c r="M490">
        <v>489</v>
      </c>
      <c r="N490">
        <v>-0.85236142217285416</v>
      </c>
    </row>
    <row r="491" spans="1:14">
      <c r="A491">
        <v>490</v>
      </c>
      <c r="B491">
        <v>1057</v>
      </c>
      <c r="C491">
        <v>272</v>
      </c>
      <c r="D491">
        <v>2622</v>
      </c>
      <c r="E491">
        <v>3817</v>
      </c>
      <c r="G491">
        <f t="shared" si="28"/>
        <v>-1.3951489006692375</v>
      </c>
      <c r="H491">
        <f t="shared" si="29"/>
        <v>-0.3317686184902125</v>
      </c>
      <c r="I491">
        <f t="shared" si="30"/>
        <v>-0.9107215856844475</v>
      </c>
      <c r="K491">
        <f t="shared" si="31"/>
        <v>-0.87921303494796577</v>
      </c>
      <c r="M491">
        <v>490</v>
      </c>
      <c r="N491">
        <v>-0.87921303494796577</v>
      </c>
    </row>
    <row r="492" spans="1:14">
      <c r="A492">
        <v>491</v>
      </c>
      <c r="B492">
        <v>612</v>
      </c>
      <c r="C492">
        <v>619</v>
      </c>
      <c r="D492">
        <v>1431</v>
      </c>
      <c r="E492">
        <v>2275</v>
      </c>
      <c r="G492">
        <f t="shared" si="28"/>
        <v>-0.80070359052145323</v>
      </c>
      <c r="H492">
        <f t="shared" si="29"/>
        <v>-0.3574381069226365</v>
      </c>
      <c r="I492">
        <f t="shared" si="30"/>
        <v>-0.89813877947855003</v>
      </c>
      <c r="K492">
        <f t="shared" si="31"/>
        <v>-0.68542682564087987</v>
      </c>
      <c r="M492">
        <v>491</v>
      </c>
      <c r="N492">
        <v>-0.68542682564087987</v>
      </c>
    </row>
    <row r="493" spans="1:14">
      <c r="A493">
        <v>492</v>
      </c>
      <c r="B493">
        <v>1344</v>
      </c>
      <c r="C493">
        <v>173</v>
      </c>
      <c r="D493">
        <v>239</v>
      </c>
      <c r="E493">
        <v>182</v>
      </c>
      <c r="G493">
        <f t="shared" si="28"/>
        <v>-1.6959959829850211</v>
      </c>
      <c r="H493">
        <f t="shared" si="29"/>
        <v>-1.4763276863065204</v>
      </c>
      <c r="I493">
        <f t="shared" si="30"/>
        <v>-2.3366966390588519</v>
      </c>
      <c r="K493">
        <f t="shared" si="31"/>
        <v>-1.8363401027834645</v>
      </c>
      <c r="M493">
        <v>492</v>
      </c>
      <c r="N493">
        <v>-1.8363401027834645</v>
      </c>
    </row>
    <row r="494" spans="1:14">
      <c r="A494">
        <v>493</v>
      </c>
      <c r="B494">
        <v>1424</v>
      </c>
      <c r="C494">
        <v>2123</v>
      </c>
      <c r="D494">
        <v>246</v>
      </c>
      <c r="E494">
        <v>660</v>
      </c>
      <c r="G494">
        <f t="shared" si="28"/>
        <v>-0.63220281253084876</v>
      </c>
      <c r="H494">
        <f t="shared" si="29"/>
        <v>-1.4889012007343101</v>
      </c>
      <c r="I494">
        <f t="shared" si="30"/>
        <v>-1.8023348120850888</v>
      </c>
      <c r="K494">
        <f t="shared" si="31"/>
        <v>-1.3078129417834159</v>
      </c>
      <c r="M494">
        <v>493</v>
      </c>
      <c r="N494">
        <v>-1.3078129417834159</v>
      </c>
    </row>
    <row r="495" spans="1:14">
      <c r="A495">
        <v>494</v>
      </c>
      <c r="B495">
        <v>679</v>
      </c>
      <c r="C495">
        <v>108</v>
      </c>
      <c r="D495">
        <v>174</v>
      </c>
      <c r="E495">
        <v>922</v>
      </c>
      <c r="G495">
        <f t="shared" si="28"/>
        <v>-1.604088836189562</v>
      </c>
      <c r="H495">
        <f t="shared" si="29"/>
        <v>-1.3176468445347536</v>
      </c>
      <c r="I495">
        <f t="shared" si="30"/>
        <v>-1.3355076115529922</v>
      </c>
      <c r="K495">
        <f t="shared" si="31"/>
        <v>-1.4190810974257693</v>
      </c>
      <c r="M495">
        <v>494</v>
      </c>
      <c r="N495">
        <v>-1.4190810974257693</v>
      </c>
    </row>
    <row r="496" spans="1:14">
      <c r="A496">
        <v>495</v>
      </c>
      <c r="B496">
        <v>1060</v>
      </c>
      <c r="C496">
        <v>1469</v>
      </c>
      <c r="D496">
        <v>128</v>
      </c>
      <c r="E496">
        <v>1350</v>
      </c>
      <c r="G496">
        <f t="shared" si="28"/>
        <v>-0.6639268868705237</v>
      </c>
      <c r="H496">
        <f t="shared" si="29"/>
        <v>-1.6444222141537534</v>
      </c>
      <c r="I496">
        <f t="shared" si="30"/>
        <v>-1.3633408550958841</v>
      </c>
      <c r="K496">
        <f t="shared" si="31"/>
        <v>-1.2238966520400538</v>
      </c>
      <c r="M496">
        <v>495</v>
      </c>
      <c r="N496">
        <v>-1.2238966520400538</v>
      </c>
    </row>
    <row r="497" spans="1:14">
      <c r="A497">
        <v>496</v>
      </c>
      <c r="B497">
        <v>1048</v>
      </c>
      <c r="C497">
        <v>533</v>
      </c>
      <c r="D497">
        <v>453</v>
      </c>
      <c r="E497">
        <v>588</v>
      </c>
      <c r="G497">
        <f t="shared" si="28"/>
        <v>-1.0992768910171455</v>
      </c>
      <c r="H497">
        <f t="shared" si="29"/>
        <v>-1.0905893991717277</v>
      </c>
      <c r="I497">
        <f t="shared" si="30"/>
        <v>-1.7193527148976893</v>
      </c>
      <c r="K497">
        <f t="shared" si="31"/>
        <v>-1.3030730016955208</v>
      </c>
      <c r="M497">
        <v>496</v>
      </c>
      <c r="N497">
        <v>-1.3030730016955208</v>
      </c>
    </row>
    <row r="498" spans="1:14">
      <c r="A498">
        <v>497</v>
      </c>
      <c r="B498">
        <v>998</v>
      </c>
      <c r="C498">
        <v>179</v>
      </c>
      <c r="D498">
        <v>1559</v>
      </c>
      <c r="E498">
        <v>707</v>
      </c>
      <c r="G498">
        <f t="shared" si="28"/>
        <v>-1.5519203277034879</v>
      </c>
      <c r="H498">
        <f t="shared" si="29"/>
        <v>-0.53261074463538116</v>
      </c>
      <c r="I498">
        <f t="shared" si="30"/>
        <v>-1.6180798858165917</v>
      </c>
      <c r="K498">
        <f t="shared" si="31"/>
        <v>-1.234203652718487</v>
      </c>
      <c r="M498">
        <v>497</v>
      </c>
      <c r="N498">
        <v>-1.234203652718487</v>
      </c>
    </row>
    <row r="499" spans="1:14">
      <c r="A499">
        <v>498</v>
      </c>
      <c r="B499">
        <v>672</v>
      </c>
      <c r="C499">
        <v>173</v>
      </c>
      <c r="D499">
        <v>263</v>
      </c>
      <c r="E499">
        <v>403</v>
      </c>
      <c r="G499">
        <f t="shared" si="28"/>
        <v>-1.3949659873210398</v>
      </c>
      <c r="H499">
        <f t="shared" si="29"/>
        <v>-1.1337398431009191</v>
      </c>
      <c r="I499">
        <f t="shared" si="30"/>
        <v>-1.6904329852388358</v>
      </c>
      <c r="K499">
        <f t="shared" si="31"/>
        <v>-1.4063796052202651</v>
      </c>
      <c r="M499">
        <v>498</v>
      </c>
      <c r="N499">
        <v>-1.4063796052202651</v>
      </c>
    </row>
    <row r="500" spans="1:14">
      <c r="A500">
        <v>499</v>
      </c>
      <c r="B500">
        <v>1123</v>
      </c>
      <c r="C500">
        <v>223</v>
      </c>
      <c r="D500">
        <v>127</v>
      </c>
      <c r="E500">
        <v>374</v>
      </c>
      <c r="G500">
        <f t="shared" si="28"/>
        <v>-1.5077177106093069</v>
      </c>
      <c r="H500">
        <f t="shared" si="29"/>
        <v>-1.6729023538423526</v>
      </c>
      <c r="I500">
        <f t="shared" si="30"/>
        <v>-1.9458769123870976</v>
      </c>
      <c r="K500">
        <f t="shared" si="31"/>
        <v>-1.708832325612919</v>
      </c>
      <c r="M500">
        <v>499</v>
      </c>
      <c r="N500">
        <v>-1.708832325612919</v>
      </c>
    </row>
    <row r="501" spans="1:14">
      <c r="A501">
        <v>500</v>
      </c>
      <c r="B501">
        <v>1515</v>
      </c>
      <c r="C501">
        <v>531</v>
      </c>
      <c r="D501">
        <v>1914</v>
      </c>
      <c r="E501">
        <v>214</v>
      </c>
      <c r="G501">
        <f t="shared" si="28"/>
        <v>-1.2609609291528647</v>
      </c>
      <c r="H501">
        <f t="shared" si="29"/>
        <v>-0.62479701793435072</v>
      </c>
      <c r="I501">
        <f t="shared" si="30"/>
        <v>-2.318367617815253</v>
      </c>
      <c r="K501">
        <f t="shared" si="31"/>
        <v>-1.4013751883008227</v>
      </c>
      <c r="M501">
        <v>500</v>
      </c>
      <c r="N501">
        <v>-1.4013751883008227</v>
      </c>
    </row>
    <row r="502" spans="1:14">
      <c r="A502">
        <v>501</v>
      </c>
      <c r="B502">
        <v>1152</v>
      </c>
      <c r="C502">
        <v>380</v>
      </c>
      <c r="D502">
        <v>74</v>
      </c>
      <c r="E502">
        <v>402</v>
      </c>
      <c r="G502">
        <f t="shared" si="28"/>
        <v>-1.2873116998663932</v>
      </c>
      <c r="H502">
        <f t="shared" si="29"/>
        <v>-1.9185470778930687</v>
      </c>
      <c r="I502">
        <f t="shared" si="30"/>
        <v>-1.9255951843288432</v>
      </c>
      <c r="K502">
        <f t="shared" si="31"/>
        <v>-1.7104846540294349</v>
      </c>
      <c r="M502">
        <v>501</v>
      </c>
      <c r="N502">
        <v>-1.7104846540294349</v>
      </c>
    </row>
    <row r="503" spans="1:14">
      <c r="A503">
        <v>502</v>
      </c>
      <c r="B503">
        <v>925</v>
      </c>
      <c r="C503">
        <v>397</v>
      </c>
      <c r="D503">
        <v>559</v>
      </c>
      <c r="E503">
        <v>517</v>
      </c>
      <c r="G503">
        <f t="shared" si="28"/>
        <v>-1.1729940433719275</v>
      </c>
      <c r="H503">
        <f t="shared" si="29"/>
        <v>-0.94505624338946093</v>
      </c>
      <c r="I503">
        <f t="shared" si="30"/>
        <v>-1.7210199479712101</v>
      </c>
      <c r="K503">
        <f t="shared" si="31"/>
        <v>-1.2796900782441993</v>
      </c>
      <c r="M503">
        <v>502</v>
      </c>
      <c r="N503">
        <v>-1.2796900782441993</v>
      </c>
    </row>
    <row r="504" spans="1:14">
      <c r="A504">
        <v>503</v>
      </c>
      <c r="B504">
        <v>1568</v>
      </c>
      <c r="C504">
        <v>85</v>
      </c>
      <c r="D504">
        <v>118</v>
      </c>
      <c r="E504">
        <v>188</v>
      </c>
      <c r="G504">
        <f t="shared" si="28"/>
        <v>-2.0715699500301366</v>
      </c>
      <c r="H504">
        <f t="shared" si="29"/>
        <v>-1.849790369579146</v>
      </c>
      <c r="I504">
        <f t="shared" si="30"/>
        <v>-2.3895569674108597</v>
      </c>
      <c r="K504">
        <f t="shared" si="31"/>
        <v>-2.103639095673381</v>
      </c>
      <c r="M504">
        <v>503</v>
      </c>
      <c r="N504">
        <v>-2.103639095673381</v>
      </c>
    </row>
    <row r="505" spans="1:14">
      <c r="A505">
        <v>504</v>
      </c>
      <c r="B505">
        <v>852</v>
      </c>
      <c r="C505">
        <v>155</v>
      </c>
      <c r="D505">
        <v>568</v>
      </c>
      <c r="E505">
        <v>369</v>
      </c>
      <c r="G505">
        <f t="shared" si="28"/>
        <v>-1.5457507139924185</v>
      </c>
      <c r="H505">
        <f t="shared" si="29"/>
        <v>-0.90241757759253294</v>
      </c>
      <c r="I505">
        <f t="shared" si="30"/>
        <v>-1.8317819869337597</v>
      </c>
      <c r="K505">
        <f t="shared" si="31"/>
        <v>-1.4266500928395704</v>
      </c>
      <c r="M505">
        <v>504</v>
      </c>
      <c r="N505">
        <v>-1.4266500928395704</v>
      </c>
    </row>
    <row r="506" spans="1:14">
      <c r="A506">
        <v>505</v>
      </c>
      <c r="B506">
        <v>966</v>
      </c>
      <c r="C506">
        <v>157</v>
      </c>
      <c r="D506">
        <v>412</v>
      </c>
      <c r="E506">
        <v>2432</v>
      </c>
      <c r="G506">
        <f t="shared" si="28"/>
        <v>-1.5947202914022696</v>
      </c>
      <c r="H506">
        <f t="shared" si="29"/>
        <v>-1.0964062289192105</v>
      </c>
      <c r="I506">
        <f t="shared" si="30"/>
        <v>-1.067382314140916</v>
      </c>
      <c r="K506">
        <f t="shared" si="31"/>
        <v>-1.252836278154132</v>
      </c>
      <c r="M506">
        <v>505</v>
      </c>
      <c r="N506">
        <v>-1.252836278154132</v>
      </c>
    </row>
    <row r="507" spans="1:14">
      <c r="A507">
        <v>506</v>
      </c>
      <c r="B507">
        <v>1438</v>
      </c>
      <c r="C507">
        <v>935</v>
      </c>
      <c r="D507">
        <v>928</v>
      </c>
      <c r="E507">
        <v>1165</v>
      </c>
      <c r="G507">
        <f t="shared" si="28"/>
        <v>-0.99259009257035591</v>
      </c>
      <c r="H507">
        <f t="shared" si="29"/>
        <v>-0.91653722836485341</v>
      </c>
      <c r="I507">
        <f t="shared" si="30"/>
        <v>-1.5598017190109461</v>
      </c>
      <c r="K507">
        <f t="shared" si="31"/>
        <v>-1.1563096799820518</v>
      </c>
      <c r="M507">
        <v>506</v>
      </c>
      <c r="N507">
        <v>-1.1563096799820518</v>
      </c>
    </row>
    <row r="508" spans="1:14">
      <c r="A508">
        <v>507</v>
      </c>
      <c r="B508">
        <v>1520</v>
      </c>
      <c r="C508">
        <v>156</v>
      </c>
      <c r="D508">
        <v>361</v>
      </c>
      <c r="E508">
        <v>964</v>
      </c>
      <c r="G508">
        <f t="shared" si="28"/>
        <v>-1.7943618069863208</v>
      </c>
      <c r="H508">
        <f t="shared" si="29"/>
        <v>-1.3506627045759663</v>
      </c>
      <c r="I508">
        <f t="shared" si="30"/>
        <v>-1.6661353123680618</v>
      </c>
      <c r="K508">
        <f t="shared" si="31"/>
        <v>-1.6037199413101162</v>
      </c>
      <c r="M508">
        <v>507</v>
      </c>
      <c r="N508">
        <v>-1.6037199413101162</v>
      </c>
    </row>
    <row r="509" spans="1:14">
      <c r="A509">
        <v>508</v>
      </c>
      <c r="B509">
        <v>844</v>
      </c>
      <c r="C509">
        <v>192</v>
      </c>
      <c r="D509">
        <v>222</v>
      </c>
      <c r="E509">
        <v>643</v>
      </c>
      <c r="G509">
        <f t="shared" si="28"/>
        <v>-1.4486840353181154</v>
      </c>
      <c r="H509">
        <f t="shared" si="29"/>
        <v>-1.3063157907118681</v>
      </c>
      <c r="I509">
        <f t="shared" si="30"/>
        <v>-1.586500232027553</v>
      </c>
      <c r="K509">
        <f t="shared" si="31"/>
        <v>-1.4471666860191787</v>
      </c>
      <c r="M509">
        <v>508</v>
      </c>
      <c r="N509">
        <v>-1.4471666860191787</v>
      </c>
    </row>
    <row r="510" spans="1:14">
      <c r="A510">
        <v>509</v>
      </c>
      <c r="B510">
        <v>1244</v>
      </c>
      <c r="C510">
        <v>297</v>
      </c>
      <c r="D510">
        <v>381</v>
      </c>
      <c r="E510">
        <v>1132</v>
      </c>
      <c r="G510">
        <f t="shared" si="28"/>
        <v>-1.4277067484335975</v>
      </c>
      <c r="H510">
        <f t="shared" si="29"/>
        <v>-1.2402217232160324</v>
      </c>
      <c r="I510">
        <f t="shared" si="30"/>
        <v>-1.5093427118286673</v>
      </c>
      <c r="K510">
        <f t="shared" si="31"/>
        <v>-1.3924237278260989</v>
      </c>
      <c r="M510">
        <v>509</v>
      </c>
      <c r="N510">
        <v>-1.3924237278260989</v>
      </c>
    </row>
    <row r="511" spans="1:14">
      <c r="A511">
        <v>510</v>
      </c>
      <c r="B511">
        <v>509</v>
      </c>
      <c r="C511">
        <v>274</v>
      </c>
      <c r="D511">
        <v>398</v>
      </c>
      <c r="E511">
        <v>173</v>
      </c>
      <c r="G511">
        <f t="shared" si="28"/>
        <v>-1.0746100369123808</v>
      </c>
      <c r="H511">
        <f t="shared" si="29"/>
        <v>-0.8331610287999226</v>
      </c>
      <c r="I511">
        <f t="shared" si="30"/>
        <v>-1.9370404375340833</v>
      </c>
      <c r="K511">
        <f t="shared" si="31"/>
        <v>-1.2816038344154623</v>
      </c>
      <c r="M511">
        <v>510</v>
      </c>
      <c r="N511">
        <v>-1.2816038344154623</v>
      </c>
    </row>
    <row r="512" spans="1:14">
      <c r="A512">
        <v>511</v>
      </c>
      <c r="B512">
        <v>1451</v>
      </c>
      <c r="C512">
        <v>919</v>
      </c>
      <c r="D512">
        <v>360</v>
      </c>
      <c r="E512">
        <v>1140</v>
      </c>
      <c r="G512">
        <f t="shared" si="28"/>
        <v>-1.0039947184476345</v>
      </c>
      <c r="H512">
        <f t="shared" si="29"/>
        <v>-1.3316912302073003</v>
      </c>
      <c r="I512">
        <f t="shared" si="30"/>
        <v>-1.5731313194273833</v>
      </c>
      <c r="K512">
        <f t="shared" si="31"/>
        <v>-1.3029390893607726</v>
      </c>
      <c r="M512">
        <v>511</v>
      </c>
      <c r="N512">
        <v>-1.3029390893607726</v>
      </c>
    </row>
    <row r="513" spans="1:14">
      <c r="A513">
        <v>512</v>
      </c>
      <c r="B513">
        <v>1179</v>
      </c>
      <c r="C513">
        <v>82</v>
      </c>
      <c r="D513">
        <v>1725</v>
      </c>
      <c r="E513">
        <v>1574</v>
      </c>
      <c r="G513">
        <f t="shared" si="28"/>
        <v>-1.9633427701073825</v>
      </c>
      <c r="H513">
        <f t="shared" si="29"/>
        <v>-0.56105102422264785</v>
      </c>
      <c r="I513">
        <f t="shared" si="30"/>
        <v>-1.3428778353981634</v>
      </c>
      <c r="K513">
        <f t="shared" si="31"/>
        <v>-1.2890905432427313</v>
      </c>
      <c r="M513">
        <v>512</v>
      </c>
      <c r="N513">
        <v>-1.2890905432427313</v>
      </c>
    </row>
    <row r="514" spans="1:14">
      <c r="A514">
        <v>513</v>
      </c>
      <c r="B514">
        <v>990</v>
      </c>
      <c r="C514">
        <v>277</v>
      </c>
      <c r="D514">
        <v>87</v>
      </c>
      <c r="E514">
        <v>1745</v>
      </c>
      <c r="G514">
        <f t="shared" si="28"/>
        <v>-1.3587982429291112</v>
      </c>
      <c r="H514">
        <f t="shared" si="29"/>
        <v>-1.7824422605157832</v>
      </c>
      <c r="I514">
        <f t="shared" si="30"/>
        <v>-1.2222085216284713</v>
      </c>
      <c r="K514">
        <f t="shared" si="31"/>
        <v>-1.4544830083577887</v>
      </c>
      <c r="M514">
        <v>513</v>
      </c>
      <c r="N514">
        <v>-1.4544830083577887</v>
      </c>
    </row>
    <row r="515" spans="1:14">
      <c r="A515">
        <v>514</v>
      </c>
      <c r="B515">
        <v>1423</v>
      </c>
      <c r="C515">
        <v>865</v>
      </c>
      <c r="D515">
        <v>1105</v>
      </c>
      <c r="E515">
        <v>790</v>
      </c>
      <c r="G515">
        <f t="shared" ref="G515:G578" si="32">LOG10(C515/B515)-LOG10(151582/23714)</f>
        <v>-1.0218316100154801</v>
      </c>
      <c r="H515">
        <f t="shared" ref="H515:H578" si="33">LOG10(D515/B515)-LOG10(126279/23714)</f>
        <v>-0.83616894060000657</v>
      </c>
      <c r="I515">
        <f t="shared" ref="I515:I578" si="34">LOG10(E515/B515)-LOG10(697226/23714)</f>
        <v>-1.723946567119963</v>
      </c>
      <c r="K515">
        <f t="shared" ref="K515:K578" si="35">AVERAGE(G515:I515)</f>
        <v>-1.1939823725784831</v>
      </c>
      <c r="M515">
        <v>514</v>
      </c>
      <c r="N515">
        <v>-1.1939823725784831</v>
      </c>
    </row>
    <row r="516" spans="1:14">
      <c r="A516">
        <v>515</v>
      </c>
      <c r="B516">
        <v>721</v>
      </c>
      <c r="C516">
        <v>1980</v>
      </c>
      <c r="D516">
        <v>44</v>
      </c>
      <c r="E516">
        <v>137</v>
      </c>
      <c r="G516">
        <f t="shared" si="32"/>
        <v>-0.36691289185390785</v>
      </c>
      <c r="H516">
        <f t="shared" si="33"/>
        <v>-1.9408089067700933</v>
      </c>
      <c r="I516">
        <f t="shared" si="34"/>
        <v>-2.1895834558891423</v>
      </c>
      <c r="K516">
        <f t="shared" si="35"/>
        <v>-1.4991017515043812</v>
      </c>
      <c r="M516">
        <v>515</v>
      </c>
      <c r="N516">
        <v>-1.4991017515043812</v>
      </c>
    </row>
    <row r="517" spans="1:14">
      <c r="A517">
        <v>516</v>
      </c>
      <c r="B517">
        <v>817</v>
      </c>
      <c r="C517">
        <v>347</v>
      </c>
      <c r="D517">
        <v>104</v>
      </c>
      <c r="E517">
        <v>394</v>
      </c>
      <c r="G517">
        <f t="shared" si="32"/>
        <v>-1.1775353991375517</v>
      </c>
      <c r="H517">
        <f t="shared" si="33"/>
        <v>-1.6215150357704868</v>
      </c>
      <c r="I517">
        <f t="shared" si="34"/>
        <v>-1.7850945930329614</v>
      </c>
      <c r="K517">
        <f t="shared" si="35"/>
        <v>-1.528048342647</v>
      </c>
      <c r="M517">
        <v>516</v>
      </c>
      <c r="N517">
        <v>-1.528048342647</v>
      </c>
    </row>
    <row r="518" spans="1:14">
      <c r="A518">
        <v>517</v>
      </c>
      <c r="B518">
        <v>968</v>
      </c>
      <c r="C518">
        <v>37885</v>
      </c>
      <c r="D518">
        <v>3852</v>
      </c>
      <c r="E518">
        <v>11580</v>
      </c>
      <c r="G518">
        <f t="shared" si="32"/>
        <v>0.78694911688104385</v>
      </c>
      <c r="H518">
        <f t="shared" si="33"/>
        <v>-0.12651539739274842</v>
      </c>
      <c r="I518">
        <f t="shared" si="34"/>
        <v>-0.39053555624309633</v>
      </c>
      <c r="K518">
        <f t="shared" si="35"/>
        <v>8.9966054415066374E-2</v>
      </c>
      <c r="M518">
        <v>517</v>
      </c>
      <c r="N518">
        <v>-0.24336727891826695</v>
      </c>
    </row>
    <row r="519" spans="1:14">
      <c r="A519">
        <v>518</v>
      </c>
      <c r="B519">
        <v>1689</v>
      </c>
      <c r="C519">
        <v>731</v>
      </c>
      <c r="D519">
        <v>1807</v>
      </c>
      <c r="E519">
        <v>1107</v>
      </c>
      <c r="G519">
        <f t="shared" si="32"/>
        <v>-1.1693550900091583</v>
      </c>
      <c r="H519">
        <f t="shared" si="33"/>
        <v>-0.69699781554692852</v>
      </c>
      <c r="I519">
        <f t="shared" si="34"/>
        <v>-1.6518507870184058</v>
      </c>
      <c r="K519">
        <f t="shared" si="35"/>
        <v>-1.1727345641914975</v>
      </c>
      <c r="M519">
        <v>518</v>
      </c>
      <c r="N519">
        <v>-1.1727345641914975</v>
      </c>
    </row>
    <row r="520" spans="1:14">
      <c r="A520">
        <v>519</v>
      </c>
      <c r="B520">
        <v>888</v>
      </c>
      <c r="C520">
        <v>1113</v>
      </c>
      <c r="D520">
        <v>109</v>
      </c>
      <c r="E520">
        <v>110</v>
      </c>
      <c r="G520">
        <f t="shared" si="32"/>
        <v>-0.70756061883990273</v>
      </c>
      <c r="H520">
        <f t="shared" si="33"/>
        <v>-1.6373127863748291</v>
      </c>
      <c r="I520">
        <f t="shared" si="34"/>
        <v>-2.375389038946496</v>
      </c>
      <c r="K520">
        <f t="shared" si="35"/>
        <v>-1.5734208147204092</v>
      </c>
      <c r="M520">
        <v>519</v>
      </c>
      <c r="N520">
        <v>-1.5734208147204092</v>
      </c>
    </row>
    <row r="521" spans="1:14">
      <c r="A521">
        <v>520</v>
      </c>
      <c r="B521">
        <v>1038</v>
      </c>
      <c r="C521">
        <v>346</v>
      </c>
      <c r="D521">
        <v>544</v>
      </c>
      <c r="E521">
        <v>4304</v>
      </c>
      <c r="G521">
        <f t="shared" si="32"/>
        <v>-1.2827640721156723</v>
      </c>
      <c r="H521">
        <f t="shared" si="33"/>
        <v>-1.0069247723511108</v>
      </c>
      <c r="I521">
        <f t="shared" si="34"/>
        <v>-0.85069384918022639</v>
      </c>
      <c r="K521">
        <f t="shared" si="35"/>
        <v>-1.0467942312156697</v>
      </c>
      <c r="M521">
        <v>520</v>
      </c>
      <c r="N521">
        <v>-1.0467942312156697</v>
      </c>
    </row>
    <row r="522" spans="1:14">
      <c r="A522">
        <v>521</v>
      </c>
      <c r="B522">
        <v>1066</v>
      </c>
      <c r="C522">
        <v>288</v>
      </c>
      <c r="D522">
        <v>371</v>
      </c>
      <c r="E522">
        <v>346</v>
      </c>
      <c r="G522">
        <f t="shared" si="32"/>
        <v>-1.3740075343273326</v>
      </c>
      <c r="H522">
        <f t="shared" si="33"/>
        <v>-1.1847096136123594</v>
      </c>
      <c r="I522">
        <f t="shared" si="34"/>
        <v>-1.9570498642238969</v>
      </c>
      <c r="K522">
        <f t="shared" si="35"/>
        <v>-1.5052556707211966</v>
      </c>
      <c r="M522">
        <v>521</v>
      </c>
      <c r="N522">
        <v>-1.5052556707211966</v>
      </c>
    </row>
    <row r="523" spans="1:14">
      <c r="A523">
        <v>522</v>
      </c>
      <c r="B523">
        <v>980</v>
      </c>
      <c r="C523">
        <v>181</v>
      </c>
      <c r="D523">
        <v>428</v>
      </c>
      <c r="E523">
        <v>149</v>
      </c>
      <c r="G523">
        <f t="shared" si="32"/>
        <v>-1.5391903182193203</v>
      </c>
      <c r="H523">
        <f t="shared" si="33"/>
        <v>-1.0861086252161745</v>
      </c>
      <c r="I523">
        <f t="shared" si="34"/>
        <v>-2.2864085656063411</v>
      </c>
      <c r="K523">
        <f t="shared" si="35"/>
        <v>-1.6372358363472788</v>
      </c>
      <c r="M523">
        <v>522</v>
      </c>
      <c r="N523">
        <v>-1.6372358363472788</v>
      </c>
    </row>
    <row r="524" spans="1:14">
      <c r="A524">
        <v>523</v>
      </c>
      <c r="B524">
        <v>805</v>
      </c>
      <c r="C524">
        <v>1775</v>
      </c>
      <c r="D524">
        <v>1099</v>
      </c>
      <c r="E524">
        <v>3656</v>
      </c>
      <c r="G524">
        <f t="shared" si="32"/>
        <v>-0.46224034037276562</v>
      </c>
      <c r="H524">
        <f t="shared" si="33"/>
        <v>-0.59112450648122972</v>
      </c>
      <c r="I524">
        <f t="shared" si="34"/>
        <v>-0.81115845163219469</v>
      </c>
      <c r="K524">
        <f t="shared" si="35"/>
        <v>-0.62150776616206338</v>
      </c>
      <c r="M524">
        <v>523</v>
      </c>
      <c r="N524">
        <v>-0.62150776616206338</v>
      </c>
    </row>
    <row r="525" spans="1:14">
      <c r="A525">
        <v>524</v>
      </c>
      <c r="B525">
        <v>766</v>
      </c>
      <c r="C525">
        <v>1063</v>
      </c>
      <c r="D525">
        <v>524</v>
      </c>
      <c r="E525">
        <v>207</v>
      </c>
      <c r="G525">
        <f t="shared" si="32"/>
        <v>-0.6633383225053171</v>
      </c>
      <c r="H525">
        <f t="shared" si="33"/>
        <v>-0.89122380118572897</v>
      </c>
      <c r="I525">
        <f t="shared" si="34"/>
        <v>-2.0366271825018063</v>
      </c>
      <c r="K525">
        <f t="shared" si="35"/>
        <v>-1.1970631020642841</v>
      </c>
      <c r="M525">
        <v>524</v>
      </c>
      <c r="N525">
        <v>-1.1970631020642841</v>
      </c>
    </row>
    <row r="526" spans="1:14">
      <c r="A526">
        <v>525</v>
      </c>
      <c r="B526">
        <v>826</v>
      </c>
      <c r="C526">
        <v>69</v>
      </c>
      <c r="D526">
        <v>59</v>
      </c>
      <c r="E526">
        <v>2270</v>
      </c>
      <c r="G526">
        <f t="shared" si="32"/>
        <v>-1.8837737739791369</v>
      </c>
      <c r="H526">
        <f t="shared" si="33"/>
        <v>-1.8724543542150895</v>
      </c>
      <c r="I526">
        <f t="shared" si="34"/>
        <v>-1.0293229484533795</v>
      </c>
      <c r="K526">
        <f t="shared" si="35"/>
        <v>-1.5951836922158684</v>
      </c>
      <c r="M526">
        <v>525</v>
      </c>
      <c r="N526">
        <v>-1.5951836922158684</v>
      </c>
    </row>
    <row r="527" spans="1:14">
      <c r="A527">
        <v>526</v>
      </c>
      <c r="B527">
        <v>721</v>
      </c>
      <c r="C527">
        <v>37</v>
      </c>
      <c r="D527">
        <v>29</v>
      </c>
      <c r="E527">
        <v>52</v>
      </c>
      <c r="G527">
        <f t="shared" si="32"/>
        <v>-2.0953763580484441</v>
      </c>
      <c r="H527">
        <f t="shared" si="33"/>
        <v>-2.1218635853573247</v>
      </c>
      <c r="I527">
        <f t="shared" si="34"/>
        <v>-2.6103006794107499</v>
      </c>
      <c r="K527">
        <f t="shared" si="35"/>
        <v>-2.2758468742721729</v>
      </c>
      <c r="M527">
        <v>526</v>
      </c>
      <c r="N527">
        <v>-2.2758468742721729</v>
      </c>
    </row>
    <row r="528" spans="1:14">
      <c r="A528">
        <v>527</v>
      </c>
      <c r="B528">
        <v>1231</v>
      </c>
      <c r="C528">
        <v>123</v>
      </c>
      <c r="D528">
        <v>856</v>
      </c>
      <c r="E528">
        <v>1277</v>
      </c>
      <c r="G528">
        <f t="shared" si="32"/>
        <v>-1.8059957588879283</v>
      </c>
      <c r="H528">
        <f t="shared" si="33"/>
        <v>-0.88411060679101472</v>
      </c>
      <c r="I528">
        <f t="shared" si="34"/>
        <v>-1.4524359139940211</v>
      </c>
      <c r="K528">
        <f t="shared" si="35"/>
        <v>-1.3808474265576549</v>
      </c>
      <c r="M528">
        <v>527</v>
      </c>
      <c r="N528">
        <v>-1.3808474265576549</v>
      </c>
    </row>
    <row r="529" spans="1:14">
      <c r="A529">
        <v>528</v>
      </c>
      <c r="B529">
        <v>640</v>
      </c>
      <c r="C529">
        <v>281</v>
      </c>
      <c r="D529">
        <v>1063</v>
      </c>
      <c r="E529">
        <v>583</v>
      </c>
      <c r="G529">
        <f t="shared" si="32"/>
        <v>-1.1631164714748172</v>
      </c>
      <c r="H529">
        <f t="shared" si="33"/>
        <v>-0.50597302799744215</v>
      </c>
      <c r="I529">
        <f t="shared" si="34"/>
        <v>-1.508880177550993</v>
      </c>
      <c r="K529">
        <f t="shared" si="35"/>
        <v>-1.0593232256744176</v>
      </c>
      <c r="M529">
        <v>528</v>
      </c>
      <c r="N529">
        <v>-1.0593232256744176</v>
      </c>
    </row>
    <row r="530" spans="1:14">
      <c r="A530">
        <v>529</v>
      </c>
      <c r="B530">
        <v>731</v>
      </c>
      <c r="C530">
        <v>276</v>
      </c>
      <c r="D530">
        <v>54</v>
      </c>
      <c r="E530">
        <v>271</v>
      </c>
      <c r="G530">
        <f t="shared" si="32"/>
        <v>-1.2286511122886528</v>
      </c>
      <c r="H530">
        <f t="shared" si="33"/>
        <v>-1.8578499356717435</v>
      </c>
      <c r="I530">
        <f t="shared" si="34"/>
        <v>-1.8993168444095747</v>
      </c>
      <c r="K530">
        <f t="shared" si="35"/>
        <v>-1.6619392974566569</v>
      </c>
      <c r="M530">
        <v>529</v>
      </c>
      <c r="N530">
        <v>-1.6619392974566569</v>
      </c>
    </row>
    <row r="531" spans="1:14">
      <c r="A531">
        <v>530</v>
      </c>
      <c r="B531">
        <v>1104</v>
      </c>
      <c r="C531">
        <v>1725</v>
      </c>
      <c r="D531">
        <v>290</v>
      </c>
      <c r="E531">
        <v>138</v>
      </c>
      <c r="G531">
        <f t="shared" si="32"/>
        <v>-0.61182279137989715</v>
      </c>
      <c r="H531">
        <f t="shared" si="33"/>
        <v>-1.3068973940310757</v>
      </c>
      <c r="I531">
        <f t="shared" si="34"/>
        <v>-2.3714587453180638</v>
      </c>
      <c r="K531">
        <f t="shared" si="35"/>
        <v>-1.4300596435763453</v>
      </c>
      <c r="M531">
        <v>530</v>
      </c>
      <c r="N531">
        <v>-1.4300596435763453</v>
      </c>
    </row>
    <row r="532" spans="1:14">
      <c r="A532">
        <v>531</v>
      </c>
      <c r="B532">
        <v>1178</v>
      </c>
      <c r="C532">
        <v>128</v>
      </c>
      <c r="D532">
        <v>104</v>
      </c>
      <c r="E532">
        <v>130</v>
      </c>
      <c r="G532">
        <f t="shared" si="32"/>
        <v>-1.7695781381992244</v>
      </c>
      <c r="H532">
        <f t="shared" si="33"/>
        <v>-1.7804382696891543</v>
      </c>
      <c r="I532">
        <f t="shared" si="34"/>
        <v>-2.4255706964703663</v>
      </c>
      <c r="K532">
        <f t="shared" si="35"/>
        <v>-1.9918623681195815</v>
      </c>
      <c r="M532">
        <v>531</v>
      </c>
      <c r="N532">
        <v>-1.9918623681195815</v>
      </c>
    </row>
    <row r="533" spans="1:14">
      <c r="A533">
        <v>532</v>
      </c>
      <c r="B533">
        <v>1254</v>
      </c>
      <c r="C533">
        <v>129</v>
      </c>
      <c r="D533">
        <v>609</v>
      </c>
      <c r="E533">
        <v>182</v>
      </c>
      <c r="G533">
        <f t="shared" si="32"/>
        <v>-1.7933506435914586</v>
      </c>
      <c r="H533">
        <f t="shared" si="33"/>
        <v>-1.0400065623986741</v>
      </c>
      <c r="I533">
        <f t="shared" si="34"/>
        <v>-2.306594906835743</v>
      </c>
      <c r="K533">
        <f t="shared" si="35"/>
        <v>-1.7133173709419587</v>
      </c>
      <c r="M533">
        <v>532</v>
      </c>
      <c r="N533">
        <v>-1.7133173709419587</v>
      </c>
    </row>
    <row r="534" spans="1:14">
      <c r="A534">
        <v>533</v>
      </c>
      <c r="B534">
        <v>754</v>
      </c>
      <c r="C534">
        <v>150</v>
      </c>
      <c r="D534">
        <v>654</v>
      </c>
      <c r="E534">
        <v>313</v>
      </c>
      <c r="G534">
        <f t="shared" si="32"/>
        <v>-1.5069229042101027</v>
      </c>
      <c r="H534">
        <f t="shared" si="33"/>
        <v>-0.78811991608235843</v>
      </c>
      <c r="I534">
        <f t="shared" si="34"/>
        <v>-1.8501957666494455</v>
      </c>
      <c r="K534">
        <f t="shared" si="35"/>
        <v>-1.3817461956473023</v>
      </c>
      <c r="M534">
        <v>533</v>
      </c>
      <c r="N534">
        <v>-1.3817461956473023</v>
      </c>
    </row>
    <row r="535" spans="1:14">
      <c r="A535">
        <v>534</v>
      </c>
      <c r="B535">
        <v>1241</v>
      </c>
      <c r="C535">
        <v>346</v>
      </c>
      <c r="D535">
        <v>532</v>
      </c>
      <c r="E535">
        <v>889</v>
      </c>
      <c r="G535">
        <f t="shared" si="32"/>
        <v>-1.3603385001019632</v>
      </c>
      <c r="H535">
        <f t="shared" si="33"/>
        <v>-1.0941864677405333</v>
      </c>
      <c r="I535">
        <f t="shared" si="34"/>
        <v>-1.6132387788546361</v>
      </c>
      <c r="K535">
        <f t="shared" si="35"/>
        <v>-1.3559212488990442</v>
      </c>
      <c r="M535">
        <v>534</v>
      </c>
      <c r="N535">
        <v>-1.3559212488990442</v>
      </c>
    </row>
    <row r="536" spans="1:14">
      <c r="A536">
        <v>535</v>
      </c>
      <c r="B536">
        <v>941</v>
      </c>
      <c r="C536">
        <v>1275</v>
      </c>
      <c r="D536">
        <v>75</v>
      </c>
      <c r="E536">
        <v>853</v>
      </c>
      <c r="G536">
        <f t="shared" si="32"/>
        <v>-0.67372225605329283</v>
      </c>
      <c r="H536">
        <f t="shared" si="33"/>
        <v>-1.8248546785724087</v>
      </c>
      <c r="I536">
        <f t="shared" si="34"/>
        <v>-1.5110093505858539</v>
      </c>
      <c r="K536">
        <f t="shared" si="35"/>
        <v>-1.336528761737185</v>
      </c>
      <c r="M536">
        <v>535</v>
      </c>
      <c r="N536">
        <v>-1.336528761737185</v>
      </c>
    </row>
    <row r="537" spans="1:14">
      <c r="A537">
        <v>536</v>
      </c>
      <c r="B537">
        <v>823</v>
      </c>
      <c r="C537">
        <v>141</v>
      </c>
      <c r="D537">
        <v>355</v>
      </c>
      <c r="E537">
        <v>229</v>
      </c>
      <c r="G537">
        <f t="shared" si="32"/>
        <v>-1.5718235399528999</v>
      </c>
      <c r="H537">
        <f t="shared" si="33"/>
        <v>-1.0914978006940275</v>
      </c>
      <c r="I537">
        <f t="shared" si="34"/>
        <v>-2.0239331111985019</v>
      </c>
      <c r="K537">
        <f t="shared" si="35"/>
        <v>-1.5624181506151433</v>
      </c>
      <c r="M537">
        <v>536</v>
      </c>
      <c r="N537">
        <v>-1.5624181506151433</v>
      </c>
    </row>
    <row r="538" spans="1:14">
      <c r="A538">
        <v>537</v>
      </c>
      <c r="B538">
        <v>912</v>
      </c>
      <c r="C538">
        <v>359</v>
      </c>
      <c r="D538">
        <v>246</v>
      </c>
      <c r="E538">
        <v>994</v>
      </c>
      <c r="G538">
        <f t="shared" si="32"/>
        <v>-1.2105432071461071</v>
      </c>
      <c r="H538">
        <f t="shared" si="33"/>
        <v>-1.2953860497618888</v>
      </c>
      <c r="I538">
        <f t="shared" si="34"/>
        <v>-1.4309772122572229</v>
      </c>
      <c r="K538">
        <f t="shared" si="35"/>
        <v>-1.3123021563884063</v>
      </c>
      <c r="M538">
        <v>537</v>
      </c>
      <c r="N538">
        <v>-1.3123021563884063</v>
      </c>
    </row>
    <row r="539" spans="1:14">
      <c r="A539">
        <v>538</v>
      </c>
      <c r="B539">
        <v>1738</v>
      </c>
      <c r="C539">
        <v>1930</v>
      </c>
      <c r="D539">
        <v>185</v>
      </c>
      <c r="E539">
        <v>8046</v>
      </c>
      <c r="G539">
        <f t="shared" si="32"/>
        <v>-0.76013528050088386</v>
      </c>
      <c r="H539">
        <f t="shared" si="33"/>
        <v>-1.6992043622464856</v>
      </c>
      <c r="I539">
        <f t="shared" si="34"/>
        <v>-0.80283850220352515</v>
      </c>
      <c r="K539">
        <f t="shared" si="35"/>
        <v>-1.0873927149836315</v>
      </c>
      <c r="M539">
        <v>538</v>
      </c>
      <c r="N539">
        <v>-1.0873927149836315</v>
      </c>
    </row>
    <row r="540" spans="1:14">
      <c r="A540">
        <v>539</v>
      </c>
      <c r="B540">
        <v>1149</v>
      </c>
      <c r="C540">
        <v>96</v>
      </c>
      <c r="D540">
        <v>272</v>
      </c>
      <c r="E540">
        <v>87</v>
      </c>
      <c r="G540">
        <f t="shared" si="32"/>
        <v>-1.8836916130447268</v>
      </c>
      <c r="H540">
        <f t="shared" si="33"/>
        <v>-1.3520774431909381</v>
      </c>
      <c r="I540">
        <f t="shared" si="34"/>
        <v>-2.5891695343957863</v>
      </c>
      <c r="K540">
        <f t="shared" si="35"/>
        <v>-1.9416461968771503</v>
      </c>
      <c r="M540">
        <v>539</v>
      </c>
      <c r="N540">
        <v>-1.9416461968771503</v>
      </c>
    </row>
    <row r="541" spans="1:14">
      <c r="A541">
        <v>540</v>
      </c>
      <c r="B541">
        <v>1146</v>
      </c>
      <c r="C541">
        <v>472</v>
      </c>
      <c r="D541">
        <v>206</v>
      </c>
      <c r="E541">
        <v>802</v>
      </c>
      <c r="G541">
        <f t="shared" si="32"/>
        <v>-1.1908854363932933</v>
      </c>
      <c r="H541">
        <f t="shared" si="33"/>
        <v>-1.4716437157990696</v>
      </c>
      <c r="I541">
        <f t="shared" si="34"/>
        <v>-1.6233790076733277</v>
      </c>
      <c r="K541">
        <f t="shared" si="35"/>
        <v>-1.4286360532885636</v>
      </c>
      <c r="M541">
        <v>540</v>
      </c>
      <c r="N541">
        <v>-1.4286360532885636</v>
      </c>
    </row>
    <row r="542" spans="1:14">
      <c r="A542">
        <v>541</v>
      </c>
      <c r="B542">
        <v>1379</v>
      </c>
      <c r="C542">
        <v>77947</v>
      </c>
      <c r="D542">
        <v>698</v>
      </c>
      <c r="E542">
        <v>3685</v>
      </c>
      <c r="G542">
        <f t="shared" si="32"/>
        <v>0.94659232128311133</v>
      </c>
      <c r="H542">
        <f t="shared" si="33"/>
        <v>-1.0220351620895405</v>
      </c>
      <c r="I542">
        <f t="shared" si="34"/>
        <v>-1.0414955323068995</v>
      </c>
      <c r="K542">
        <f t="shared" si="35"/>
        <v>-0.3723127910377762</v>
      </c>
      <c r="M542">
        <v>541</v>
      </c>
      <c r="N542">
        <v>-0.3723127910377762</v>
      </c>
    </row>
    <row r="543" spans="1:14">
      <c r="A543">
        <v>542</v>
      </c>
      <c r="B543">
        <v>984</v>
      </c>
      <c r="C543">
        <v>64</v>
      </c>
      <c r="D543">
        <v>7305</v>
      </c>
      <c r="E543">
        <v>639</v>
      </c>
      <c r="G543">
        <f t="shared" si="32"/>
        <v>-1.9924579418434643</v>
      </c>
      <c r="H543">
        <f t="shared" si="33"/>
        <v>0.14429880330212241</v>
      </c>
      <c r="I543">
        <f t="shared" si="34"/>
        <v>-1.6558629985990614</v>
      </c>
      <c r="K543">
        <f t="shared" si="35"/>
        <v>-1.1680073790468011</v>
      </c>
      <c r="M543">
        <v>542</v>
      </c>
      <c r="N543">
        <v>-1.1680073790468011</v>
      </c>
    </row>
    <row r="544" spans="1:14">
      <c r="A544">
        <v>543</v>
      </c>
      <c r="B544">
        <v>1151</v>
      </c>
      <c r="C544">
        <v>5140</v>
      </c>
      <c r="D544">
        <v>799</v>
      </c>
      <c r="E544">
        <v>316</v>
      </c>
      <c r="G544">
        <f t="shared" si="32"/>
        <v>-0.15575502203052605</v>
      </c>
      <c r="H544">
        <f t="shared" si="33"/>
        <v>-0.88485486285265202</v>
      </c>
      <c r="I544">
        <f t="shared" si="34"/>
        <v>-2.0297569993375078</v>
      </c>
      <c r="K544">
        <f t="shared" si="35"/>
        <v>-1.0234556280735621</v>
      </c>
      <c r="M544">
        <v>543</v>
      </c>
      <c r="N544">
        <v>-1.0234556280735621</v>
      </c>
    </row>
    <row r="545" spans="1:14">
      <c r="A545">
        <v>544</v>
      </c>
      <c r="B545">
        <v>982</v>
      </c>
      <c r="C545">
        <v>63</v>
      </c>
      <c r="D545">
        <v>130</v>
      </c>
      <c r="E545">
        <v>157</v>
      </c>
      <c r="G545">
        <f t="shared" si="32"/>
        <v>-1.998413755729378</v>
      </c>
      <c r="H545">
        <f t="shared" si="33"/>
        <v>-1.6044944540169648</v>
      </c>
      <c r="I545">
        <f t="shared" si="34"/>
        <v>-2.2645805937038359</v>
      </c>
      <c r="K545">
        <f t="shared" si="35"/>
        <v>-1.9558296011500598</v>
      </c>
      <c r="M545">
        <v>544</v>
      </c>
      <c r="N545">
        <v>-1.9558296011500598</v>
      </c>
    </row>
    <row r="546" spans="1:14">
      <c r="A546">
        <v>545</v>
      </c>
      <c r="B546">
        <v>1081</v>
      </c>
      <c r="C546">
        <v>272</v>
      </c>
      <c r="D546">
        <v>120</v>
      </c>
      <c r="E546">
        <v>1533</v>
      </c>
      <c r="G546">
        <f t="shared" si="32"/>
        <v>-1.4048996073151216</v>
      </c>
      <c r="H546">
        <f t="shared" si="33"/>
        <v>-1.6809707664425373</v>
      </c>
      <c r="I546">
        <f t="shared" si="34"/>
        <v>-1.3166522974250552</v>
      </c>
      <c r="K546">
        <f t="shared" si="35"/>
        <v>-1.4675075570609046</v>
      </c>
      <c r="M546">
        <v>545</v>
      </c>
      <c r="N546">
        <v>-1.4675075570609046</v>
      </c>
    </row>
    <row r="547" spans="1:14">
      <c r="A547">
        <v>546</v>
      </c>
      <c r="B547">
        <v>1140</v>
      </c>
      <c r="C547">
        <v>623</v>
      </c>
      <c r="D547">
        <v>2282</v>
      </c>
      <c r="E547">
        <v>812</v>
      </c>
      <c r="G547">
        <f t="shared" si="32"/>
        <v>-1.068059622073313</v>
      </c>
      <c r="H547">
        <f t="shared" si="33"/>
        <v>-0.42491552979112851</v>
      </c>
      <c r="I547">
        <f t="shared" si="34"/>
        <v>-1.6157175804214172</v>
      </c>
      <c r="K547">
        <f t="shared" si="35"/>
        <v>-1.036230910761953</v>
      </c>
      <c r="M547">
        <v>546</v>
      </c>
      <c r="N547">
        <v>-1.036230910761953</v>
      </c>
    </row>
    <row r="548" spans="1:14">
      <c r="A548">
        <v>547</v>
      </c>
      <c r="B548">
        <v>1177</v>
      </c>
      <c r="C548">
        <v>150</v>
      </c>
      <c r="D548">
        <v>98</v>
      </c>
      <c r="E548">
        <v>269</v>
      </c>
      <c r="G548">
        <f t="shared" si="32"/>
        <v>-1.7003280211837635</v>
      </c>
      <c r="H548">
        <f t="shared" si="33"/>
        <v>-1.8058767056877914</v>
      </c>
      <c r="I548">
        <f t="shared" si="34"/>
        <v>-2.1093929411671466</v>
      </c>
      <c r="K548">
        <f t="shared" si="35"/>
        <v>-1.8718658893462337</v>
      </c>
      <c r="M548">
        <v>547</v>
      </c>
      <c r="N548">
        <v>-1.8718658893462337</v>
      </c>
    </row>
    <row r="549" spans="1:14">
      <c r="A549">
        <v>548</v>
      </c>
      <c r="B549">
        <v>1202</v>
      </c>
      <c r="C549">
        <v>2090</v>
      </c>
      <c r="D549">
        <v>427</v>
      </c>
      <c r="E549">
        <v>602</v>
      </c>
      <c r="G549">
        <f t="shared" si="32"/>
        <v>-0.56540099895167661</v>
      </c>
      <c r="H549">
        <f t="shared" si="33"/>
        <v>-1.1758029111785486</v>
      </c>
      <c r="I549">
        <f t="shared" si="34"/>
        <v>-1.7686767347350161</v>
      </c>
      <c r="K549">
        <f t="shared" si="35"/>
        <v>-1.1699602149550803</v>
      </c>
      <c r="M549">
        <v>548</v>
      </c>
      <c r="N549">
        <v>-1.1699602149550803</v>
      </c>
    </row>
    <row r="550" spans="1:14">
      <c r="A550">
        <v>549</v>
      </c>
      <c r="B550">
        <v>695</v>
      </c>
      <c r="C550">
        <v>59</v>
      </c>
      <c r="D550">
        <v>28</v>
      </c>
      <c r="E550">
        <v>28</v>
      </c>
      <c r="G550">
        <f t="shared" si="32"/>
        <v>-1.8767756103439797</v>
      </c>
      <c r="H550">
        <f t="shared" si="33"/>
        <v>-2.1211530917847465</v>
      </c>
      <c r="I550">
        <f t="shared" si="34"/>
        <v>-2.8631955315740147</v>
      </c>
      <c r="K550">
        <f t="shared" si="35"/>
        <v>-2.287041411234247</v>
      </c>
      <c r="M550">
        <v>549</v>
      </c>
      <c r="N550">
        <v>-2.287041411234247</v>
      </c>
    </row>
    <row r="551" spans="1:14">
      <c r="A551">
        <v>550</v>
      </c>
      <c r="B551">
        <v>1072</v>
      </c>
      <c r="C551">
        <v>362</v>
      </c>
      <c r="D551">
        <v>2541</v>
      </c>
      <c r="E551">
        <v>499</v>
      </c>
      <c r="G551">
        <f t="shared" si="32"/>
        <v>-1.2771290322195954</v>
      </c>
      <c r="H551">
        <f t="shared" si="33"/>
        <v>-0.35151643884323353</v>
      </c>
      <c r="I551">
        <f t="shared" si="34"/>
        <v>-1.8004629980594813</v>
      </c>
      <c r="K551">
        <f t="shared" si="35"/>
        <v>-1.1430361563741034</v>
      </c>
      <c r="M551">
        <v>550</v>
      </c>
      <c r="N551">
        <v>-1.1430361563741034</v>
      </c>
    </row>
    <row r="552" spans="1:14">
      <c r="A552">
        <v>551</v>
      </c>
      <c r="B552">
        <v>961</v>
      </c>
      <c r="C552">
        <v>485</v>
      </c>
      <c r="D552">
        <v>2071</v>
      </c>
      <c r="E552">
        <v>136</v>
      </c>
      <c r="G552">
        <f t="shared" si="32"/>
        <v>-1.1026244664622915</v>
      </c>
      <c r="H552">
        <f t="shared" si="33"/>
        <v>-0.39286960731194448</v>
      </c>
      <c r="I552">
        <f t="shared" si="34"/>
        <v>-2.3175532376244479</v>
      </c>
      <c r="K552">
        <f t="shared" si="35"/>
        <v>-1.2710157704662279</v>
      </c>
      <c r="M552">
        <v>551</v>
      </c>
      <c r="N552">
        <v>-1.2710157704662279</v>
      </c>
    </row>
    <row r="553" spans="1:14">
      <c r="A553">
        <v>552</v>
      </c>
      <c r="B553">
        <v>904</v>
      </c>
      <c r="C553">
        <v>1299</v>
      </c>
      <c r="D553">
        <v>1513</v>
      </c>
      <c r="E553">
        <v>627</v>
      </c>
      <c r="G553">
        <f t="shared" si="32"/>
        <v>-0.6482020967983454</v>
      </c>
      <c r="H553">
        <f t="shared" si="33"/>
        <v>-0.50265582098902828</v>
      </c>
      <c r="I553">
        <f t="shared" si="34"/>
        <v>-1.6272696479707669</v>
      </c>
      <c r="K553">
        <f t="shared" si="35"/>
        <v>-0.92604252191938008</v>
      </c>
      <c r="M553">
        <v>552</v>
      </c>
      <c r="N553">
        <v>-0.92604252191938008</v>
      </c>
    </row>
    <row r="554" spans="1:14">
      <c r="A554">
        <v>553</v>
      </c>
      <c r="B554">
        <v>783</v>
      </c>
      <c r="C554">
        <v>941</v>
      </c>
      <c r="D554">
        <v>963</v>
      </c>
      <c r="E554">
        <v>272</v>
      </c>
      <c r="G554">
        <f t="shared" si="32"/>
        <v>-0.72581495602669643</v>
      </c>
      <c r="H554">
        <f t="shared" si="33"/>
        <v>-0.63646179347026055</v>
      </c>
      <c r="I554">
        <f t="shared" si="34"/>
        <v>-1.9275616163498648</v>
      </c>
      <c r="K554">
        <f t="shared" si="35"/>
        <v>-1.0966127886156072</v>
      </c>
      <c r="M554">
        <v>553</v>
      </c>
      <c r="N554">
        <v>-1.0966127886156072</v>
      </c>
    </row>
    <row r="555" spans="1:14">
      <c r="A555">
        <v>554</v>
      </c>
      <c r="B555">
        <v>1072</v>
      </c>
      <c r="C555">
        <v>2857</v>
      </c>
      <c r="D555">
        <v>156</v>
      </c>
      <c r="E555">
        <v>756</v>
      </c>
      <c r="G555">
        <f t="shared" si="32"/>
        <v>-0.37992736237001817</v>
      </c>
      <c r="H555">
        <f t="shared" si="33"/>
        <v>-1.5633965055391412</v>
      </c>
      <c r="I555">
        <f t="shared" si="34"/>
        <v>-1.6200417481816647</v>
      </c>
      <c r="K555">
        <f t="shared" si="35"/>
        <v>-1.1877885386969413</v>
      </c>
      <c r="M555">
        <v>554</v>
      </c>
      <c r="N555">
        <v>-1.1877885386969413</v>
      </c>
    </row>
    <row r="556" spans="1:14">
      <c r="A556">
        <v>555</v>
      </c>
      <c r="B556">
        <v>1400</v>
      </c>
      <c r="C556">
        <v>327</v>
      </c>
      <c r="D556">
        <v>119</v>
      </c>
      <c r="E556">
        <v>187</v>
      </c>
      <c r="G556">
        <f t="shared" si="32"/>
        <v>-1.437223100413962</v>
      </c>
      <c r="H556">
        <f t="shared" si="33"/>
        <v>-1.796907392822559</v>
      </c>
      <c r="I556">
        <f t="shared" si="34"/>
        <v>-2.3426551874678592</v>
      </c>
      <c r="K556">
        <f t="shared" si="35"/>
        <v>-1.8589285602347934</v>
      </c>
      <c r="M556">
        <v>555</v>
      </c>
      <c r="N556">
        <v>-1.8589285602347934</v>
      </c>
    </row>
    <row r="557" spans="1:14">
      <c r="A557">
        <v>556</v>
      </c>
      <c r="B557">
        <v>1226</v>
      </c>
      <c r="C557">
        <v>735</v>
      </c>
      <c r="D557">
        <v>189</v>
      </c>
      <c r="E557">
        <v>291</v>
      </c>
      <c r="G557">
        <f t="shared" si="32"/>
        <v>-1.0278459484942113</v>
      </c>
      <c r="H557">
        <f t="shared" si="33"/>
        <v>-1.5383549845460038</v>
      </c>
      <c r="I557">
        <f t="shared" si="34"/>
        <v>-2.092966239522609</v>
      </c>
      <c r="K557">
        <f t="shared" si="35"/>
        <v>-1.5530557241876082</v>
      </c>
      <c r="M557">
        <v>556</v>
      </c>
      <c r="N557">
        <v>-1.5530557241876082</v>
      </c>
    </row>
    <row r="558" spans="1:14">
      <c r="A558">
        <v>557</v>
      </c>
      <c r="B558">
        <v>1176</v>
      </c>
      <c r="C558">
        <v>145</v>
      </c>
      <c r="D558">
        <v>52</v>
      </c>
      <c r="E558">
        <v>970</v>
      </c>
      <c r="G558">
        <f t="shared" si="32"/>
        <v>-1.7146821369011547</v>
      </c>
      <c r="H558">
        <f t="shared" si="33"/>
        <v>-2.0807302966421721</v>
      </c>
      <c r="I558">
        <f t="shared" si="34"/>
        <v>-1.5520043457999948</v>
      </c>
      <c r="K558">
        <f t="shared" si="35"/>
        <v>-1.7824722597811071</v>
      </c>
      <c r="M558">
        <v>557</v>
      </c>
      <c r="N558">
        <v>-1.7824722597811071</v>
      </c>
    </row>
    <row r="559" spans="1:14">
      <c r="A559">
        <v>558</v>
      </c>
      <c r="B559">
        <v>993</v>
      </c>
      <c r="C559">
        <v>69</v>
      </c>
      <c r="D559">
        <v>159</v>
      </c>
      <c r="E559">
        <v>77</v>
      </c>
      <c r="G559">
        <f t="shared" si="32"/>
        <v>-1.9637429751541358</v>
      </c>
      <c r="H559">
        <f t="shared" si="33"/>
        <v>-1.5218784427117815</v>
      </c>
      <c r="I559">
        <f t="shared" si="34"/>
        <v>-2.5788272816490192</v>
      </c>
      <c r="K559">
        <f t="shared" si="35"/>
        <v>-2.0214828998383121</v>
      </c>
      <c r="M559">
        <v>558</v>
      </c>
      <c r="N559">
        <v>-2.0214828998383121</v>
      </c>
    </row>
    <row r="560" spans="1:14">
      <c r="A560">
        <v>559</v>
      </c>
      <c r="B560">
        <v>960</v>
      </c>
      <c r="C560">
        <v>169</v>
      </c>
      <c r="D560">
        <v>234</v>
      </c>
      <c r="E560">
        <v>142</v>
      </c>
      <c r="G560">
        <f t="shared" si="32"/>
        <v>-1.5600273458219047</v>
      </c>
      <c r="H560">
        <f t="shared" si="33"/>
        <v>-1.3393816941662773</v>
      </c>
      <c r="I560">
        <f t="shared" si="34"/>
        <v>-2.2983516469826322</v>
      </c>
      <c r="K560">
        <f t="shared" si="35"/>
        <v>-1.7325868956569381</v>
      </c>
      <c r="M560">
        <v>559</v>
      </c>
      <c r="N560">
        <v>-1.7325868956569381</v>
      </c>
    </row>
    <row r="561" spans="1:14">
      <c r="A561">
        <v>560</v>
      </c>
      <c r="B561">
        <v>1252</v>
      </c>
      <c r="C561">
        <v>659</v>
      </c>
      <c r="D561">
        <v>63</v>
      </c>
      <c r="E561">
        <v>275</v>
      </c>
      <c r="G561">
        <f t="shared" si="32"/>
        <v>-1.0843617316764109</v>
      </c>
      <c r="H561">
        <f t="shared" si="33"/>
        <v>-2.024590097957681</v>
      </c>
      <c r="I561">
        <f t="shared" si="34"/>
        <v>-2.126640393370268</v>
      </c>
      <c r="K561">
        <f t="shared" si="35"/>
        <v>-1.74519740766812</v>
      </c>
      <c r="M561">
        <v>560</v>
      </c>
      <c r="N561">
        <v>-1.74519740766812</v>
      </c>
    </row>
    <row r="562" spans="1:14">
      <c r="A562">
        <v>561</v>
      </c>
      <c r="B562">
        <v>1483</v>
      </c>
      <c r="C562">
        <v>932</v>
      </c>
      <c r="D562">
        <v>223</v>
      </c>
      <c r="E562">
        <v>441</v>
      </c>
      <c r="G562">
        <f t="shared" si="32"/>
        <v>-1.0073680560704106</v>
      </c>
      <c r="H562">
        <f t="shared" si="33"/>
        <v>-1.5491626065170729</v>
      </c>
      <c r="I562">
        <f t="shared" si="34"/>
        <v>-1.9950713198866636</v>
      </c>
      <c r="K562">
        <f t="shared" si="35"/>
        <v>-1.5172006608247157</v>
      </c>
      <c r="M562">
        <v>561</v>
      </c>
      <c r="N562">
        <v>-1.5172006608247157</v>
      </c>
    </row>
    <row r="563" spans="1:14">
      <c r="A563">
        <v>562</v>
      </c>
      <c r="B563">
        <v>508</v>
      </c>
      <c r="C563">
        <v>202</v>
      </c>
      <c r="D563">
        <v>175</v>
      </c>
      <c r="E563">
        <v>19409</v>
      </c>
      <c r="G563">
        <f t="shared" si="32"/>
        <v>-1.2061551602333054</v>
      </c>
      <c r="H563">
        <f t="shared" si="33"/>
        <v>-1.1891519821344765</v>
      </c>
      <c r="I563">
        <f t="shared" si="34"/>
        <v>0.11377068942182289</v>
      </c>
      <c r="K563">
        <f t="shared" si="35"/>
        <v>-0.76051215098198632</v>
      </c>
      <c r="M563">
        <v>562</v>
      </c>
      <c r="N563">
        <v>-0.76051215098198632</v>
      </c>
    </row>
    <row r="564" spans="1:14">
      <c r="A564">
        <v>563</v>
      </c>
      <c r="B564">
        <v>601</v>
      </c>
      <c r="C564">
        <v>52</v>
      </c>
      <c r="D564">
        <v>5435</v>
      </c>
      <c r="E564">
        <v>257</v>
      </c>
      <c r="G564">
        <f t="shared" si="32"/>
        <v>-1.8685139457639504</v>
      </c>
      <c r="H564">
        <f t="shared" si="33"/>
        <v>0.22999875788272217</v>
      </c>
      <c r="I564">
        <f t="shared" si="34"/>
        <v>-1.837310106997565</v>
      </c>
      <c r="K564">
        <f t="shared" si="35"/>
        <v>-1.1586084316262644</v>
      </c>
      <c r="M564">
        <v>563</v>
      </c>
      <c r="N564">
        <v>-1.1586084316262644</v>
      </c>
    </row>
    <row r="565" spans="1:14">
      <c r="A565">
        <v>564</v>
      </c>
      <c r="B565">
        <v>1250</v>
      </c>
      <c r="C565">
        <v>401</v>
      </c>
      <c r="D565">
        <v>99</v>
      </c>
      <c r="E565">
        <v>301</v>
      </c>
      <c r="G565">
        <f t="shared" si="32"/>
        <v>-1.299408457783884</v>
      </c>
      <c r="H565">
        <f t="shared" si="33"/>
        <v>-1.8276011369473584</v>
      </c>
      <c r="I565">
        <f t="shared" si="34"/>
        <v>-2.0867122757403331</v>
      </c>
      <c r="K565">
        <f t="shared" si="35"/>
        <v>-1.7379072901571917</v>
      </c>
      <c r="M565">
        <v>564</v>
      </c>
      <c r="N565">
        <v>-1.7379072901571917</v>
      </c>
    </row>
    <row r="566" spans="1:14">
      <c r="A566">
        <v>565</v>
      </c>
      <c r="B566">
        <v>1076</v>
      </c>
      <c r="C566">
        <v>541</v>
      </c>
      <c r="D566">
        <v>204</v>
      </c>
      <c r="E566">
        <v>1482</v>
      </c>
      <c r="G566">
        <f t="shared" si="32"/>
        <v>-1.1042578236198108</v>
      </c>
      <c r="H566">
        <f t="shared" si="33"/>
        <v>-1.4485084224413232</v>
      </c>
      <c r="I566">
        <f t="shared" si="34"/>
        <v>-1.3293328260131809</v>
      </c>
      <c r="K566">
        <f t="shared" si="35"/>
        <v>-1.2940330240247717</v>
      </c>
      <c r="M566">
        <v>565</v>
      </c>
      <c r="N566">
        <v>-1.2940330240247717</v>
      </c>
    </row>
    <row r="567" spans="1:14">
      <c r="A567">
        <v>566</v>
      </c>
      <c r="B567">
        <v>674</v>
      </c>
      <c r="C567">
        <v>662</v>
      </c>
      <c r="D567">
        <v>110</v>
      </c>
      <c r="E567">
        <v>2292</v>
      </c>
      <c r="G567">
        <f t="shared" si="32"/>
        <v>-0.81344472449162986</v>
      </c>
      <c r="H567">
        <f t="shared" si="33"/>
        <v>-1.5135935299139465</v>
      </c>
      <c r="I567">
        <f t="shared" si="34"/>
        <v>-0.9368140415660875</v>
      </c>
      <c r="K567">
        <f t="shared" si="35"/>
        <v>-1.087950765323888</v>
      </c>
      <c r="M567">
        <v>566</v>
      </c>
      <c r="N567">
        <v>-1.087950765323888</v>
      </c>
    </row>
    <row r="568" spans="1:14">
      <c r="A568">
        <v>567</v>
      </c>
      <c r="B568">
        <v>1241</v>
      </c>
      <c r="C568">
        <v>944</v>
      </c>
      <c r="D568">
        <v>157</v>
      </c>
      <c r="E568">
        <v>1385</v>
      </c>
      <c r="G568">
        <f t="shared" si="32"/>
        <v>-0.92444260459667082</v>
      </c>
      <c r="H568">
        <f t="shared" si="33"/>
        <v>-1.6241984476263478</v>
      </c>
      <c r="I568">
        <f t="shared" si="34"/>
        <v>-1.4206907664243824</v>
      </c>
      <c r="K568">
        <f t="shared" si="35"/>
        <v>-1.3231106062158002</v>
      </c>
      <c r="M568">
        <v>567</v>
      </c>
      <c r="N568">
        <v>-1.3231106062158002</v>
      </c>
    </row>
    <row r="569" spans="1:14">
      <c r="A569">
        <v>568</v>
      </c>
      <c r="B569">
        <v>1314</v>
      </c>
      <c r="C569">
        <v>1071</v>
      </c>
      <c r="D569">
        <v>129</v>
      </c>
      <c r="E569">
        <v>1982</v>
      </c>
      <c r="G569">
        <f t="shared" si="32"/>
        <v>-0.8944487117879163</v>
      </c>
      <c r="H569">
        <f t="shared" si="33"/>
        <v>-1.7343319734613649</v>
      </c>
      <c r="I569">
        <f t="shared" si="34"/>
        <v>-1.2898604734006254</v>
      </c>
      <c r="K569">
        <f t="shared" si="35"/>
        <v>-1.3062137195499688</v>
      </c>
      <c r="M569">
        <v>568</v>
      </c>
      <c r="N569">
        <v>-1.3062137195499688</v>
      </c>
    </row>
    <row r="570" spans="1:14">
      <c r="A570">
        <v>569</v>
      </c>
      <c r="B570">
        <v>966</v>
      </c>
      <c r="C570">
        <v>372</v>
      </c>
      <c r="D570">
        <v>492</v>
      </c>
      <c r="E570">
        <v>167</v>
      </c>
      <c r="G570">
        <f t="shared" si="32"/>
        <v>-1.2200770039296058</v>
      </c>
      <c r="H570">
        <f t="shared" si="33"/>
        <v>-1.0193383421849846</v>
      </c>
      <c r="I570">
        <f t="shared" si="34"/>
        <v>-2.2306294135940301</v>
      </c>
      <c r="K570">
        <f t="shared" si="35"/>
        <v>-1.4900149199028736</v>
      </c>
      <c r="M570">
        <v>569</v>
      </c>
      <c r="N570">
        <v>-1.4900149199028736</v>
      </c>
    </row>
    <row r="571" spans="1:14">
      <c r="A571">
        <v>570</v>
      </c>
      <c r="B571">
        <v>1520</v>
      </c>
      <c r="C571">
        <v>303</v>
      </c>
      <c r="D571">
        <v>1019</v>
      </c>
      <c r="E571">
        <v>989</v>
      </c>
      <c r="G571">
        <f t="shared" si="32"/>
        <v>-1.5060437768384776</v>
      </c>
      <c r="H571">
        <f t="shared" si="33"/>
        <v>-0.89999572247519788</v>
      </c>
      <c r="I571">
        <f t="shared" si="34"/>
        <v>-1.6550160546737132</v>
      </c>
      <c r="K571">
        <f t="shared" si="35"/>
        <v>-1.3536851846624629</v>
      </c>
      <c r="M571">
        <v>570</v>
      </c>
      <c r="N571">
        <v>-1.3536851846624629</v>
      </c>
    </row>
    <row r="572" spans="1:14">
      <c r="A572">
        <v>571</v>
      </c>
      <c r="B572">
        <v>1575</v>
      </c>
      <c r="C572">
        <v>284</v>
      </c>
      <c r="D572">
        <v>537</v>
      </c>
      <c r="E572">
        <v>576</v>
      </c>
      <c r="G572">
        <f t="shared" si="32"/>
        <v>-1.5496050354745916</v>
      </c>
      <c r="H572">
        <f t="shared" si="33"/>
        <v>-1.1936325909629155</v>
      </c>
      <c r="I572">
        <f t="shared" si="34"/>
        <v>-1.9052268330285274</v>
      </c>
      <c r="K572">
        <f t="shared" si="35"/>
        <v>-1.5494881531553446</v>
      </c>
      <c r="M572">
        <v>571</v>
      </c>
      <c r="N572">
        <v>-1.5494881531553446</v>
      </c>
    </row>
    <row r="573" spans="1:14">
      <c r="A573">
        <v>572</v>
      </c>
      <c r="B573">
        <v>859</v>
      </c>
      <c r="C573">
        <v>138</v>
      </c>
      <c r="D573">
        <v>47</v>
      </c>
      <c r="E573">
        <v>219</v>
      </c>
      <c r="G573">
        <f t="shared" si="32"/>
        <v>-1.5997568948260157</v>
      </c>
      <c r="H573">
        <f t="shared" si="33"/>
        <v>-1.9882216244323767</v>
      </c>
      <c r="I573">
        <f t="shared" si="34"/>
        <v>-2.0619178073172439</v>
      </c>
      <c r="K573">
        <f t="shared" si="35"/>
        <v>-1.883298775525212</v>
      </c>
      <c r="M573">
        <v>572</v>
      </c>
      <c r="N573">
        <v>-1.883298775525212</v>
      </c>
    </row>
    <row r="574" spans="1:14">
      <c r="A574">
        <v>573</v>
      </c>
      <c r="B574">
        <v>640</v>
      </c>
      <c r="C574">
        <v>592</v>
      </c>
      <c r="D574">
        <v>72</v>
      </c>
      <c r="E574">
        <v>52</v>
      </c>
      <c r="G574">
        <f t="shared" si="32"/>
        <v>-0.83950108465697737</v>
      </c>
      <c r="H574">
        <f t="shared" si="33"/>
        <v>-1.6751737960894704</v>
      </c>
      <c r="I574">
        <f t="shared" si="34"/>
        <v>-2.5585453886752081</v>
      </c>
      <c r="K574">
        <f t="shared" si="35"/>
        <v>-1.691073423140552</v>
      </c>
      <c r="M574">
        <v>573</v>
      </c>
      <c r="N574">
        <v>-1.691073423140552</v>
      </c>
    </row>
    <row r="575" spans="1:14">
      <c r="A575">
        <v>574</v>
      </c>
      <c r="B575">
        <v>898</v>
      </c>
      <c r="C575">
        <v>165</v>
      </c>
      <c r="D575">
        <v>247</v>
      </c>
      <c r="E575">
        <v>486</v>
      </c>
      <c r="G575">
        <f t="shared" si="32"/>
        <v>-1.541435209849408</v>
      </c>
      <c r="H575">
        <f t="shared" si="33"/>
        <v>-1.2869057019444905</v>
      </c>
      <c r="I575">
        <f t="shared" si="34"/>
        <v>-1.7350088257311309</v>
      </c>
      <c r="K575">
        <f t="shared" si="35"/>
        <v>-1.5211165791750096</v>
      </c>
      <c r="M575">
        <v>574</v>
      </c>
      <c r="N575">
        <v>-1.5211165791750096</v>
      </c>
    </row>
    <row r="576" spans="1:14">
      <c r="A576">
        <v>575</v>
      </c>
      <c r="B576">
        <v>547</v>
      </c>
      <c r="C576">
        <v>94</v>
      </c>
      <c r="D576">
        <v>114</v>
      </c>
      <c r="E576">
        <v>542</v>
      </c>
      <c r="G576">
        <f t="shared" si="32"/>
        <v>-1.5705022901297421</v>
      </c>
      <c r="H576">
        <f t="shared" si="33"/>
        <v>-1.40740879353381</v>
      </c>
      <c r="I576">
        <f t="shared" si="34"/>
        <v>-1.4723567981211638</v>
      </c>
      <c r="K576">
        <f t="shared" si="35"/>
        <v>-1.4834226272615723</v>
      </c>
      <c r="M576">
        <v>575</v>
      </c>
      <c r="N576">
        <v>-1.4834226272615723</v>
      </c>
    </row>
    <row r="577" spans="1:14">
      <c r="A577">
        <v>576</v>
      </c>
      <c r="B577">
        <v>1756</v>
      </c>
      <c r="C577">
        <v>7896</v>
      </c>
      <c r="D577">
        <v>953</v>
      </c>
      <c r="E577">
        <v>782</v>
      </c>
      <c r="G577">
        <f t="shared" si="32"/>
        <v>-0.15276018930451341</v>
      </c>
      <c r="H577">
        <f t="shared" si="33"/>
        <v>-0.99175792946860908</v>
      </c>
      <c r="I577">
        <f t="shared" si="34"/>
        <v>-1.8196865168363558</v>
      </c>
      <c r="K577">
        <f t="shared" si="35"/>
        <v>-0.98806821186982619</v>
      </c>
      <c r="M577">
        <v>576</v>
      </c>
      <c r="N577">
        <v>-0.98806821186982619</v>
      </c>
    </row>
    <row r="578" spans="1:14">
      <c r="A578">
        <v>577</v>
      </c>
      <c r="B578">
        <v>907</v>
      </c>
      <c r="C578">
        <v>391</v>
      </c>
      <c r="D578">
        <v>636</v>
      </c>
      <c r="E578">
        <v>1260</v>
      </c>
      <c r="G578">
        <f t="shared" si="32"/>
        <v>-1.1710733470602384</v>
      </c>
      <c r="H578">
        <f t="shared" si="33"/>
        <v>-0.88047648994853311</v>
      </c>
      <c r="I578">
        <f t="shared" si="34"/>
        <v>-1.3256055002686524</v>
      </c>
      <c r="K578">
        <f t="shared" si="35"/>
        <v>-1.1257184457591414</v>
      </c>
      <c r="M578">
        <v>577</v>
      </c>
      <c r="N578">
        <v>-1.1257184457591414</v>
      </c>
    </row>
    <row r="579" spans="1:14">
      <c r="A579">
        <v>578</v>
      </c>
      <c r="B579">
        <v>1083</v>
      </c>
      <c r="C579">
        <v>5850</v>
      </c>
      <c r="D579">
        <v>901</v>
      </c>
      <c r="E579">
        <v>5869</v>
      </c>
      <c r="G579">
        <f t="shared" ref="G579:G642" si="36">LOG10(C579/B579)-LOG10(151582/23714)</f>
        <v>-7.3115407939149835E-2</v>
      </c>
      <c r="H579">
        <f t="shared" ref="H579:H642" si="37">LOG10(D579/B579)-LOG10(126279/23714)</f>
        <v>-0.80622998418310909</v>
      </c>
      <c r="I579">
        <f t="shared" ref="I579:I642" si="38">LOG10(E579/B579)-LOG10(697226/23714)</f>
        <v>-0.73443310543786688</v>
      </c>
      <c r="K579">
        <f t="shared" ref="K579:K642" si="39">AVERAGE(G579:I579)</f>
        <v>-0.53792616585337527</v>
      </c>
      <c r="M579">
        <v>578</v>
      </c>
      <c r="N579">
        <v>-0.53792616585337527</v>
      </c>
    </row>
    <row r="580" spans="1:14">
      <c r="A580">
        <v>579</v>
      </c>
      <c r="B580">
        <v>960</v>
      </c>
      <c r="C580">
        <v>493</v>
      </c>
      <c r="D580">
        <v>949</v>
      </c>
      <c r="E580">
        <v>58</v>
      </c>
      <c r="G580">
        <f t="shared" si="36"/>
        <v>-1.0950671311583484</v>
      </c>
      <c r="H580">
        <f t="shared" si="37"/>
        <v>-0.7313313391491274</v>
      </c>
      <c r="I580">
        <f t="shared" si="38"/>
        <v>-2.6872119978027511</v>
      </c>
      <c r="K580">
        <f t="shared" si="39"/>
        <v>-1.504536822703409</v>
      </c>
      <c r="M580">
        <v>579</v>
      </c>
      <c r="N580">
        <v>-1.504536822703409</v>
      </c>
    </row>
    <row r="581" spans="1:14">
      <c r="A581">
        <v>580</v>
      </c>
      <c r="B581">
        <v>1193</v>
      </c>
      <c r="C581">
        <v>216</v>
      </c>
      <c r="D581">
        <v>1601</v>
      </c>
      <c r="E581">
        <v>693</v>
      </c>
      <c r="G581">
        <f t="shared" si="36"/>
        <v>-1.5478295099154209</v>
      </c>
      <c r="H581">
        <f t="shared" si="37"/>
        <v>-0.59857543028789384</v>
      </c>
      <c r="I581">
        <f t="shared" si="38"/>
        <v>-1.704275967384655</v>
      </c>
      <c r="K581">
        <f t="shared" si="39"/>
        <v>-1.2835603025293232</v>
      </c>
      <c r="M581">
        <v>580</v>
      </c>
      <c r="N581">
        <v>-1.2835603025293232</v>
      </c>
    </row>
    <row r="582" spans="1:14">
      <c r="A582">
        <v>581</v>
      </c>
      <c r="B582">
        <v>812</v>
      </c>
      <c r="C582">
        <v>160</v>
      </c>
      <c r="D582">
        <v>11</v>
      </c>
      <c r="E582">
        <v>87</v>
      </c>
      <c r="G582">
        <f t="shared" si="36"/>
        <v>-1.5110788639812605</v>
      </c>
      <c r="H582">
        <f t="shared" si="37"/>
        <v>-2.594489662619802</v>
      </c>
      <c r="I582">
        <f t="shared" si="38"/>
        <v>-2.4384055349486768</v>
      </c>
      <c r="K582">
        <f t="shared" si="39"/>
        <v>-2.1813246871832463</v>
      </c>
      <c r="M582">
        <v>581</v>
      </c>
      <c r="N582">
        <v>-2.1813246871832463</v>
      </c>
    </row>
    <row r="583" spans="1:14">
      <c r="A583">
        <v>582</v>
      </c>
      <c r="B583">
        <v>625</v>
      </c>
      <c r="C583">
        <v>256</v>
      </c>
      <c r="D583">
        <v>655</v>
      </c>
      <c r="E583">
        <v>284</v>
      </c>
      <c r="G583">
        <f t="shared" si="36"/>
        <v>-1.1932828694282356</v>
      </c>
      <c r="H583">
        <f t="shared" si="37"/>
        <v>-0.70596503588914383</v>
      </c>
      <c r="I583">
        <f t="shared" si="38"/>
        <v>-1.8109304356231575</v>
      </c>
      <c r="K583">
        <f t="shared" si="39"/>
        <v>-1.2367261136468457</v>
      </c>
      <c r="M583">
        <v>582</v>
      </c>
      <c r="N583">
        <v>-1.2367261136468457</v>
      </c>
    </row>
    <row r="584" spans="1:14">
      <c r="A584">
        <v>583</v>
      </c>
      <c r="B584">
        <v>1209</v>
      </c>
      <c r="C584">
        <v>172</v>
      </c>
      <c r="D584">
        <v>58</v>
      </c>
      <c r="E584">
        <v>76</v>
      </c>
      <c r="G584">
        <f t="shared" si="36"/>
        <v>-1.6525406713492328</v>
      </c>
      <c r="H584">
        <f t="shared" si="37"/>
        <v>-2.0453246258346862</v>
      </c>
      <c r="I584">
        <f t="shared" si="38"/>
        <v>-2.6699814669061004</v>
      </c>
      <c r="K584">
        <f t="shared" si="39"/>
        <v>-2.1226155880300066</v>
      </c>
      <c r="M584">
        <v>583</v>
      </c>
      <c r="N584">
        <v>-2.1226155880300066</v>
      </c>
    </row>
    <row r="585" spans="1:14">
      <c r="A585">
        <v>584</v>
      </c>
      <c r="B585">
        <v>643</v>
      </c>
      <c r="C585">
        <v>305</v>
      </c>
      <c r="D585">
        <v>1239</v>
      </c>
      <c r="E585">
        <v>364</v>
      </c>
      <c r="G585">
        <f t="shared" si="36"/>
        <v>-1.1295539509734462</v>
      </c>
      <c r="H585">
        <f t="shared" si="37"/>
        <v>-0.44146598508501028</v>
      </c>
      <c r="I585">
        <f t="shared" si="38"/>
        <v>-1.715478347601286</v>
      </c>
      <c r="K585">
        <f t="shared" si="39"/>
        <v>-1.0954994278865808</v>
      </c>
      <c r="M585">
        <v>584</v>
      </c>
      <c r="N585">
        <v>-1.0954994278865808</v>
      </c>
    </row>
    <row r="586" spans="1:14">
      <c r="A586">
        <v>585</v>
      </c>
      <c r="B586">
        <v>1076</v>
      </c>
      <c r="C586">
        <v>76</v>
      </c>
      <c r="D586">
        <v>263</v>
      </c>
      <c r="E586">
        <v>338</v>
      </c>
      <c r="G586">
        <f t="shared" si="36"/>
        <v>-1.9566414964455889</v>
      </c>
      <c r="H586">
        <f t="shared" si="37"/>
        <v>-1.3381828413774643</v>
      </c>
      <c r="I586">
        <f t="shared" si="38"/>
        <v>-1.9712643293788357</v>
      </c>
      <c r="K586">
        <f t="shared" si="39"/>
        <v>-1.7553628890672963</v>
      </c>
      <c r="M586">
        <v>585</v>
      </c>
      <c r="N586">
        <v>-1.7553628890672963</v>
      </c>
    </row>
    <row r="587" spans="1:14">
      <c r="A587">
        <v>586</v>
      </c>
      <c r="B587">
        <v>722</v>
      </c>
      <c r="C587">
        <v>144</v>
      </c>
      <c r="D587">
        <v>256</v>
      </c>
      <c r="E587">
        <v>1566</v>
      </c>
      <c r="G587">
        <f t="shared" si="36"/>
        <v>-1.5058175228703994</v>
      </c>
      <c r="H587">
        <f t="shared" si="37"/>
        <v>-1.1766235507946412</v>
      </c>
      <c r="I587">
        <f t="shared" si="38"/>
        <v>-1.1321141981738345</v>
      </c>
      <c r="K587">
        <f t="shared" si="39"/>
        <v>-1.2715184239462918</v>
      </c>
      <c r="M587">
        <v>586</v>
      </c>
      <c r="N587">
        <v>-1.2715184239462918</v>
      </c>
    </row>
    <row r="588" spans="1:14">
      <c r="A588">
        <v>587</v>
      </c>
      <c r="B588">
        <v>654</v>
      </c>
      <c r="C588">
        <v>109</v>
      </c>
      <c r="D588">
        <v>31</v>
      </c>
      <c r="E588">
        <v>393</v>
      </c>
      <c r="G588">
        <f t="shared" si="36"/>
        <v>-1.5837940677796536</v>
      </c>
      <c r="H588">
        <f t="shared" si="37"/>
        <v>-2.0505423730268464</v>
      </c>
      <c r="I588">
        <f t="shared" si="38"/>
        <v>-1.6895539562749606</v>
      </c>
      <c r="K588">
        <f t="shared" si="39"/>
        <v>-1.7746301323604869</v>
      </c>
      <c r="M588">
        <v>587</v>
      </c>
      <c r="N588">
        <v>-1.7746301323604869</v>
      </c>
    </row>
    <row r="589" spans="1:14">
      <c r="A589">
        <v>588</v>
      </c>
      <c r="B589">
        <v>532</v>
      </c>
      <c r="C589">
        <v>218</v>
      </c>
      <c r="D589">
        <v>282</v>
      </c>
      <c r="E589">
        <v>29</v>
      </c>
      <c r="G589">
        <f t="shared" si="36"/>
        <v>-1.1930979560864534</v>
      </c>
      <c r="H589">
        <f t="shared" si="37"/>
        <v>-1.0019888425125387</v>
      </c>
      <c r="I589">
        <f t="shared" si="38"/>
        <v>-2.7318823927222122</v>
      </c>
      <c r="K589">
        <f t="shared" si="39"/>
        <v>-1.6423230637737347</v>
      </c>
      <c r="M589">
        <v>588</v>
      </c>
      <c r="N589">
        <v>-1.6423230637737347</v>
      </c>
    </row>
    <row r="590" spans="1:14">
      <c r="A590">
        <v>589</v>
      </c>
      <c r="B590">
        <v>1074</v>
      </c>
      <c r="C590">
        <v>2008</v>
      </c>
      <c r="D590">
        <v>401</v>
      </c>
      <c r="E590">
        <v>670</v>
      </c>
      <c r="G590">
        <f t="shared" si="36"/>
        <v>-0.53388339028656495</v>
      </c>
      <c r="H590">
        <f t="shared" si="37"/>
        <v>-1.1541862272802061</v>
      </c>
      <c r="I590">
        <f t="shared" si="38"/>
        <v>-1.6732982369888305</v>
      </c>
      <c r="K590">
        <f t="shared" si="39"/>
        <v>-1.1204559515185339</v>
      </c>
      <c r="M590">
        <v>589</v>
      </c>
      <c r="N590">
        <v>-1.1204559515185339</v>
      </c>
    </row>
    <row r="591" spans="1:14">
      <c r="A591">
        <v>590</v>
      </c>
      <c r="B591">
        <v>986</v>
      </c>
      <c r="C591">
        <v>59</v>
      </c>
      <c r="D591">
        <v>349</v>
      </c>
      <c r="E591">
        <v>547</v>
      </c>
      <c r="G591">
        <f t="shared" si="36"/>
        <v>-2.0286677206950769</v>
      </c>
      <c r="H591">
        <f t="shared" si="37"/>
        <v>-1.1773778065188831</v>
      </c>
      <c r="I591">
        <f t="shared" si="38"/>
        <v>-1.7242583469339006</v>
      </c>
      <c r="K591">
        <f t="shared" si="39"/>
        <v>-1.6434346247159535</v>
      </c>
      <c r="M591">
        <v>590</v>
      </c>
      <c r="N591">
        <v>-1.6434346247159535</v>
      </c>
    </row>
    <row r="592" spans="1:14">
      <c r="A592">
        <v>591</v>
      </c>
      <c r="B592">
        <v>1136</v>
      </c>
      <c r="C592">
        <v>940</v>
      </c>
      <c r="D592">
        <v>1126</v>
      </c>
      <c r="E592">
        <v>507</v>
      </c>
      <c r="G592">
        <f t="shared" si="36"/>
        <v>-0.88789329517131133</v>
      </c>
      <c r="H592">
        <f t="shared" si="37"/>
        <v>-0.73016625939652435</v>
      </c>
      <c r="I592">
        <f t="shared" si="38"/>
        <v>-1.818739130367784</v>
      </c>
      <c r="K592">
        <f t="shared" si="39"/>
        <v>-1.1455995616452066</v>
      </c>
      <c r="M592">
        <v>591</v>
      </c>
      <c r="N592">
        <v>-1.1455995616452066</v>
      </c>
    </row>
    <row r="593" spans="1:14">
      <c r="A593">
        <v>592</v>
      </c>
      <c r="B593">
        <v>1198</v>
      </c>
      <c r="C593">
        <v>312</v>
      </c>
      <c r="D593">
        <v>1038</v>
      </c>
      <c r="E593">
        <v>269</v>
      </c>
      <c r="G593">
        <f t="shared" si="36"/>
        <v>-1.3899450414308596</v>
      </c>
      <c r="H593">
        <f t="shared" si="37"/>
        <v>-0.78858578307770522</v>
      </c>
      <c r="I593">
        <f t="shared" si="38"/>
        <v>-2.1170732963770047</v>
      </c>
      <c r="K593">
        <f t="shared" si="39"/>
        <v>-1.4318680402951898</v>
      </c>
      <c r="M593">
        <v>592</v>
      </c>
      <c r="N593">
        <v>-1.4318680402951898</v>
      </c>
    </row>
    <row r="594" spans="1:14">
      <c r="A594">
        <v>593</v>
      </c>
      <c r="B594">
        <v>1323</v>
      </c>
      <c r="C594">
        <v>773</v>
      </c>
      <c r="D594">
        <v>520</v>
      </c>
      <c r="E594">
        <v>274</v>
      </c>
      <c r="G594">
        <f t="shared" si="36"/>
        <v>-1.039023167665186</v>
      </c>
      <c r="H594">
        <f t="shared" si="37"/>
        <v>-1.1318828190895536</v>
      </c>
      <c r="I594">
        <f t="shared" si="38"/>
        <v>-2.1521780396932328</v>
      </c>
      <c r="K594">
        <f t="shared" si="39"/>
        <v>-1.4410280088159908</v>
      </c>
      <c r="M594">
        <v>593</v>
      </c>
      <c r="N594">
        <v>-1.4410280088159908</v>
      </c>
    </row>
    <row r="595" spans="1:14">
      <c r="A595">
        <v>594</v>
      </c>
      <c r="B595">
        <v>1358</v>
      </c>
      <c r="C595">
        <v>604</v>
      </c>
      <c r="D595">
        <v>219</v>
      </c>
      <c r="E595">
        <v>964</v>
      </c>
      <c r="G595">
        <f t="shared" si="36"/>
        <v>-1.1575056487193609</v>
      </c>
      <c r="H595">
        <f t="shared" si="37"/>
        <v>-1.5187819736412163</v>
      </c>
      <c r="I595">
        <f t="shared" si="38"/>
        <v>-1.6171914943677721</v>
      </c>
      <c r="K595">
        <f t="shared" si="39"/>
        <v>-1.4311597055761165</v>
      </c>
      <c r="M595">
        <v>594</v>
      </c>
      <c r="N595">
        <v>-1.4311597055761165</v>
      </c>
    </row>
    <row r="596" spans="1:14">
      <c r="A596">
        <v>595</v>
      </c>
      <c r="B596">
        <v>760</v>
      </c>
      <c r="C596">
        <v>404</v>
      </c>
      <c r="D596">
        <v>97</v>
      </c>
      <c r="E596">
        <v>246</v>
      </c>
      <c r="G596">
        <f t="shared" si="36"/>
        <v>-1.0800750445661964</v>
      </c>
      <c r="H596">
        <f t="shared" si="37"/>
        <v>-1.6203681765513982</v>
      </c>
      <c r="I596">
        <f t="shared" si="38"/>
        <v>-1.9582472435035323</v>
      </c>
      <c r="K596">
        <f t="shared" si="39"/>
        <v>-1.5528968215403756</v>
      </c>
      <c r="M596">
        <v>595</v>
      </c>
      <c r="N596">
        <v>-1.5528968215403756</v>
      </c>
    </row>
    <row r="597" spans="1:14">
      <c r="A597">
        <v>596</v>
      </c>
      <c r="B597">
        <v>909</v>
      </c>
      <c r="C597">
        <v>26</v>
      </c>
      <c r="D597">
        <v>35</v>
      </c>
      <c r="E597">
        <v>1304</v>
      </c>
      <c r="G597">
        <f t="shared" si="36"/>
        <v>-2.3492333526471594</v>
      </c>
      <c r="H597">
        <f t="shared" si="37"/>
        <v>-2.1408221574085435</v>
      </c>
      <c r="I597">
        <f t="shared" si="38"/>
        <v>-1.311655050152186</v>
      </c>
      <c r="K597">
        <f t="shared" si="39"/>
        <v>-1.9339035200692962</v>
      </c>
      <c r="M597">
        <v>596</v>
      </c>
      <c r="N597">
        <v>-1.9339035200692962</v>
      </c>
    </row>
    <row r="598" spans="1:14">
      <c r="A598">
        <v>597</v>
      </c>
      <c r="B598">
        <v>1077</v>
      </c>
      <c r="C598">
        <v>280</v>
      </c>
      <c r="D598">
        <v>515</v>
      </c>
      <c r="E598">
        <v>102</v>
      </c>
      <c r="G598">
        <f t="shared" si="36"/>
        <v>-1.3907004893517723</v>
      </c>
      <c r="H598">
        <f t="shared" si="37"/>
        <v>-1.0467347927936423</v>
      </c>
      <c r="I598">
        <f t="shared" si="38"/>
        <v>-2.491984289862184</v>
      </c>
      <c r="K598">
        <f t="shared" si="39"/>
        <v>-1.643139857335866</v>
      </c>
      <c r="M598">
        <v>597</v>
      </c>
      <c r="N598">
        <v>-1.643139857335866</v>
      </c>
    </row>
    <row r="599" spans="1:14">
      <c r="A599">
        <v>598</v>
      </c>
      <c r="B599">
        <v>1014</v>
      </c>
      <c r="C599">
        <v>357</v>
      </c>
      <c r="D599">
        <v>176</v>
      </c>
      <c r="E599">
        <v>1245</v>
      </c>
      <c r="G599">
        <f t="shared" si="36"/>
        <v>-1.2590125562811338</v>
      </c>
      <c r="H599">
        <f t="shared" si="37"/>
        <v>-1.4868516057200192</v>
      </c>
      <c r="I599">
        <f t="shared" si="38"/>
        <v>-1.379237361891682</v>
      </c>
      <c r="K599">
        <f t="shared" si="39"/>
        <v>-1.3750338412976115</v>
      </c>
      <c r="M599">
        <v>598</v>
      </c>
      <c r="N599">
        <v>-1.3750338412976115</v>
      </c>
    </row>
    <row r="600" spans="1:14">
      <c r="A600">
        <v>599</v>
      </c>
      <c r="B600">
        <v>865</v>
      </c>
      <c r="C600">
        <v>224</v>
      </c>
      <c r="D600">
        <v>393</v>
      </c>
      <c r="E600">
        <v>129</v>
      </c>
      <c r="G600">
        <f t="shared" si="36"/>
        <v>-1.3924109065266614</v>
      </c>
      <c r="H600">
        <f t="shared" si="37"/>
        <v>-1.0689498756262392</v>
      </c>
      <c r="I600">
        <f t="shared" si="38"/>
        <v>-2.294795155491685</v>
      </c>
      <c r="K600">
        <f t="shared" si="39"/>
        <v>-1.5853853125481951</v>
      </c>
      <c r="M600">
        <v>599</v>
      </c>
      <c r="N600">
        <v>-1.5853853125481951</v>
      </c>
    </row>
    <row r="601" spans="1:14">
      <c r="A601">
        <v>600</v>
      </c>
      <c r="B601">
        <v>1252</v>
      </c>
      <c r="C601">
        <v>67</v>
      </c>
      <c r="D601">
        <v>131</v>
      </c>
      <c r="E601">
        <v>274</v>
      </c>
      <c r="G601">
        <f t="shared" si="36"/>
        <v>-2.0771723435695941</v>
      </c>
      <c r="H601">
        <f t="shared" si="37"/>
        <v>-1.7066593517554982</v>
      </c>
      <c r="I601">
        <f t="shared" si="38"/>
        <v>-2.1282225243801429</v>
      </c>
      <c r="K601">
        <f t="shared" si="39"/>
        <v>-1.9706847399017449</v>
      </c>
      <c r="M601">
        <v>600</v>
      </c>
      <c r="N601">
        <v>-1.9706847399017449</v>
      </c>
    </row>
    <row r="602" spans="1:14">
      <c r="A602">
        <v>601</v>
      </c>
      <c r="B602">
        <v>1384</v>
      </c>
      <c r="C602">
        <v>125</v>
      </c>
      <c r="D602">
        <v>398</v>
      </c>
      <c r="E602">
        <v>368</v>
      </c>
      <c r="G602">
        <f t="shared" si="36"/>
        <v>-1.8498688945086925</v>
      </c>
      <c r="H602">
        <f t="shared" si="37"/>
        <v>-1.267579336583903</v>
      </c>
      <c r="I602">
        <f t="shared" si="38"/>
        <v>-2.0436570297733416</v>
      </c>
      <c r="K602">
        <f t="shared" si="39"/>
        <v>-1.7203684202886456</v>
      </c>
      <c r="M602">
        <v>601</v>
      </c>
      <c r="N602">
        <v>-1.7203684202886456</v>
      </c>
    </row>
    <row r="603" spans="1:14">
      <c r="A603">
        <v>602</v>
      </c>
      <c r="B603">
        <v>1078</v>
      </c>
      <c r="C603">
        <v>269</v>
      </c>
      <c r="D603">
        <v>427</v>
      </c>
      <c r="E603">
        <v>689</v>
      </c>
      <c r="G603">
        <f t="shared" si="36"/>
        <v>-1.4085092982443219</v>
      </c>
      <c r="H603">
        <f t="shared" si="37"/>
        <v>-1.1285172043625478</v>
      </c>
      <c r="I603">
        <f t="shared" si="38"/>
        <v>-1.6627682972692142</v>
      </c>
      <c r="K603">
        <f t="shared" si="39"/>
        <v>-1.3999315999586948</v>
      </c>
      <c r="M603">
        <v>602</v>
      </c>
      <c r="N603">
        <v>-1.3999315999586948</v>
      </c>
    </row>
    <row r="604" spans="1:14">
      <c r="A604">
        <v>603</v>
      </c>
      <c r="B604">
        <v>1158</v>
      </c>
      <c r="C604">
        <v>58</v>
      </c>
      <c r="D604">
        <v>1937</v>
      </c>
      <c r="E604">
        <v>81</v>
      </c>
      <c r="G604">
        <f t="shared" si="36"/>
        <v>-2.1059233832244901</v>
      </c>
      <c r="H604">
        <f t="shared" si="37"/>
        <v>-0.50290525720915824</v>
      </c>
      <c r="I604">
        <f t="shared" si="38"/>
        <v>-2.6235922988388873</v>
      </c>
      <c r="K604">
        <f t="shared" si="39"/>
        <v>-1.7441403130908453</v>
      </c>
      <c r="M604">
        <v>603</v>
      </c>
      <c r="N604">
        <v>-1.7441403130908453</v>
      </c>
    </row>
    <row r="605" spans="1:14">
      <c r="A605">
        <v>604</v>
      </c>
      <c r="B605">
        <v>1138</v>
      </c>
      <c r="C605">
        <v>169</v>
      </c>
      <c r="D605">
        <v>98</v>
      </c>
      <c r="E605">
        <v>162</v>
      </c>
      <c r="G605">
        <f t="shared" si="36"/>
        <v>-1.6338983748413889</v>
      </c>
      <c r="H605">
        <f t="shared" si="37"/>
        <v>-1.7912425049034093</v>
      </c>
      <c r="I605">
        <f t="shared" si="38"/>
        <v>-2.3149960058425414</v>
      </c>
      <c r="K605">
        <f t="shared" si="39"/>
        <v>-1.9133789618624466</v>
      </c>
      <c r="M605">
        <v>604</v>
      </c>
      <c r="N605">
        <v>-1.9133789618624466</v>
      </c>
    </row>
    <row r="606" spans="1:14">
      <c r="A606">
        <v>605</v>
      </c>
      <c r="B606">
        <v>937</v>
      </c>
      <c r="C606">
        <v>75</v>
      </c>
      <c r="D606">
        <v>69</v>
      </c>
      <c r="E606">
        <v>51</v>
      </c>
      <c r="G606">
        <f t="shared" si="36"/>
        <v>-1.9023211448920883</v>
      </c>
      <c r="H606">
        <f t="shared" si="37"/>
        <v>-1.8592168186873748</v>
      </c>
      <c r="I606">
        <f t="shared" si="38"/>
        <v>-2.7325381731159619</v>
      </c>
      <c r="K606">
        <f t="shared" si="39"/>
        <v>-2.1646920455651415</v>
      </c>
      <c r="M606">
        <v>605</v>
      </c>
      <c r="N606">
        <v>-2.1646920455651415</v>
      </c>
    </row>
    <row r="607" spans="1:14">
      <c r="A607">
        <v>606</v>
      </c>
      <c r="B607">
        <v>1388</v>
      </c>
      <c r="C607">
        <v>119</v>
      </c>
      <c r="D607">
        <v>402</v>
      </c>
      <c r="E607">
        <v>180</v>
      </c>
      <c r="G607">
        <f t="shared" si="36"/>
        <v>-1.8724853221223152</v>
      </c>
      <c r="H607">
        <f t="shared" si="37"/>
        <v>-1.2644897315712178</v>
      </c>
      <c r="I607">
        <f t="shared" si="38"/>
        <v>-2.3554857193416501</v>
      </c>
      <c r="K607">
        <f t="shared" si="39"/>
        <v>-1.8308202576783943</v>
      </c>
      <c r="M607">
        <v>606</v>
      </c>
      <c r="N607">
        <v>-1.8308202576783943</v>
      </c>
    </row>
    <row r="608" spans="1:14">
      <c r="A608">
        <v>607</v>
      </c>
      <c r="B608">
        <v>1240</v>
      </c>
      <c r="C608">
        <v>137</v>
      </c>
      <c r="D608">
        <v>406</v>
      </c>
      <c r="E608">
        <v>183</v>
      </c>
      <c r="G608">
        <f t="shared" si="36"/>
        <v>-1.7623439354018382</v>
      </c>
      <c r="H608">
        <f t="shared" si="37"/>
        <v>-1.2112219701218927</v>
      </c>
      <c r="I608">
        <f t="shared" si="38"/>
        <v>-2.2993393537579259</v>
      </c>
      <c r="K608">
        <f t="shared" si="39"/>
        <v>-1.757635086427219</v>
      </c>
      <c r="M608">
        <v>607</v>
      </c>
      <c r="N608">
        <v>-1.757635086427219</v>
      </c>
    </row>
    <row r="609" spans="1:14">
      <c r="A609">
        <v>608</v>
      </c>
      <c r="B609">
        <v>711</v>
      </c>
      <c r="C609">
        <v>271</v>
      </c>
      <c r="D609">
        <v>539</v>
      </c>
      <c r="E609">
        <v>1274</v>
      </c>
      <c r="G609">
        <f t="shared" si="36"/>
        <v>-1.2245431272513705</v>
      </c>
      <c r="H609">
        <f t="shared" si="37"/>
        <v>-0.8466071540798793</v>
      </c>
      <c r="I609">
        <f t="shared" si="38"/>
        <v>-1.2150689310565546</v>
      </c>
      <c r="K609">
        <f t="shared" si="39"/>
        <v>-1.0954064041292682</v>
      </c>
      <c r="M609">
        <v>608</v>
      </c>
      <c r="N609">
        <v>-1.0954064041292682</v>
      </c>
    </row>
    <row r="610" spans="1:14">
      <c r="A610">
        <v>609</v>
      </c>
      <c r="B610">
        <v>1436</v>
      </c>
      <c r="C610">
        <v>872</v>
      </c>
      <c r="D610">
        <v>351</v>
      </c>
      <c r="E610">
        <v>717</v>
      </c>
      <c r="G610">
        <f t="shared" si="36"/>
        <v>-1.0222807723697243</v>
      </c>
      <c r="H610">
        <f t="shared" si="37"/>
        <v>-1.3381736419773091</v>
      </c>
      <c r="I610">
        <f t="shared" si="38"/>
        <v>-1.7700040425646013</v>
      </c>
      <c r="K610">
        <f t="shared" si="39"/>
        <v>-1.3768194856372116</v>
      </c>
      <c r="M610">
        <v>609</v>
      </c>
      <c r="N610">
        <v>-1.3768194856372116</v>
      </c>
    </row>
    <row r="611" spans="1:14">
      <c r="A611">
        <v>610</v>
      </c>
      <c r="B611">
        <v>1039</v>
      </c>
      <c r="C611">
        <v>92</v>
      </c>
      <c r="D611">
        <v>23</v>
      </c>
      <c r="E611">
        <v>82</v>
      </c>
      <c r="G611">
        <f t="shared" si="36"/>
        <v>-1.858470537607632</v>
      </c>
      <c r="H611">
        <f t="shared" si="37"/>
        <v>-2.3812140300764364</v>
      </c>
      <c r="I611">
        <f t="shared" si="38"/>
        <v>-2.5711704534995805</v>
      </c>
      <c r="K611">
        <f t="shared" si="39"/>
        <v>-2.2702850070612164</v>
      </c>
      <c r="M611">
        <v>610</v>
      </c>
      <c r="N611">
        <v>-2.2702850070612164</v>
      </c>
    </row>
    <row r="612" spans="1:14">
      <c r="A612">
        <v>611</v>
      </c>
      <c r="B612">
        <v>1023</v>
      </c>
      <c r="C612">
        <v>538</v>
      </c>
      <c r="D612">
        <v>56</v>
      </c>
      <c r="E612">
        <v>419</v>
      </c>
      <c r="G612">
        <f t="shared" si="36"/>
        <v>-1.084736175441781</v>
      </c>
      <c r="H612">
        <f t="shared" si="37"/>
        <v>-1.9880139252428113</v>
      </c>
      <c r="I612">
        <f t="shared" si="38"/>
        <v>-1.8560303690719848</v>
      </c>
      <c r="K612">
        <f t="shared" si="39"/>
        <v>-1.6429268232521925</v>
      </c>
      <c r="M612">
        <v>611</v>
      </c>
      <c r="N612">
        <v>-1.6429268232521925</v>
      </c>
    </row>
    <row r="613" spans="1:14">
      <c r="A613">
        <v>612</v>
      </c>
      <c r="B613">
        <v>1500</v>
      </c>
      <c r="C613">
        <v>25738</v>
      </c>
      <c r="D613">
        <v>179</v>
      </c>
      <c r="E613">
        <v>379</v>
      </c>
      <c r="G613">
        <f t="shared" si="36"/>
        <v>0.42884072009063656</v>
      </c>
      <c r="H613">
        <f t="shared" si="37"/>
        <v>-1.6495645466126398</v>
      </c>
      <c r="I613">
        <f t="shared" si="38"/>
        <v>-2.0658208074137292</v>
      </c>
      <c r="K613">
        <f t="shared" si="39"/>
        <v>-1.0955148779785775</v>
      </c>
      <c r="M613">
        <v>612</v>
      </c>
      <c r="N613">
        <v>-1.0955148779785775</v>
      </c>
    </row>
    <row r="614" spans="1:14">
      <c r="A614">
        <v>613</v>
      </c>
      <c r="B614">
        <v>1297</v>
      </c>
      <c r="C614">
        <v>362</v>
      </c>
      <c r="D614">
        <v>312</v>
      </c>
      <c r="E614">
        <v>967</v>
      </c>
      <c r="G614">
        <f t="shared" si="36"/>
        <v>-1.3598742229469245</v>
      </c>
      <c r="H614">
        <f t="shared" si="37"/>
        <v>-1.3451117006024891</v>
      </c>
      <c r="I614">
        <f t="shared" si="38"/>
        <v>-1.5958822603271985</v>
      </c>
      <c r="K614">
        <f t="shared" si="39"/>
        <v>-1.4336227279588707</v>
      </c>
      <c r="M614">
        <v>613</v>
      </c>
      <c r="N614">
        <v>-1.4336227279588707</v>
      </c>
    </row>
    <row r="615" spans="1:14">
      <c r="A615">
        <v>614</v>
      </c>
      <c r="B615">
        <v>1124</v>
      </c>
      <c r="C615">
        <v>214</v>
      </c>
      <c r="D615">
        <v>77</v>
      </c>
      <c r="E615">
        <v>1395</v>
      </c>
      <c r="G615">
        <f t="shared" si="36"/>
        <v>-1.5259953552798615</v>
      </c>
      <c r="H615">
        <f t="shared" si="37"/>
        <v>-1.8906019045974123</v>
      </c>
      <c r="I615">
        <f t="shared" si="38"/>
        <v>-1.374560861949546</v>
      </c>
      <c r="K615">
        <f t="shared" si="39"/>
        <v>-1.5970527072756067</v>
      </c>
      <c r="M615">
        <v>614</v>
      </c>
      <c r="N615">
        <v>-1.5970527072756067</v>
      </c>
    </row>
    <row r="616" spans="1:14">
      <c r="A616">
        <v>615</v>
      </c>
      <c r="B616">
        <v>911</v>
      </c>
      <c r="C616">
        <v>47</v>
      </c>
      <c r="D616">
        <v>767</v>
      </c>
      <c r="E616">
        <v>472</v>
      </c>
      <c r="G616">
        <f t="shared" si="36"/>
        <v>-2.0930633364332909</v>
      </c>
      <c r="H616">
        <f t="shared" si="37"/>
        <v>-0.80104933156086899</v>
      </c>
      <c r="I616">
        <f t="shared" si="38"/>
        <v>-1.7539451366650305</v>
      </c>
      <c r="K616">
        <f t="shared" si="39"/>
        <v>-1.5493526015530634</v>
      </c>
      <c r="M616">
        <v>615</v>
      </c>
      <c r="N616">
        <v>-1.5493526015530634</v>
      </c>
    </row>
    <row r="617" spans="1:14">
      <c r="A617">
        <v>616</v>
      </c>
      <c r="B617">
        <v>1405</v>
      </c>
      <c r="C617">
        <v>253</v>
      </c>
      <c r="D617">
        <v>170</v>
      </c>
      <c r="E617">
        <v>394</v>
      </c>
      <c r="G617">
        <f t="shared" si="36"/>
        <v>-1.5501986204612908</v>
      </c>
      <c r="H617">
        <f t="shared" si="37"/>
        <v>-1.6435537213996765</v>
      </c>
      <c r="I617">
        <f t="shared" si="38"/>
        <v>-2.0205488607416449</v>
      </c>
      <c r="K617">
        <f t="shared" si="39"/>
        <v>-1.7381004008675374</v>
      </c>
      <c r="M617">
        <v>616</v>
      </c>
      <c r="N617">
        <v>-1.7381004008675374</v>
      </c>
    </row>
    <row r="618" spans="1:14">
      <c r="A618">
        <v>617</v>
      </c>
      <c r="B618">
        <v>760</v>
      </c>
      <c r="C618">
        <v>125</v>
      </c>
      <c r="D618">
        <v>122</v>
      </c>
      <c r="E618">
        <v>121</v>
      </c>
      <c r="G618">
        <f t="shared" si="36"/>
        <v>-1.5895463966687449</v>
      </c>
      <c r="H618">
        <f t="shared" si="37"/>
        <v>-1.5207800801428948</v>
      </c>
      <c r="I618">
        <f t="shared" si="38"/>
        <v>-2.2663969802904615</v>
      </c>
      <c r="K618">
        <f t="shared" si="39"/>
        <v>-1.7922411523673671</v>
      </c>
      <c r="M618">
        <v>617</v>
      </c>
      <c r="N618">
        <v>-1.7922411523673671</v>
      </c>
    </row>
    <row r="619" spans="1:14">
      <c r="A619">
        <v>618</v>
      </c>
      <c r="B619">
        <v>1288</v>
      </c>
      <c r="C619">
        <v>191</v>
      </c>
      <c r="D619">
        <v>66</v>
      </c>
      <c r="E619">
        <v>2319</v>
      </c>
      <c r="G619">
        <f t="shared" si="36"/>
        <v>-1.6345253131720758</v>
      </c>
      <c r="H619">
        <f t="shared" si="37"/>
        <v>-2.0166982460187763</v>
      </c>
      <c r="I619">
        <f t="shared" si="38"/>
        <v>-1.212983872711926</v>
      </c>
      <c r="K619">
        <f t="shared" si="39"/>
        <v>-1.6214024773009259</v>
      </c>
      <c r="M619">
        <v>618</v>
      </c>
      <c r="N619">
        <v>-1.6214024773009259</v>
      </c>
    </row>
    <row r="620" spans="1:14">
      <c r="A620">
        <v>619</v>
      </c>
      <c r="B620">
        <v>1114</v>
      </c>
      <c r="C620">
        <v>813</v>
      </c>
      <c r="D620">
        <v>467</v>
      </c>
      <c r="E620">
        <v>503</v>
      </c>
      <c r="G620">
        <f t="shared" si="36"/>
        <v>-0.94243746263965189</v>
      </c>
      <c r="H620">
        <f t="shared" si="37"/>
        <v>-1.1038946288084497</v>
      </c>
      <c r="I620">
        <f t="shared" si="38"/>
        <v>-1.8136859641079028</v>
      </c>
      <c r="K620">
        <f t="shared" si="39"/>
        <v>-1.2866726851853347</v>
      </c>
      <c r="M620">
        <v>619</v>
      </c>
      <c r="N620">
        <v>-1.2866726851853347</v>
      </c>
    </row>
    <row r="621" spans="1:14">
      <c r="A621">
        <v>620</v>
      </c>
      <c r="B621">
        <v>969</v>
      </c>
      <c r="C621">
        <v>190</v>
      </c>
      <c r="D621">
        <v>100</v>
      </c>
      <c r="E621">
        <v>248</v>
      </c>
      <c r="G621">
        <f t="shared" si="36"/>
        <v>-1.5132129934939464</v>
      </c>
      <c r="H621">
        <f t="shared" si="37"/>
        <v>-1.7126500955876169</v>
      </c>
      <c r="I621">
        <f t="shared" si="38"/>
        <v>-2.0602408545506692</v>
      </c>
      <c r="K621">
        <f t="shared" si="39"/>
        <v>-1.7620346478774109</v>
      </c>
      <c r="M621">
        <v>620</v>
      </c>
      <c r="N621">
        <v>-1.7620346478774109</v>
      </c>
    </row>
    <row r="622" spans="1:14">
      <c r="A622">
        <v>621</v>
      </c>
      <c r="B622">
        <v>1437</v>
      </c>
      <c r="C622">
        <v>1696</v>
      </c>
      <c r="D622">
        <v>375</v>
      </c>
      <c r="E622">
        <v>286</v>
      </c>
      <c r="G622">
        <f t="shared" si="36"/>
        <v>-0.73367373760954058</v>
      </c>
      <c r="H622">
        <f t="shared" si="37"/>
        <v>-1.3097518189433583</v>
      </c>
      <c r="I622">
        <f t="shared" si="38"/>
        <v>-2.1694594933313027</v>
      </c>
      <c r="K622">
        <f t="shared" si="39"/>
        <v>-1.4042950166280672</v>
      </c>
      <c r="M622">
        <v>621</v>
      </c>
      <c r="N622">
        <v>-1.4042950166280672</v>
      </c>
    </row>
    <row r="623" spans="1:14">
      <c r="A623">
        <v>622</v>
      </c>
      <c r="B623">
        <v>1180</v>
      </c>
      <c r="C623">
        <v>80</v>
      </c>
      <c r="D623">
        <v>142</v>
      </c>
      <c r="E623">
        <v>593</v>
      </c>
      <c r="G623">
        <f t="shared" si="36"/>
        <v>-1.9744348377101917</v>
      </c>
      <c r="H623">
        <f t="shared" si="37"/>
        <v>-1.6459199814599206</v>
      </c>
      <c r="I623">
        <f t="shared" si="38"/>
        <v>-1.7671960722679829</v>
      </c>
      <c r="K623">
        <f t="shared" si="39"/>
        <v>-1.7958502971460317</v>
      </c>
      <c r="M623">
        <v>622</v>
      </c>
      <c r="N623">
        <v>-1.7958502971460317</v>
      </c>
    </row>
    <row r="624" spans="1:14">
      <c r="A624">
        <v>623</v>
      </c>
      <c r="B624">
        <v>1227</v>
      </c>
      <c r="C624">
        <v>97</v>
      </c>
      <c r="D624">
        <v>247</v>
      </c>
      <c r="E624">
        <v>274</v>
      </c>
      <c r="G624">
        <f t="shared" si="36"/>
        <v>-1.9077156458567692</v>
      </c>
      <c r="H624">
        <f t="shared" si="37"/>
        <v>-1.42247392800419</v>
      </c>
      <c r="I624">
        <f t="shared" si="38"/>
        <v>-2.1194627582327366</v>
      </c>
      <c r="K624">
        <f t="shared" si="39"/>
        <v>-1.8165507773645653</v>
      </c>
      <c r="M624">
        <v>623</v>
      </c>
      <c r="N624">
        <v>-1.8165507773645653</v>
      </c>
    </row>
    <row r="625" spans="1:14">
      <c r="A625">
        <v>624</v>
      </c>
      <c r="B625">
        <v>821</v>
      </c>
      <c r="C625">
        <v>2051</v>
      </c>
      <c r="D625">
        <v>177</v>
      </c>
      <c r="E625">
        <v>288</v>
      </c>
      <c r="G625">
        <f t="shared" si="36"/>
        <v>-0.40802031414708445</v>
      </c>
      <c r="H625">
        <f t="shared" si="37"/>
        <v>-1.3926962092944857</v>
      </c>
      <c r="I625">
        <f t="shared" si="38"/>
        <v>-1.9233194276863299</v>
      </c>
      <c r="K625">
        <f t="shared" si="39"/>
        <v>-1.2413453170426332</v>
      </c>
      <c r="M625">
        <v>624</v>
      </c>
      <c r="N625">
        <v>-1.2413453170426332</v>
      </c>
    </row>
    <row r="626" spans="1:14">
      <c r="A626">
        <v>625</v>
      </c>
      <c r="B626">
        <v>1357</v>
      </c>
      <c r="C626">
        <v>213</v>
      </c>
      <c r="D626">
        <v>139</v>
      </c>
      <c r="E626">
        <v>226</v>
      </c>
      <c r="G626">
        <f t="shared" si="36"/>
        <v>-1.6098430616170094</v>
      </c>
      <c r="H626">
        <f t="shared" si="37"/>
        <v>-1.7158913659424937</v>
      </c>
      <c r="I626">
        <f t="shared" si="38"/>
        <v>-2.2468401668384561</v>
      </c>
      <c r="K626">
        <f t="shared" si="39"/>
        <v>-1.8575248647993199</v>
      </c>
      <c r="M626">
        <v>625</v>
      </c>
      <c r="N626">
        <v>-1.8575248647993199</v>
      </c>
    </row>
    <row r="627" spans="1:14">
      <c r="A627">
        <v>626</v>
      </c>
      <c r="B627">
        <v>890</v>
      </c>
      <c r="C627">
        <v>546</v>
      </c>
      <c r="D627">
        <v>58</v>
      </c>
      <c r="E627">
        <v>179</v>
      </c>
      <c r="G627">
        <f t="shared" si="36"/>
        <v>-1.0178401813361855</v>
      </c>
      <c r="H627">
        <f t="shared" si="37"/>
        <v>-1.9122883316188273</v>
      </c>
      <c r="I627">
        <f t="shared" si="38"/>
        <v>-2.1649057339911395</v>
      </c>
      <c r="K627">
        <f t="shared" si="39"/>
        <v>-1.6983447489820509</v>
      </c>
      <c r="M627">
        <v>626</v>
      </c>
      <c r="N627">
        <v>-1.6983447489820509</v>
      </c>
    </row>
    <row r="628" spans="1:14">
      <c r="A628">
        <v>627</v>
      </c>
      <c r="B628">
        <v>1078</v>
      </c>
      <c r="C628">
        <v>53</v>
      </c>
      <c r="D628">
        <v>38</v>
      </c>
      <c r="E628">
        <v>624</v>
      </c>
      <c r="G628">
        <f t="shared" si="36"/>
        <v>-2.1139857086459406</v>
      </c>
      <c r="H628">
        <f t="shared" si="37"/>
        <v>-2.1791614827707613</v>
      </c>
      <c r="I628">
        <f t="shared" si="38"/>
        <v>-1.7058029294944159</v>
      </c>
      <c r="K628">
        <f t="shared" si="39"/>
        <v>-1.9996500403037061</v>
      </c>
      <c r="M628">
        <v>627</v>
      </c>
      <c r="N628">
        <v>-1.9996500403037061</v>
      </c>
    </row>
    <row r="629" spans="1:14">
      <c r="A629">
        <v>628</v>
      </c>
      <c r="B629">
        <v>1118</v>
      </c>
      <c r="C629">
        <v>332</v>
      </c>
      <c r="D629">
        <v>70</v>
      </c>
      <c r="E629">
        <v>277</v>
      </c>
      <c r="G629">
        <f t="shared" si="36"/>
        <v>-1.3329465372423781</v>
      </c>
      <c r="H629">
        <f t="shared" si="37"/>
        <v>-1.9296700820729993</v>
      </c>
      <c r="I629">
        <f t="shared" si="38"/>
        <v>-2.0743307928120758</v>
      </c>
      <c r="K629">
        <f t="shared" si="39"/>
        <v>-1.7789824707091508</v>
      </c>
      <c r="M629">
        <v>628</v>
      </c>
      <c r="N629">
        <v>-1.7789824707091508</v>
      </c>
    </row>
    <row r="630" spans="1:14">
      <c r="A630">
        <v>629</v>
      </c>
      <c r="B630">
        <v>1211</v>
      </c>
      <c r="C630">
        <v>3062</v>
      </c>
      <c r="D630">
        <v>123</v>
      </c>
      <c r="E630">
        <v>325</v>
      </c>
      <c r="G630">
        <f t="shared" si="36"/>
        <v>-0.40278177417681998</v>
      </c>
      <c r="H630">
        <f t="shared" si="37"/>
        <v>-1.7195653502405062</v>
      </c>
      <c r="I630">
        <f t="shared" si="38"/>
        <v>-2.039629540490298</v>
      </c>
      <c r="K630">
        <f t="shared" si="39"/>
        <v>-1.3873255549692081</v>
      </c>
      <c r="M630">
        <v>629</v>
      </c>
      <c r="N630">
        <v>-1.3873255549692081</v>
      </c>
    </row>
    <row r="631" spans="1:14">
      <c r="A631">
        <v>630</v>
      </c>
      <c r="B631">
        <v>1404</v>
      </c>
      <c r="C631">
        <v>203</v>
      </c>
      <c r="D631">
        <v>65</v>
      </c>
      <c r="E631">
        <v>486</v>
      </c>
      <c r="G631">
        <f t="shared" si="36"/>
        <v>-1.6455138872765835</v>
      </c>
      <c r="H631">
        <f t="shared" si="37"/>
        <v>-2.0607800696877825</v>
      </c>
      <c r="I631">
        <f t="shared" si="38"/>
        <v>-1.929099596857613</v>
      </c>
      <c r="K631">
        <f t="shared" si="39"/>
        <v>-1.8784645179406596</v>
      </c>
      <c r="M631">
        <v>630</v>
      </c>
      <c r="N631">
        <v>-1.8784645179406596</v>
      </c>
    </row>
    <row r="632" spans="1:14">
      <c r="A632">
        <v>631</v>
      </c>
      <c r="B632">
        <v>1361</v>
      </c>
      <c r="C632">
        <v>922</v>
      </c>
      <c r="D632">
        <v>143</v>
      </c>
      <c r="E632">
        <v>260</v>
      </c>
      <c r="G632">
        <f t="shared" si="36"/>
        <v>-0.97477002154571535</v>
      </c>
      <c r="H632">
        <f t="shared" si="37"/>
        <v>-1.7048484062751246</v>
      </c>
      <c r="I632">
        <f t="shared" si="38"/>
        <v>-2.1872535355586367</v>
      </c>
      <c r="K632">
        <f t="shared" si="39"/>
        <v>-1.6222906544598255</v>
      </c>
      <c r="M632">
        <v>631</v>
      </c>
      <c r="N632">
        <v>-1.6222906544598255</v>
      </c>
    </row>
    <row r="633" spans="1:14">
      <c r="A633">
        <v>632</v>
      </c>
      <c r="B633">
        <v>1709</v>
      </c>
      <c r="C633">
        <v>446</v>
      </c>
      <c r="D633">
        <v>141</v>
      </c>
      <c r="E633">
        <v>180</v>
      </c>
      <c r="G633">
        <f t="shared" si="36"/>
        <v>-1.3890500214046049</v>
      </c>
      <c r="H633">
        <f t="shared" si="37"/>
        <v>-1.8098492686022087</v>
      </c>
      <c r="I633">
        <f t="shared" si="38"/>
        <v>-2.4458383159435506</v>
      </c>
      <c r="K633">
        <f t="shared" si="39"/>
        <v>-1.881579201983455</v>
      </c>
      <c r="M633">
        <v>632</v>
      </c>
      <c r="N633">
        <v>-1.881579201983455</v>
      </c>
    </row>
    <row r="634" spans="1:14">
      <c r="A634">
        <v>633</v>
      </c>
      <c r="B634">
        <v>1379</v>
      </c>
      <c r="C634">
        <v>174</v>
      </c>
      <c r="D634">
        <v>87</v>
      </c>
      <c r="E634">
        <v>752</v>
      </c>
      <c r="G634">
        <f t="shared" si="36"/>
        <v>-1.7046578352892601</v>
      </c>
      <c r="H634">
        <f t="shared" si="37"/>
        <v>-1.926371332094083</v>
      </c>
      <c r="I634">
        <f t="shared" si="38"/>
        <v>-1.7317151839103275</v>
      </c>
      <c r="K634">
        <f t="shared" si="39"/>
        <v>-1.7875814504312235</v>
      </c>
      <c r="M634">
        <v>633</v>
      </c>
      <c r="N634">
        <v>-1.7875814504312235</v>
      </c>
    </row>
    <row r="635" spans="1:14">
      <c r="A635">
        <v>634</v>
      </c>
      <c r="B635">
        <v>1240</v>
      </c>
      <c r="C635">
        <v>1776</v>
      </c>
      <c r="D635">
        <v>119</v>
      </c>
      <c r="E635">
        <v>80</v>
      </c>
      <c r="G635">
        <f t="shared" si="36"/>
        <v>-0.64962154111566273</v>
      </c>
      <c r="H635">
        <f t="shared" si="37"/>
        <v>-1.7442010423065559</v>
      </c>
      <c r="I635">
        <f t="shared" si="38"/>
        <v>-2.6587004564964114</v>
      </c>
      <c r="K635">
        <f t="shared" si="39"/>
        <v>-1.6841743466395434</v>
      </c>
      <c r="M635">
        <v>634</v>
      </c>
      <c r="N635">
        <v>-1.6841743466395434</v>
      </c>
    </row>
    <row r="636" spans="1:14">
      <c r="A636">
        <v>635</v>
      </c>
      <c r="B636">
        <v>1428</v>
      </c>
      <c r="C636">
        <v>520</v>
      </c>
      <c r="D636">
        <v>926</v>
      </c>
      <c r="E636">
        <v>455</v>
      </c>
      <c r="G636">
        <f t="shared" si="36"/>
        <v>-1.2443676812013664</v>
      </c>
      <c r="H636">
        <f t="shared" si="37"/>
        <v>-0.91444353929507294</v>
      </c>
      <c r="I636">
        <f t="shared" si="38"/>
        <v>-1.9650855691091631</v>
      </c>
      <c r="K636">
        <f t="shared" si="39"/>
        <v>-1.3746322632018675</v>
      </c>
      <c r="M636">
        <v>635</v>
      </c>
      <c r="N636">
        <v>-1.3746322632018675</v>
      </c>
    </row>
    <row r="637" spans="1:14">
      <c r="A637">
        <v>636</v>
      </c>
      <c r="B637">
        <v>1076</v>
      </c>
      <c r="C637">
        <v>97</v>
      </c>
      <c r="D637">
        <v>50</v>
      </c>
      <c r="E637">
        <v>362</v>
      </c>
      <c r="G637">
        <f t="shared" si="36"/>
        <v>-1.8506833544601355</v>
      </c>
      <c r="H637">
        <f t="shared" si="37"/>
        <v>-2.0591685855312032</v>
      </c>
      <c r="I637">
        <f t="shared" si="38"/>
        <v>-1.9414724591233248</v>
      </c>
      <c r="K637">
        <f t="shared" si="39"/>
        <v>-1.9504414663715544</v>
      </c>
      <c r="M637">
        <v>636</v>
      </c>
      <c r="N637">
        <v>-1.9504414663715544</v>
      </c>
    </row>
    <row r="638" spans="1:14">
      <c r="A638">
        <v>637</v>
      </c>
      <c r="B638">
        <v>955</v>
      </c>
      <c r="C638">
        <v>151</v>
      </c>
      <c r="D638">
        <v>104</v>
      </c>
      <c r="E638">
        <v>430</v>
      </c>
      <c r="G638">
        <f t="shared" si="36"/>
        <v>-1.6066692416865869</v>
      </c>
      <c r="H638">
        <f t="shared" si="37"/>
        <v>-1.6892963508218177</v>
      </c>
      <c r="I638">
        <f t="shared" si="38"/>
        <v>-1.8149036743302798</v>
      </c>
      <c r="K638">
        <f t="shared" si="39"/>
        <v>-1.7036230889462283</v>
      </c>
      <c r="M638">
        <v>637</v>
      </c>
      <c r="N638">
        <v>-1.7036230889462283</v>
      </c>
    </row>
    <row r="639" spans="1:14">
      <c r="A639">
        <v>638</v>
      </c>
      <c r="B639">
        <v>1212</v>
      </c>
      <c r="C639">
        <v>4987</v>
      </c>
      <c r="D639">
        <v>123</v>
      </c>
      <c r="E639">
        <v>157</v>
      </c>
      <c r="G639">
        <f t="shared" si="36"/>
        <v>-0.19130606900791436</v>
      </c>
      <c r="H639">
        <f t="shared" si="37"/>
        <v>-1.7199238269277211</v>
      </c>
      <c r="I639">
        <f t="shared" si="38"/>
        <v>-2.3559717257471537</v>
      </c>
      <c r="K639">
        <f t="shared" si="39"/>
        <v>-1.4224005405609297</v>
      </c>
      <c r="M639">
        <v>638</v>
      </c>
      <c r="N639">
        <v>-1.4224005405609297</v>
      </c>
    </row>
    <row r="640" spans="1:14">
      <c r="A640">
        <v>639</v>
      </c>
      <c r="B640">
        <v>1082</v>
      </c>
      <c r="C640">
        <v>223</v>
      </c>
      <c r="D640">
        <v>92</v>
      </c>
      <c r="E640">
        <v>139</v>
      </c>
      <c r="G640">
        <f t="shared" si="36"/>
        <v>-1.4915652151184</v>
      </c>
      <c r="H640">
        <f t="shared" si="37"/>
        <v>-1.7967657519618472</v>
      </c>
      <c r="I640">
        <f t="shared" si="38"/>
        <v>-2.3595812188425755</v>
      </c>
      <c r="K640">
        <f t="shared" si="39"/>
        <v>-1.8826373953076077</v>
      </c>
      <c r="M640">
        <v>639</v>
      </c>
      <c r="N640">
        <v>-1.8826373953076077</v>
      </c>
    </row>
    <row r="641" spans="1:14">
      <c r="A641">
        <v>640</v>
      </c>
      <c r="B641">
        <v>1122</v>
      </c>
      <c r="C641">
        <v>80</v>
      </c>
      <c r="D641">
        <v>931</v>
      </c>
      <c r="E641">
        <v>821</v>
      </c>
      <c r="G641">
        <f t="shared" si="36"/>
        <v>-1.9525456873242089</v>
      </c>
      <c r="H641">
        <f t="shared" si="37"/>
        <v>-0.80736949447565176</v>
      </c>
      <c r="I641">
        <f t="shared" si="38"/>
        <v>-1.6040184581268218</v>
      </c>
      <c r="K641">
        <f t="shared" si="39"/>
        <v>-1.4546445466422275</v>
      </c>
      <c r="M641">
        <v>640</v>
      </c>
      <c r="N641">
        <v>-1.4546445466422275</v>
      </c>
    </row>
    <row r="642" spans="1:14">
      <c r="A642">
        <v>641</v>
      </c>
      <c r="B642">
        <v>1100</v>
      </c>
      <c r="C642">
        <v>178</v>
      </c>
      <c r="D642">
        <v>176</v>
      </c>
      <c r="E642">
        <v>956</v>
      </c>
      <c r="G642">
        <f t="shared" si="36"/>
        <v>-1.596615500245341</v>
      </c>
      <c r="H642">
        <f t="shared" si="37"/>
        <v>-1.5222063358809268</v>
      </c>
      <c r="I642">
        <f t="shared" si="38"/>
        <v>-1.5293035512082449</v>
      </c>
      <c r="K642">
        <f t="shared" si="39"/>
        <v>-1.5493751291115043</v>
      </c>
      <c r="M642">
        <v>641</v>
      </c>
      <c r="N642">
        <v>-1.5493751291115043</v>
      </c>
    </row>
    <row r="643" spans="1:14">
      <c r="A643">
        <v>642</v>
      </c>
      <c r="B643">
        <v>1397</v>
      </c>
      <c r="C643">
        <v>770</v>
      </c>
      <c r="D643">
        <v>73</v>
      </c>
      <c r="E643">
        <v>280</v>
      </c>
      <c r="G643">
        <f t="shared" ref="G643:G706" si="40">LOG10(C643/B643)-LOG10(151582/23714)</f>
        <v>-1.0643484983377101</v>
      </c>
      <c r="H643">
        <f t="shared" ref="H643:H706" si="41">LOG10(D643/B643)-LOG10(126279/23714)</f>
        <v>-2.0081998645305776</v>
      </c>
      <c r="I643">
        <f t="shared" ref="I643:I706" si="42">LOG10(E643/B643)-LOG10(697226/23714)</f>
        <v>-2.1664071330980827</v>
      </c>
      <c r="K643">
        <f t="shared" ref="K643:K706" si="43">AVERAGE(G643:I643)</f>
        <v>-1.746318498655457</v>
      </c>
      <c r="M643">
        <v>642</v>
      </c>
      <c r="N643">
        <v>-1.746318498655457</v>
      </c>
    </row>
    <row r="644" spans="1:14">
      <c r="A644">
        <v>643</v>
      </c>
      <c r="B644">
        <v>1436</v>
      </c>
      <c r="C644">
        <v>1250</v>
      </c>
      <c r="D644">
        <v>342</v>
      </c>
      <c r="E644">
        <v>409</v>
      </c>
      <c r="G644">
        <f t="shared" si="40"/>
        <v>-0.86588724429423514</v>
      </c>
      <c r="H644">
        <f t="shared" si="41"/>
        <v>-1.3494546523869981</v>
      </c>
      <c r="I644">
        <f t="shared" si="42"/>
        <v>-2.0137998902250596</v>
      </c>
      <c r="K644">
        <f t="shared" si="43"/>
        <v>-1.4097139289687644</v>
      </c>
      <c r="M644">
        <v>643</v>
      </c>
      <c r="N644">
        <v>-1.4097139289687644</v>
      </c>
    </row>
    <row r="645" spans="1:14">
      <c r="A645">
        <v>644</v>
      </c>
      <c r="B645">
        <v>1074</v>
      </c>
      <c r="C645">
        <v>90</v>
      </c>
      <c r="D645">
        <v>86</v>
      </c>
      <c r="E645">
        <v>605</v>
      </c>
      <c r="G645">
        <f t="shared" si="40"/>
        <v>-1.8824045893202219</v>
      </c>
      <c r="H645">
        <f t="shared" si="41"/>
        <v>-1.8228321486568206</v>
      </c>
      <c r="I645">
        <f t="shared" si="42"/>
        <v>-1.7176176650371879</v>
      </c>
      <c r="K645">
        <f t="shared" si="43"/>
        <v>-1.8076181343380766</v>
      </c>
      <c r="M645">
        <v>644</v>
      </c>
      <c r="N645">
        <v>-1.8076181343380766</v>
      </c>
    </row>
    <row r="646" spans="1:14">
      <c r="A646">
        <v>645</v>
      </c>
      <c r="B646">
        <v>1092</v>
      </c>
      <c r="C646">
        <v>9938</v>
      </c>
      <c r="D646">
        <v>1561</v>
      </c>
      <c r="E646">
        <v>269</v>
      </c>
      <c r="G646">
        <f t="shared" si="40"/>
        <v>0.15343353664478554</v>
      </c>
      <c r="H646">
        <f t="shared" si="41"/>
        <v>-0.57114605384315265</v>
      </c>
      <c r="I646">
        <f t="shared" si="42"/>
        <v>-2.0768391166924305</v>
      </c>
      <c r="K646">
        <f t="shared" si="43"/>
        <v>-0.83151721129693257</v>
      </c>
      <c r="M646">
        <v>645</v>
      </c>
      <c r="N646">
        <v>-0.83151721129693257</v>
      </c>
    </row>
    <row r="647" spans="1:14">
      <c r="A647">
        <v>646</v>
      </c>
      <c r="B647">
        <v>974</v>
      </c>
      <c r="C647">
        <v>367</v>
      </c>
      <c r="D647">
        <v>42</v>
      </c>
      <c r="E647">
        <v>210</v>
      </c>
      <c r="G647">
        <f t="shared" si="40"/>
        <v>-1.2295357100225361</v>
      </c>
      <c r="H647">
        <f t="shared" si="41"/>
        <v>-2.0916359850175668</v>
      </c>
      <c r="I647">
        <f t="shared" si="42"/>
        <v>-2.1347084204708162</v>
      </c>
      <c r="K647">
        <f t="shared" si="43"/>
        <v>-1.8186267051703062</v>
      </c>
      <c r="M647">
        <v>646</v>
      </c>
      <c r="N647">
        <v>-1.8186267051703062</v>
      </c>
    </row>
    <row r="648" spans="1:14">
      <c r="A648">
        <v>647</v>
      </c>
      <c r="B648">
        <v>861</v>
      </c>
      <c r="C648">
        <v>217</v>
      </c>
      <c r="D648">
        <v>23</v>
      </c>
      <c r="E648">
        <v>56</v>
      </c>
      <c r="G648">
        <f t="shared" si="40"/>
        <v>-1.4041862350011352</v>
      </c>
      <c r="H648">
        <f t="shared" si="41"/>
        <v>-2.2996016339729137</v>
      </c>
      <c r="I648">
        <f t="shared" si="42"/>
        <v>-2.6551838827735743</v>
      </c>
      <c r="K648">
        <f t="shared" si="43"/>
        <v>-2.1196572505825411</v>
      </c>
      <c r="M648">
        <v>647</v>
      </c>
      <c r="N648">
        <v>-2.1196572505825411</v>
      </c>
    </row>
    <row r="649" spans="1:14">
      <c r="A649">
        <v>648</v>
      </c>
      <c r="B649">
        <v>1069</v>
      </c>
      <c r="C649">
        <v>352</v>
      </c>
      <c r="D649">
        <v>119</v>
      </c>
      <c r="E649">
        <v>211</v>
      </c>
      <c r="G649">
        <f t="shared" si="40"/>
        <v>-1.2880778591266568</v>
      </c>
      <c r="H649">
        <f t="shared" si="41"/>
        <v>-1.6797570623530991</v>
      </c>
      <c r="I649">
        <f t="shared" si="42"/>
        <v>-2.1730640082372052</v>
      </c>
      <c r="K649">
        <f t="shared" si="43"/>
        <v>-1.7136329765723204</v>
      </c>
      <c r="M649">
        <v>648</v>
      </c>
      <c r="N649">
        <v>-1.7136329765723204</v>
      </c>
    </row>
    <row r="650" spans="1:14">
      <c r="A650">
        <v>649</v>
      </c>
      <c r="B650">
        <v>1744</v>
      </c>
      <c r="C650">
        <v>167</v>
      </c>
      <c r="D650">
        <v>519</v>
      </c>
      <c r="E650">
        <v>196</v>
      </c>
      <c r="G650">
        <f t="shared" si="40"/>
        <v>-1.824472826844975</v>
      </c>
      <c r="H650">
        <f t="shared" si="41"/>
        <v>-1.2527054412849421</v>
      </c>
      <c r="I650">
        <f t="shared" si="42"/>
        <v>-2.4176591675661925</v>
      </c>
      <c r="K650">
        <f t="shared" si="43"/>
        <v>-1.83161247856537</v>
      </c>
      <c r="M650">
        <v>649</v>
      </c>
      <c r="N650">
        <v>-1.83161247856537</v>
      </c>
    </row>
    <row r="651" spans="1:14">
      <c r="A651">
        <v>650</v>
      </c>
      <c r="B651">
        <v>1264</v>
      </c>
      <c r="C651">
        <v>91</v>
      </c>
      <c r="D651">
        <v>83</v>
      </c>
      <c r="E651">
        <v>175</v>
      </c>
      <c r="G651">
        <f t="shared" si="40"/>
        <v>-1.9483484990212825</v>
      </c>
      <c r="H651">
        <f t="shared" si="41"/>
        <v>-1.908995300107144</v>
      </c>
      <c r="I651">
        <f t="shared" si="42"/>
        <v>-2.3270777835861916</v>
      </c>
      <c r="K651">
        <f t="shared" si="43"/>
        <v>-2.0614738609048726</v>
      </c>
      <c r="M651">
        <v>650</v>
      </c>
      <c r="N651">
        <v>-2.0614738609048726</v>
      </c>
    </row>
    <row r="652" spans="1:14">
      <c r="A652">
        <v>651</v>
      </c>
      <c r="B652">
        <v>1412</v>
      </c>
      <c r="C652">
        <v>175</v>
      </c>
      <c r="D652">
        <v>159</v>
      </c>
      <c r="E652">
        <v>164</v>
      </c>
      <c r="G652">
        <f t="shared" si="40"/>
        <v>-1.7124394654255006</v>
      </c>
      <c r="H652">
        <f t="shared" si="41"/>
        <v>-1.6747638909321851</v>
      </c>
      <c r="I652">
        <f t="shared" si="42"/>
        <v>-2.4033596069942069</v>
      </c>
      <c r="K652">
        <f t="shared" si="43"/>
        <v>-1.9301876544506309</v>
      </c>
      <c r="M652">
        <v>651</v>
      </c>
      <c r="N652">
        <v>-1.9301876544506309</v>
      </c>
    </row>
    <row r="653" spans="1:14">
      <c r="A653">
        <v>652</v>
      </c>
      <c r="B653">
        <v>1214</v>
      </c>
      <c r="C653">
        <v>115</v>
      </c>
      <c r="D653">
        <v>449</v>
      </c>
      <c r="E653">
        <v>211</v>
      </c>
      <c r="G653">
        <f t="shared" si="40"/>
        <v>-1.8291636637816371</v>
      </c>
      <c r="H653">
        <f t="shared" si="41"/>
        <v>-1.1582986642727673</v>
      </c>
      <c r="I653">
        <f t="shared" si="42"/>
        <v>-2.2283049897676661</v>
      </c>
      <c r="K653">
        <f t="shared" si="43"/>
        <v>-1.7385891059406902</v>
      </c>
      <c r="M653">
        <v>652</v>
      </c>
      <c r="N653">
        <v>-1.7385891059406902</v>
      </c>
    </row>
    <row r="654" spans="1:14">
      <c r="A654">
        <v>653</v>
      </c>
      <c r="B654">
        <v>1212</v>
      </c>
      <c r="C654">
        <v>235</v>
      </c>
      <c r="D654">
        <v>206</v>
      </c>
      <c r="E654">
        <v>223</v>
      </c>
      <c r="G654">
        <f t="shared" si="40"/>
        <v>-1.5180775749545412</v>
      </c>
      <c r="H654">
        <f t="shared" si="41"/>
        <v>-1.4959617179979658</v>
      </c>
      <c r="I654">
        <f t="shared" si="42"/>
        <v>-2.2035665151082267</v>
      </c>
      <c r="K654">
        <f t="shared" si="43"/>
        <v>-1.7392019360202446</v>
      </c>
      <c r="M654">
        <v>653</v>
      </c>
      <c r="N654">
        <v>-1.7392019360202446</v>
      </c>
    </row>
    <row r="655" spans="1:14">
      <c r="A655">
        <v>654</v>
      </c>
      <c r="B655">
        <v>1355</v>
      </c>
      <c r="C655">
        <v>253</v>
      </c>
      <c r="D655">
        <v>135</v>
      </c>
      <c r="E655">
        <v>149</v>
      </c>
      <c r="G655">
        <f t="shared" si="40"/>
        <v>-1.5344615914306166</v>
      </c>
      <c r="H655">
        <f t="shared" si="41"/>
        <v>-1.7279318452522703</v>
      </c>
      <c r="I655">
        <f t="shared" si="42"/>
        <v>-2.4271217851242706</v>
      </c>
      <c r="K655">
        <f t="shared" si="43"/>
        <v>-1.8965050739357192</v>
      </c>
      <c r="M655">
        <v>654</v>
      </c>
      <c r="N655">
        <v>-1.8965050739357192</v>
      </c>
    </row>
    <row r="656" spans="1:14">
      <c r="A656">
        <v>655</v>
      </c>
      <c r="B656">
        <v>886</v>
      </c>
      <c r="C656">
        <v>262</v>
      </c>
      <c r="D656">
        <v>306</v>
      </c>
      <c r="E656">
        <v>76</v>
      </c>
      <c r="G656">
        <f t="shared" si="40"/>
        <v>-1.3347752479633153</v>
      </c>
      <c r="H656">
        <f t="shared" si="41"/>
        <v>-1.1880386139423225</v>
      </c>
      <c r="I656">
        <f t="shared" si="42"/>
        <v>-2.5349888879323794</v>
      </c>
      <c r="K656">
        <f t="shared" si="43"/>
        <v>-1.6859342499460057</v>
      </c>
      <c r="M656">
        <v>655</v>
      </c>
      <c r="N656">
        <v>-1.6859342499460057</v>
      </c>
    </row>
    <row r="657" spans="1:14">
      <c r="A657">
        <v>656</v>
      </c>
      <c r="B657">
        <v>1779</v>
      </c>
      <c r="C657">
        <v>356</v>
      </c>
      <c r="D657">
        <v>282</v>
      </c>
      <c r="E657">
        <v>441</v>
      </c>
      <c r="G657">
        <f t="shared" si="40"/>
        <v>-1.5043687675070598</v>
      </c>
      <c r="H657">
        <f t="shared" si="41"/>
        <v>-1.5262531583014156</v>
      </c>
      <c r="I657">
        <f t="shared" si="42"/>
        <v>-2.0741061169422066</v>
      </c>
      <c r="K657">
        <f t="shared" si="43"/>
        <v>-1.7015760142502272</v>
      </c>
      <c r="M657">
        <v>656</v>
      </c>
      <c r="N657">
        <v>-1.7015760142502272</v>
      </c>
    </row>
    <row r="658" spans="1:14">
      <c r="A658">
        <v>657</v>
      </c>
      <c r="B658">
        <v>958</v>
      </c>
      <c r="C658">
        <v>113</v>
      </c>
      <c r="D658">
        <v>344</v>
      </c>
      <c r="E658">
        <v>227</v>
      </c>
      <c r="G658">
        <f t="shared" si="40"/>
        <v>-1.7339298829911347</v>
      </c>
      <c r="H658">
        <f t="shared" si="41"/>
        <v>-1.1711333850438659</v>
      </c>
      <c r="I658">
        <f t="shared" si="42"/>
        <v>-2.0937084102115415</v>
      </c>
      <c r="K658">
        <f t="shared" si="43"/>
        <v>-1.6662572260821806</v>
      </c>
      <c r="M658">
        <v>657</v>
      </c>
      <c r="N658">
        <v>-1.6662572260821806</v>
      </c>
    </row>
    <row r="659" spans="1:14">
      <c r="A659">
        <v>658</v>
      </c>
      <c r="B659">
        <v>1438</v>
      </c>
      <c r="C659">
        <v>229</v>
      </c>
      <c r="D659">
        <v>223</v>
      </c>
      <c r="E659">
        <v>374</v>
      </c>
      <c r="G659">
        <f t="shared" si="40"/>
        <v>-1.6035662211029857</v>
      </c>
      <c r="H659">
        <f t="shared" si="41"/>
        <v>-1.5357803415355549</v>
      </c>
      <c r="I659">
        <f t="shared" si="42"/>
        <v>-2.0532560421725039</v>
      </c>
      <c r="K659">
        <f t="shared" si="43"/>
        <v>-1.7308675349370148</v>
      </c>
      <c r="M659">
        <v>658</v>
      </c>
      <c r="N659">
        <v>-1.7308675349370148</v>
      </c>
    </row>
    <row r="660" spans="1:14">
      <c r="A660">
        <v>659</v>
      </c>
      <c r="B660">
        <v>1337</v>
      </c>
      <c r="C660">
        <v>153</v>
      </c>
      <c r="D660">
        <v>300</v>
      </c>
      <c r="E660">
        <v>161</v>
      </c>
      <c r="G660">
        <f t="shared" si="40"/>
        <v>-1.7470827938403954</v>
      </c>
      <c r="H660">
        <f t="shared" si="41"/>
        <v>-1.3753364710791736</v>
      </c>
      <c r="I660">
        <f t="shared" si="42"/>
        <v>-2.3876742895562546</v>
      </c>
      <c r="K660">
        <f t="shared" si="43"/>
        <v>-1.836697851491941</v>
      </c>
      <c r="M660">
        <v>659</v>
      </c>
      <c r="N660">
        <v>-1.836697851491941</v>
      </c>
    </row>
    <row r="661" spans="1:14">
      <c r="A661">
        <v>660</v>
      </c>
      <c r="B661">
        <v>1364</v>
      </c>
      <c r="C661">
        <v>164</v>
      </c>
      <c r="D661">
        <v>363</v>
      </c>
      <c r="E661">
        <v>1233</v>
      </c>
      <c r="G661">
        <f t="shared" si="40"/>
        <v>-1.7256133396687723</v>
      </c>
      <c r="H661">
        <f t="shared" si="41"/>
        <v>-1.3012340638211994</v>
      </c>
      <c r="I661">
        <f t="shared" si="42"/>
        <v>-1.5122200520508484</v>
      </c>
      <c r="K661">
        <f t="shared" si="43"/>
        <v>-1.5130224851802734</v>
      </c>
      <c r="M661">
        <v>660</v>
      </c>
      <c r="N661">
        <v>-1.5130224851802734</v>
      </c>
    </row>
    <row r="662" spans="1:14">
      <c r="A662">
        <v>661</v>
      </c>
      <c r="B662">
        <v>1214</v>
      </c>
      <c r="C662">
        <v>161</v>
      </c>
      <c r="D662">
        <v>212</v>
      </c>
      <c r="E662">
        <v>67</v>
      </c>
      <c r="G662">
        <f t="shared" si="40"/>
        <v>-1.6830356281033989</v>
      </c>
      <c r="H662">
        <f t="shared" si="41"/>
        <v>-1.4842091443473389</v>
      </c>
      <c r="I662">
        <f t="shared" si="42"/>
        <v>-2.7265126423645323</v>
      </c>
      <c r="K662">
        <f t="shared" si="43"/>
        <v>-1.9645858049384233</v>
      </c>
      <c r="M662">
        <v>661</v>
      </c>
      <c r="N662">
        <v>-1.9645858049384233</v>
      </c>
    </row>
    <row r="663" spans="1:14">
      <c r="A663">
        <v>662</v>
      </c>
      <c r="B663">
        <v>1067</v>
      </c>
      <c r="C663">
        <v>45</v>
      </c>
      <c r="D663">
        <v>166</v>
      </c>
      <c r="E663">
        <v>67</v>
      </c>
      <c r="G663">
        <f t="shared" si="40"/>
        <v>-2.1805947230451359</v>
      </c>
      <c r="H663">
        <f t="shared" si="41"/>
        <v>-1.5343826499212665</v>
      </c>
      <c r="I663">
        <f t="shared" si="42"/>
        <v>-2.6704583750497637</v>
      </c>
      <c r="K663">
        <f t="shared" si="43"/>
        <v>-2.1284785826720554</v>
      </c>
      <c r="M663">
        <v>662</v>
      </c>
      <c r="N663">
        <v>-2.1284785826720554</v>
      </c>
    </row>
    <row r="664" spans="1:14">
      <c r="A664">
        <v>663</v>
      </c>
      <c r="B664">
        <v>1314</v>
      </c>
      <c r="C664">
        <v>164</v>
      </c>
      <c r="D664">
        <v>76</v>
      </c>
      <c r="E664">
        <v>1454</v>
      </c>
      <c r="G664">
        <f t="shared" si="40"/>
        <v>-1.7093943345720741</v>
      </c>
      <c r="H664">
        <f t="shared" si="41"/>
        <v>-1.9641080914798223</v>
      </c>
      <c r="I664">
        <f t="shared" si="42"/>
        <v>-1.424399717026863</v>
      </c>
      <c r="K664">
        <f t="shared" si="43"/>
        <v>-1.6993007143595864</v>
      </c>
      <c r="M664">
        <v>663</v>
      </c>
      <c r="N664">
        <v>-1.6993007143595864</v>
      </c>
    </row>
    <row r="665" spans="1:14">
      <c r="A665">
        <v>664</v>
      </c>
      <c r="B665">
        <v>1084</v>
      </c>
      <c r="C665">
        <v>197</v>
      </c>
      <c r="D665">
        <v>1006</v>
      </c>
      <c r="E665">
        <v>190</v>
      </c>
      <c r="G665">
        <f t="shared" si="40"/>
        <v>-1.5462058734367852</v>
      </c>
      <c r="H665">
        <f t="shared" si="41"/>
        <v>-0.75875762001931124</v>
      </c>
      <c r="I665">
        <f t="shared" si="42"/>
        <v>-2.224644439575659</v>
      </c>
      <c r="K665">
        <f t="shared" si="43"/>
        <v>-1.5098693110105852</v>
      </c>
      <c r="M665">
        <v>664</v>
      </c>
      <c r="N665">
        <v>-1.5098693110105852</v>
      </c>
    </row>
    <row r="666" spans="1:14">
      <c r="A666">
        <v>665</v>
      </c>
      <c r="B666">
        <v>1510</v>
      </c>
      <c r="C666">
        <v>200</v>
      </c>
      <c r="D666">
        <v>102</v>
      </c>
      <c r="E666">
        <v>136</v>
      </c>
      <c r="G666">
        <f t="shared" si="40"/>
        <v>-1.6835897690251982</v>
      </c>
      <c r="H666">
        <f t="shared" si="41"/>
        <v>-1.8967030940681036</v>
      </c>
      <c r="I666">
        <f t="shared" si="42"/>
        <v>-2.5138067972490719</v>
      </c>
      <c r="K666">
        <f t="shared" si="43"/>
        <v>-2.0313665534474579</v>
      </c>
      <c r="M666">
        <v>665</v>
      </c>
      <c r="N666">
        <v>-2.0313665534474579</v>
      </c>
    </row>
    <row r="667" spans="1:14">
      <c r="A667">
        <v>666</v>
      </c>
      <c r="B667">
        <v>1031</v>
      </c>
      <c r="C667">
        <v>215</v>
      </c>
      <c r="D667">
        <v>829</v>
      </c>
      <c r="E667">
        <v>78</v>
      </c>
      <c r="G667">
        <f t="shared" si="40"/>
        <v>-1.4864630227639211</v>
      </c>
      <c r="H667">
        <f t="shared" si="41"/>
        <v>-0.82103045327009472</v>
      </c>
      <c r="I667">
        <f t="shared" si="42"/>
        <v>-2.5895328209191559</v>
      </c>
      <c r="K667">
        <f t="shared" si="43"/>
        <v>-1.6323420989843906</v>
      </c>
      <c r="M667">
        <v>666</v>
      </c>
      <c r="N667">
        <v>-1.6323420989843906</v>
      </c>
    </row>
    <row r="668" spans="1:14">
      <c r="A668">
        <v>667</v>
      </c>
      <c r="B668">
        <v>1303</v>
      </c>
      <c r="C668">
        <v>81</v>
      </c>
      <c r="D668">
        <v>43</v>
      </c>
      <c r="E668">
        <v>100</v>
      </c>
      <c r="G668">
        <f t="shared" si="40"/>
        <v>-2.012102214229945</v>
      </c>
      <c r="H668">
        <f t="shared" si="41"/>
        <v>-2.2078022786698499</v>
      </c>
      <c r="I668">
        <f t="shared" si="42"/>
        <v>-2.5833131740387048</v>
      </c>
      <c r="K668">
        <f t="shared" si="43"/>
        <v>-2.2677392223128332</v>
      </c>
      <c r="M668">
        <v>667</v>
      </c>
      <c r="N668">
        <v>-2.2677392223128332</v>
      </c>
    </row>
    <row r="669" spans="1:14">
      <c r="A669">
        <v>668</v>
      </c>
      <c r="B669">
        <v>1367</v>
      </c>
      <c r="C669">
        <v>1174</v>
      </c>
      <c r="D669">
        <v>430</v>
      </c>
      <c r="E669">
        <v>941</v>
      </c>
      <c r="G669">
        <f t="shared" si="40"/>
        <v>-0.87174323505223661</v>
      </c>
      <c r="H669">
        <f t="shared" si="41"/>
        <v>-1.2286263775250874</v>
      </c>
      <c r="I669">
        <f t="shared" si="42"/>
        <v>-1.6305476494666853</v>
      </c>
      <c r="K669">
        <f t="shared" si="43"/>
        <v>-1.2436390873480032</v>
      </c>
      <c r="M669">
        <v>668</v>
      </c>
      <c r="N669">
        <v>-1.2436390873480032</v>
      </c>
    </row>
    <row r="670" spans="1:14">
      <c r="A670">
        <v>669</v>
      </c>
      <c r="B670">
        <v>1145</v>
      </c>
      <c r="C670">
        <v>2944</v>
      </c>
      <c r="D670">
        <v>252</v>
      </c>
      <c r="E670">
        <v>273</v>
      </c>
      <c r="G670">
        <f t="shared" si="40"/>
        <v>-0.39551049840645552</v>
      </c>
      <c r="H670">
        <f t="shared" si="41"/>
        <v>-1.3837312644312143</v>
      </c>
      <c r="I670">
        <f t="shared" si="42"/>
        <v>-2.0910115979612707</v>
      </c>
      <c r="K670">
        <f t="shared" si="43"/>
        <v>-1.2900844535996467</v>
      </c>
      <c r="M670">
        <v>669</v>
      </c>
      <c r="N670">
        <v>-1.2900844535996467</v>
      </c>
    </row>
    <row r="671" spans="1:14">
      <c r="A671">
        <v>670</v>
      </c>
      <c r="B671">
        <v>1014</v>
      </c>
      <c r="C671">
        <v>658</v>
      </c>
      <c r="D671">
        <v>46</v>
      </c>
      <c r="E671">
        <v>96</v>
      </c>
      <c r="G671">
        <f t="shared" si="40"/>
        <v>-0.99345487877937166</v>
      </c>
      <c r="H671">
        <f t="shared" si="41"/>
        <v>-2.0696064418525948</v>
      </c>
      <c r="I671">
        <f t="shared" si="42"/>
        <v>-2.4921354802838689</v>
      </c>
      <c r="K671">
        <f t="shared" si="43"/>
        <v>-1.8517322669719452</v>
      </c>
      <c r="M671">
        <v>670</v>
      </c>
      <c r="N671">
        <v>-1.8517322669719452</v>
      </c>
    </row>
    <row r="672" spans="1:14">
      <c r="A672">
        <v>671</v>
      </c>
      <c r="B672">
        <v>1482</v>
      </c>
      <c r="C672">
        <v>685</v>
      </c>
      <c r="D672">
        <v>280</v>
      </c>
      <c r="E672">
        <v>8695</v>
      </c>
      <c r="G672">
        <f t="shared" si="40"/>
        <v>-1.1408004495468937</v>
      </c>
      <c r="H672">
        <f t="shared" si="41"/>
        <v>-1.4500164908379418</v>
      </c>
      <c r="I672">
        <f t="shared" si="42"/>
        <v>-0.69994737563069809</v>
      </c>
      <c r="K672">
        <f t="shared" si="43"/>
        <v>-1.0969214386718444</v>
      </c>
      <c r="M672">
        <v>671</v>
      </c>
      <c r="N672">
        <v>-1.0969214386718444</v>
      </c>
    </row>
    <row r="673" spans="1:14">
      <c r="A673">
        <v>672</v>
      </c>
      <c r="B673">
        <v>990</v>
      </c>
      <c r="C673">
        <v>171</v>
      </c>
      <c r="D673">
        <v>746</v>
      </c>
      <c r="E673">
        <v>332</v>
      </c>
      <c r="G673">
        <f t="shared" si="40"/>
        <v>-1.568281901601406</v>
      </c>
      <c r="H673">
        <f t="shared" si="41"/>
        <v>-0.84922268566173287</v>
      </c>
      <c r="I673">
        <f t="shared" si="42"/>
        <v>-1.9428658692196337</v>
      </c>
      <c r="K673">
        <f t="shared" si="43"/>
        <v>-1.4534568188275907</v>
      </c>
      <c r="M673">
        <v>672</v>
      </c>
      <c r="N673">
        <v>-1.4534568188275907</v>
      </c>
    </row>
    <row r="674" spans="1:14">
      <c r="A674">
        <v>673</v>
      </c>
      <c r="B674">
        <v>953</v>
      </c>
      <c r="C674">
        <v>227</v>
      </c>
      <c r="D674">
        <v>173</v>
      </c>
      <c r="E674">
        <v>67</v>
      </c>
      <c r="G674">
        <f t="shared" si="40"/>
        <v>-1.4287098608412137</v>
      </c>
      <c r="H674">
        <f t="shared" si="41"/>
        <v>-1.4673731160463825</v>
      </c>
      <c r="I674">
        <f t="shared" si="42"/>
        <v>-2.6213868562636202</v>
      </c>
      <c r="K674">
        <f t="shared" si="43"/>
        <v>-1.8391566110504056</v>
      </c>
      <c r="M674">
        <v>673</v>
      </c>
      <c r="N674">
        <v>-1.8391566110504056</v>
      </c>
    </row>
    <row r="675" spans="1:14">
      <c r="A675">
        <v>674</v>
      </c>
      <c r="B675">
        <v>1274</v>
      </c>
      <c r="C675">
        <v>338</v>
      </c>
      <c r="D675">
        <v>34</v>
      </c>
      <c r="E675">
        <v>236</v>
      </c>
      <c r="G675">
        <f t="shared" si="40"/>
        <v>-1.3818955451176869</v>
      </c>
      <c r="H675">
        <f t="shared" si="41"/>
        <v>-2.300016829493928</v>
      </c>
      <c r="I675">
        <f t="shared" si="42"/>
        <v>-2.2006261833553449</v>
      </c>
      <c r="K675">
        <f t="shared" si="43"/>
        <v>-1.9608461859889867</v>
      </c>
      <c r="M675">
        <v>674</v>
      </c>
      <c r="N675">
        <v>-1.9608461859889867</v>
      </c>
    </row>
    <row r="676" spans="1:14">
      <c r="A676">
        <v>675</v>
      </c>
      <c r="B676">
        <v>1094</v>
      </c>
      <c r="C676">
        <v>70</v>
      </c>
      <c r="D676">
        <v>104</v>
      </c>
      <c r="E676">
        <v>149</v>
      </c>
      <c r="G676">
        <f t="shared" si="40"/>
        <v>-1.9995620993791652</v>
      </c>
      <c r="H676">
        <f t="shared" si="41"/>
        <v>-1.7483103012354833</v>
      </c>
      <c r="I676">
        <f t="shared" si="42"/>
        <v>-2.3341998119112581</v>
      </c>
      <c r="K676">
        <f t="shared" si="43"/>
        <v>-2.027357404175302</v>
      </c>
      <c r="M676">
        <v>675</v>
      </c>
      <c r="N676">
        <v>-2.027357404175302</v>
      </c>
    </row>
    <row r="677" spans="1:14">
      <c r="A677">
        <v>676</v>
      </c>
      <c r="B677">
        <v>936</v>
      </c>
      <c r="C677">
        <v>383</v>
      </c>
      <c r="D677">
        <v>533</v>
      </c>
      <c r="E677">
        <v>162</v>
      </c>
      <c r="G677">
        <f t="shared" si="40"/>
        <v>-1.1937198921654923</v>
      </c>
      <c r="H677">
        <f t="shared" si="41"/>
        <v>-0.97087495824838466</v>
      </c>
      <c r="I677">
        <f t="shared" si="42"/>
        <v>-2.2301295925215943</v>
      </c>
      <c r="K677">
        <f t="shared" si="43"/>
        <v>-1.4649081476451571</v>
      </c>
      <c r="M677">
        <v>676</v>
      </c>
      <c r="N677">
        <v>-1.4649081476451571</v>
      </c>
    </row>
    <row r="678" spans="1:14">
      <c r="A678">
        <v>677</v>
      </c>
      <c r="B678">
        <v>887</v>
      </c>
      <c r="C678">
        <v>12686</v>
      </c>
      <c r="D678">
        <v>95</v>
      </c>
      <c r="E678">
        <v>1007</v>
      </c>
      <c r="G678">
        <f t="shared" si="40"/>
        <v>0.3497582698337085</v>
      </c>
      <c r="H678">
        <f t="shared" si="41"/>
        <v>-1.6965263330797304</v>
      </c>
      <c r="I678">
        <f t="shared" si="42"/>
        <v>-1.4132629076042285</v>
      </c>
      <c r="K678">
        <f t="shared" si="43"/>
        <v>-0.92001032361675017</v>
      </c>
      <c r="M678">
        <v>677</v>
      </c>
      <c r="N678">
        <v>-0.92001032361675017</v>
      </c>
    </row>
    <row r="679" spans="1:14">
      <c r="A679">
        <v>678</v>
      </c>
      <c r="B679">
        <v>1196</v>
      </c>
      <c r="C679">
        <v>300</v>
      </c>
      <c r="D679">
        <v>305</v>
      </c>
      <c r="E679">
        <v>885</v>
      </c>
      <c r="G679">
        <f t="shared" si="40"/>
        <v>-1.4062527423287396</v>
      </c>
      <c r="H679">
        <f t="shared" si="41"/>
        <v>-1.319757658842458</v>
      </c>
      <c r="I679">
        <f t="shared" si="42"/>
        <v>-1.5991566672806865</v>
      </c>
      <c r="K679">
        <f t="shared" si="43"/>
        <v>-1.4417223561506283</v>
      </c>
      <c r="M679">
        <v>678</v>
      </c>
      <c r="N679">
        <v>-1.4417223561506283</v>
      </c>
    </row>
    <row r="680" spans="1:14">
      <c r="A680">
        <v>679</v>
      </c>
      <c r="B680">
        <v>844</v>
      </c>
      <c r="C680">
        <v>7287</v>
      </c>
      <c r="D680">
        <v>476</v>
      </c>
      <c r="E680">
        <v>522</v>
      </c>
      <c r="G680">
        <f t="shared" si="40"/>
        <v>0.13056350550312801</v>
      </c>
      <c r="H680">
        <f t="shared" si="41"/>
        <v>-0.97506181244201362</v>
      </c>
      <c r="I680">
        <f t="shared" si="42"/>
        <v>-1.6770407019495128</v>
      </c>
      <c r="K680">
        <f t="shared" si="43"/>
        <v>-0.8405130029627994</v>
      </c>
      <c r="M680">
        <v>679</v>
      </c>
      <c r="N680">
        <v>-0.8405130029627994</v>
      </c>
    </row>
    <row r="681" spans="1:14">
      <c r="A681">
        <v>680</v>
      </c>
      <c r="B681">
        <v>1468</v>
      </c>
      <c r="C681">
        <v>134</v>
      </c>
      <c r="D681">
        <v>80</v>
      </c>
      <c r="E681">
        <v>129</v>
      </c>
      <c r="G681">
        <f t="shared" si="40"/>
        <v>-1.8452640746112541</v>
      </c>
      <c r="H681">
        <f t="shared" si="41"/>
        <v>-1.9899623871249599</v>
      </c>
      <c r="I681">
        <f t="shared" si="42"/>
        <v>-2.5245051036069226</v>
      </c>
      <c r="K681">
        <f t="shared" si="43"/>
        <v>-2.1199105217810454</v>
      </c>
      <c r="M681">
        <v>680</v>
      </c>
      <c r="N681">
        <v>-2.1199105217810454</v>
      </c>
    </row>
    <row r="682" spans="1:14">
      <c r="A682">
        <v>681</v>
      </c>
      <c r="B682">
        <v>1042</v>
      </c>
      <c r="C682">
        <v>313</v>
      </c>
      <c r="D682">
        <v>40</v>
      </c>
      <c r="E682">
        <v>1397</v>
      </c>
      <c r="G682">
        <f t="shared" si="40"/>
        <v>-1.3279661988130671</v>
      </c>
      <c r="H682">
        <f t="shared" si="41"/>
        <v>-2.1421340461723952</v>
      </c>
      <c r="I682">
        <f t="shared" si="42"/>
        <v>-1.3410400711754438</v>
      </c>
      <c r="K682">
        <f t="shared" si="43"/>
        <v>-1.603713438720302</v>
      </c>
      <c r="M682">
        <v>681</v>
      </c>
      <c r="N682">
        <v>-1.603713438720302</v>
      </c>
    </row>
    <row r="683" spans="1:14">
      <c r="A683">
        <v>682</v>
      </c>
      <c r="B683">
        <v>919</v>
      </c>
      <c r="C683">
        <v>287</v>
      </c>
      <c r="D683">
        <v>356</v>
      </c>
      <c r="E683">
        <v>155</v>
      </c>
      <c r="G683">
        <f t="shared" si="40"/>
        <v>-1.3110764320481287</v>
      </c>
      <c r="H683">
        <f t="shared" si="41"/>
        <v>-1.1381918319500879</v>
      </c>
      <c r="I683">
        <f t="shared" si="42"/>
        <v>-2.24135257154194</v>
      </c>
      <c r="K683">
        <f t="shared" si="43"/>
        <v>-1.5635402785133856</v>
      </c>
      <c r="M683">
        <v>682</v>
      </c>
      <c r="N683">
        <v>-1.5635402785133856</v>
      </c>
    </row>
    <row r="684" spans="1:14">
      <c r="A684">
        <v>683</v>
      </c>
      <c r="B684">
        <v>811</v>
      </c>
      <c r="C684">
        <v>89</v>
      </c>
      <c r="D684">
        <v>128</v>
      </c>
      <c r="E684">
        <v>107</v>
      </c>
      <c r="G684">
        <f t="shared" si="40"/>
        <v>-1.7652736649622534</v>
      </c>
      <c r="H684">
        <f t="shared" si="41"/>
        <v>-1.5281372031001395</v>
      </c>
      <c r="I684">
        <f t="shared" si="42"/>
        <v>-2.3480058348520663</v>
      </c>
      <c r="K684">
        <f t="shared" si="43"/>
        <v>-1.8804722343048195</v>
      </c>
      <c r="M684">
        <v>683</v>
      </c>
      <c r="N684">
        <v>-1.8804722343048195</v>
      </c>
    </row>
    <row r="685" spans="1:14">
      <c r="A685">
        <v>684</v>
      </c>
      <c r="B685">
        <v>677</v>
      </c>
      <c r="C685">
        <v>174</v>
      </c>
      <c r="D685">
        <v>53</v>
      </c>
      <c r="E685">
        <v>122</v>
      </c>
      <c r="G685">
        <f t="shared" si="40"/>
        <v>-1.3956822377985545</v>
      </c>
      <c r="H685">
        <f t="shared" si="41"/>
        <v>-1.8326391176212069</v>
      </c>
      <c r="I685">
        <f t="shared" si="42"/>
        <v>-2.2125975963365159</v>
      </c>
      <c r="K685">
        <f t="shared" si="43"/>
        <v>-1.8136396505854258</v>
      </c>
      <c r="M685">
        <v>684</v>
      </c>
      <c r="N685">
        <v>-1.8136396505854258</v>
      </c>
    </row>
    <row r="686" spans="1:14">
      <c r="A686">
        <v>685</v>
      </c>
      <c r="B686">
        <v>1329</v>
      </c>
      <c r="C686">
        <v>79</v>
      </c>
      <c r="D686">
        <v>99</v>
      </c>
      <c r="E686">
        <v>1239</v>
      </c>
      <c r="G686">
        <f t="shared" si="40"/>
        <v>-2.0315407070483005</v>
      </c>
      <c r="H686">
        <f t="shared" si="41"/>
        <v>-1.8542161048820338</v>
      </c>
      <c r="I686">
        <f t="shared" si="42"/>
        <v>-1.4988224328927886</v>
      </c>
      <c r="K686">
        <f t="shared" si="43"/>
        <v>-1.7948597482743744</v>
      </c>
      <c r="M686">
        <v>685</v>
      </c>
      <c r="N686">
        <v>-1.7948597482743744</v>
      </c>
    </row>
    <row r="687" spans="1:14">
      <c r="A687">
        <v>686</v>
      </c>
      <c r="B687">
        <v>1102</v>
      </c>
      <c r="C687">
        <v>70</v>
      </c>
      <c r="D687">
        <v>164</v>
      </c>
      <c r="E687">
        <v>705</v>
      </c>
      <c r="G687">
        <f t="shared" si="40"/>
        <v>-2.0027263718975195</v>
      </c>
      <c r="H687">
        <f t="shared" si="41"/>
        <v>-1.55366406500492</v>
      </c>
      <c r="I687">
        <f t="shared" si="42"/>
        <v>-1.6623612358504876</v>
      </c>
      <c r="K687">
        <f t="shared" si="43"/>
        <v>-1.7395838909176424</v>
      </c>
      <c r="M687">
        <v>686</v>
      </c>
      <c r="N687">
        <v>-1.7395838909176424</v>
      </c>
    </row>
    <row r="688" spans="1:14">
      <c r="A688">
        <v>687</v>
      </c>
      <c r="B688">
        <v>1151</v>
      </c>
      <c r="C688">
        <v>66</v>
      </c>
      <c r="D688">
        <v>4452</v>
      </c>
      <c r="E688">
        <v>249</v>
      </c>
      <c r="G688">
        <f t="shared" si="40"/>
        <v>-2.047174205483933</v>
      </c>
      <c r="H688">
        <f t="shared" si="41"/>
        <v>-0.1388464865039728</v>
      </c>
      <c r="I688">
        <f t="shared" si="42"/>
        <v>-2.1332447348601753</v>
      </c>
      <c r="K688">
        <f t="shared" si="43"/>
        <v>-1.4397551422826937</v>
      </c>
      <c r="M688">
        <v>687</v>
      </c>
      <c r="N688">
        <v>-1.4397551422826937</v>
      </c>
    </row>
    <row r="689" spans="1:14">
      <c r="A689">
        <v>688</v>
      </c>
      <c r="B689">
        <v>1038</v>
      </c>
      <c r="C689">
        <v>144</v>
      </c>
      <c r="D689">
        <v>265</v>
      </c>
      <c r="E689">
        <v>143</v>
      </c>
      <c r="G689">
        <f t="shared" si="40"/>
        <v>-1.6634776788131993</v>
      </c>
      <c r="H689">
        <f t="shared" si="41"/>
        <v>-1.3192777981124828</v>
      </c>
      <c r="I689">
        <f t="shared" si="42"/>
        <v>-2.3292300743734975</v>
      </c>
      <c r="K689">
        <f t="shared" si="43"/>
        <v>-1.7706618504330598</v>
      </c>
      <c r="M689">
        <v>688</v>
      </c>
      <c r="N689">
        <v>-1.7706618504330598</v>
      </c>
    </row>
    <row r="690" spans="1:14">
      <c r="A690">
        <v>689</v>
      </c>
      <c r="B690">
        <v>1003</v>
      </c>
      <c r="C690">
        <v>73</v>
      </c>
      <c r="D690">
        <v>591</v>
      </c>
      <c r="E690">
        <v>54</v>
      </c>
      <c r="G690">
        <f t="shared" si="40"/>
        <v>-1.9436208902959722</v>
      </c>
      <c r="H690">
        <f t="shared" si="41"/>
        <v>-0.95603977067601442</v>
      </c>
      <c r="I690">
        <f t="shared" si="42"/>
        <v>-2.7372759315235697</v>
      </c>
      <c r="K690">
        <f t="shared" si="43"/>
        <v>-1.8789788641651854</v>
      </c>
      <c r="M690">
        <v>689</v>
      </c>
      <c r="N690">
        <v>-1.8789788641651854</v>
      </c>
    </row>
    <row r="691" spans="1:14">
      <c r="A691">
        <v>690</v>
      </c>
      <c r="B691">
        <v>792</v>
      </c>
      <c r="C691">
        <v>122</v>
      </c>
      <c r="D691">
        <v>534</v>
      </c>
      <c r="E691">
        <v>45</v>
      </c>
      <c r="G691">
        <f t="shared" si="40"/>
        <v>-1.6180081683107552</v>
      </c>
      <c r="H691">
        <f t="shared" si="41"/>
        <v>-0.89751024309778882</v>
      </c>
      <c r="I691">
        <f t="shared" si="42"/>
        <v>-2.7138814261402699</v>
      </c>
      <c r="K691">
        <f t="shared" si="43"/>
        <v>-1.7431332791829377</v>
      </c>
      <c r="M691">
        <v>690</v>
      </c>
      <c r="N691">
        <v>-1.7431332791829377</v>
      </c>
    </row>
    <row r="692" spans="1:14">
      <c r="A692">
        <v>691</v>
      </c>
      <c r="B692">
        <v>936</v>
      </c>
      <c r="C692">
        <v>765</v>
      </c>
      <c r="D692">
        <v>177</v>
      </c>
      <c r="E692">
        <v>252</v>
      </c>
      <c r="G692">
        <f t="shared" si="40"/>
        <v>-0.89325723098049759</v>
      </c>
      <c r="H692">
        <f t="shared" si="41"/>
        <v>-1.4496289009131504</v>
      </c>
      <c r="I692">
        <f t="shared" si="42"/>
        <v>-2.0382440662826813</v>
      </c>
      <c r="K692">
        <f t="shared" si="43"/>
        <v>-1.4603767327254431</v>
      </c>
      <c r="M692">
        <v>691</v>
      </c>
      <c r="N692">
        <v>-1.4603767327254431</v>
      </c>
    </row>
    <row r="693" spans="1:14">
      <c r="A693">
        <v>692</v>
      </c>
      <c r="B693">
        <v>1246</v>
      </c>
      <c r="C693">
        <v>116</v>
      </c>
      <c r="D693">
        <v>210</v>
      </c>
      <c r="E693">
        <v>284</v>
      </c>
      <c r="G693">
        <f t="shared" si="40"/>
        <v>-1.8367028704922423</v>
      </c>
      <c r="H693">
        <f t="shared" si="41"/>
        <v>-1.4996250661260833</v>
      </c>
      <c r="I693">
        <f t="shared" si="42"/>
        <v>-2.110568460602233</v>
      </c>
      <c r="K693">
        <f t="shared" si="43"/>
        <v>-1.8156321324068532</v>
      </c>
      <c r="M693">
        <v>692</v>
      </c>
      <c r="N693">
        <v>-1.8156321324068532</v>
      </c>
    </row>
    <row r="694" spans="1:14">
      <c r="A694">
        <v>693</v>
      </c>
      <c r="B694">
        <v>1351</v>
      </c>
      <c r="C694">
        <v>538</v>
      </c>
      <c r="D694">
        <v>440</v>
      </c>
      <c r="E694">
        <v>2200</v>
      </c>
      <c r="G694">
        <f t="shared" si="40"/>
        <v>-1.2055158907516514</v>
      </c>
      <c r="H694">
        <f t="shared" si="41"/>
        <v>-1.2135289910726947</v>
      </c>
      <c r="I694">
        <f t="shared" si="42"/>
        <v>-1.2566014265259444</v>
      </c>
      <c r="K694">
        <f t="shared" si="43"/>
        <v>-1.2252154361167635</v>
      </c>
      <c r="M694">
        <v>693</v>
      </c>
      <c r="N694">
        <v>-1.2252154361167635</v>
      </c>
    </row>
    <row r="695" spans="1:14">
      <c r="A695">
        <v>694</v>
      </c>
      <c r="B695">
        <v>918</v>
      </c>
      <c r="C695">
        <v>87</v>
      </c>
      <c r="D695">
        <v>71</v>
      </c>
      <c r="E695">
        <v>758</v>
      </c>
      <c r="G695">
        <f t="shared" si="40"/>
        <v>-1.8289662459786338</v>
      </c>
      <c r="H695">
        <f t="shared" si="41"/>
        <v>-1.8379106510190191</v>
      </c>
      <c r="I695">
        <f t="shared" si="42"/>
        <v>-1.5515422338953089</v>
      </c>
      <c r="K695">
        <f t="shared" si="43"/>
        <v>-1.7394730436309871</v>
      </c>
      <c r="M695">
        <v>694</v>
      </c>
      <c r="N695">
        <v>-1.7394730436309871</v>
      </c>
    </row>
    <row r="696" spans="1:14">
      <c r="A696">
        <v>695</v>
      </c>
      <c r="B696">
        <v>940</v>
      </c>
      <c r="C696">
        <v>260</v>
      </c>
      <c r="D696">
        <v>62</v>
      </c>
      <c r="E696">
        <v>360</v>
      </c>
      <c r="G696">
        <f t="shared" si="40"/>
        <v>-1.3637973230248908</v>
      </c>
      <c r="H696">
        <f t="shared" si="41"/>
        <v>-1.9070624826382967</v>
      </c>
      <c r="I696">
        <f t="shared" si="42"/>
        <v>-1.8851941111585315</v>
      </c>
      <c r="K696">
        <f t="shared" si="43"/>
        <v>-1.718684638940573</v>
      </c>
      <c r="M696">
        <v>695</v>
      </c>
      <c r="N696">
        <v>-1.718684638940573</v>
      </c>
    </row>
    <row r="697" spans="1:14">
      <c r="A697">
        <v>696</v>
      </c>
      <c r="B697">
        <v>912</v>
      </c>
      <c r="C697">
        <v>70</v>
      </c>
      <c r="D697">
        <v>56</v>
      </c>
      <c r="E697">
        <v>335</v>
      </c>
      <c r="G697">
        <f t="shared" si="40"/>
        <v>-1.9205396157101693</v>
      </c>
      <c r="H697">
        <f t="shared" si="41"/>
        <v>-1.9381331298590676</v>
      </c>
      <c r="I697">
        <f t="shared" si="42"/>
        <v>-1.9033187896176909</v>
      </c>
      <c r="K697">
        <f t="shared" si="43"/>
        <v>-1.9206638450623092</v>
      </c>
      <c r="M697">
        <v>696</v>
      </c>
      <c r="N697">
        <v>-1.9206638450623092</v>
      </c>
    </row>
    <row r="698" spans="1:14">
      <c r="A698">
        <v>697</v>
      </c>
      <c r="B698">
        <v>950</v>
      </c>
      <c r="C698">
        <v>848</v>
      </c>
      <c r="D698">
        <v>128</v>
      </c>
      <c r="E698">
        <v>126</v>
      </c>
      <c r="G698">
        <f t="shared" si="40"/>
        <v>-0.85497057042814384</v>
      </c>
      <c r="H698">
        <f t="shared" si="41"/>
        <v>-1.5968399541778311</v>
      </c>
      <c r="I698">
        <f t="shared" si="42"/>
        <v>-2.3457218184974047</v>
      </c>
      <c r="K698">
        <f t="shared" si="43"/>
        <v>-1.5991774477011262</v>
      </c>
      <c r="M698">
        <v>697</v>
      </c>
      <c r="N698">
        <v>-1.5991774477011262</v>
      </c>
    </row>
    <row r="699" spans="1:14">
      <c r="A699">
        <v>698</v>
      </c>
      <c r="B699">
        <v>1542</v>
      </c>
      <c r="C699">
        <v>5115</v>
      </c>
      <c r="D699">
        <v>427</v>
      </c>
      <c r="E699">
        <v>3440</v>
      </c>
      <c r="G699">
        <f t="shared" si="40"/>
        <v>-0.28488155306276919</v>
      </c>
      <c r="H699">
        <f t="shared" si="41"/>
        <v>-1.283982817226766</v>
      </c>
      <c r="I699">
        <f t="shared" si="42"/>
        <v>-1.1198946894695281</v>
      </c>
      <c r="K699">
        <f t="shared" si="43"/>
        <v>-0.89625301991968775</v>
      </c>
      <c r="M699">
        <v>698</v>
      </c>
      <c r="N699">
        <v>-0.89625301991968775</v>
      </c>
    </row>
    <row r="700" spans="1:14">
      <c r="A700">
        <v>699</v>
      </c>
      <c r="B700">
        <v>1260</v>
      </c>
      <c r="C700">
        <v>632</v>
      </c>
      <c r="D700">
        <v>59</v>
      </c>
      <c r="E700">
        <v>262</v>
      </c>
      <c r="G700">
        <f t="shared" si="40"/>
        <v>-1.105296284231188</v>
      </c>
      <c r="H700">
        <f t="shared" si="41"/>
        <v>-2.0558448520122705</v>
      </c>
      <c r="I700">
        <f t="shared" si="42"/>
        <v>-2.1504380121239377</v>
      </c>
      <c r="K700">
        <f t="shared" si="43"/>
        <v>-1.7705263827891322</v>
      </c>
      <c r="M700">
        <v>699</v>
      </c>
      <c r="N700">
        <v>-1.7705263827891322</v>
      </c>
    </row>
    <row r="701" spans="1:14">
      <c r="A701">
        <v>700</v>
      </c>
      <c r="B701">
        <v>880</v>
      </c>
      <c r="C701">
        <v>98</v>
      </c>
      <c r="D701">
        <v>91</v>
      </c>
      <c r="E701">
        <v>204</v>
      </c>
      <c r="G701">
        <f t="shared" si="40"/>
        <v>-1.7588994138536838</v>
      </c>
      <c r="H701">
        <f t="shared" si="41"/>
        <v>-1.7117675983659266</v>
      </c>
      <c r="I701">
        <f t="shared" si="42"/>
        <v>-2.1032212630503899</v>
      </c>
      <c r="K701">
        <f t="shared" si="43"/>
        <v>-1.8579627584233336</v>
      </c>
      <c r="M701">
        <v>700</v>
      </c>
      <c r="N701">
        <v>-1.8579627584233336</v>
      </c>
    </row>
    <row r="702" spans="1:14">
      <c r="A702">
        <v>701</v>
      </c>
      <c r="B702">
        <v>1137</v>
      </c>
      <c r="C702">
        <v>525</v>
      </c>
      <c r="D702">
        <v>468</v>
      </c>
      <c r="E702">
        <v>200</v>
      </c>
      <c r="G702">
        <f t="shared" si="40"/>
        <v>-1.1412439786777879</v>
      </c>
      <c r="H702">
        <f t="shared" si="41"/>
        <v>-1.1118409301504624</v>
      </c>
      <c r="I702">
        <f t="shared" si="42"/>
        <v>-2.2230992273498735</v>
      </c>
      <c r="K702">
        <f t="shared" si="43"/>
        <v>-1.4920613787260413</v>
      </c>
      <c r="M702">
        <v>701</v>
      </c>
      <c r="N702">
        <v>-1.4920613787260413</v>
      </c>
    </row>
    <row r="703" spans="1:14">
      <c r="A703">
        <v>702</v>
      </c>
      <c r="B703">
        <v>1263</v>
      </c>
      <c r="C703">
        <v>265</v>
      </c>
      <c r="D703">
        <v>84</v>
      </c>
      <c r="E703">
        <v>670</v>
      </c>
      <c r="G703">
        <f t="shared" si="40"/>
        <v>-1.4838002940145327</v>
      </c>
      <c r="H703">
        <f t="shared" si="41"/>
        <v>-1.9034503830303007</v>
      </c>
      <c r="I703">
        <f t="shared" si="42"/>
        <v>-1.7436973061806242</v>
      </c>
      <c r="K703">
        <f t="shared" si="43"/>
        <v>-1.7103159944084858</v>
      </c>
      <c r="M703">
        <v>702</v>
      </c>
      <c r="N703">
        <v>-1.7103159944084858</v>
      </c>
    </row>
    <row r="704" spans="1:14">
      <c r="A704">
        <v>703</v>
      </c>
      <c r="B704">
        <v>1119</v>
      </c>
      <c r="C704">
        <v>113</v>
      </c>
      <c r="D704">
        <v>483</v>
      </c>
      <c r="E704">
        <v>184</v>
      </c>
      <c r="G704">
        <f t="shared" si="40"/>
        <v>-1.8013944604409402</v>
      </c>
      <c r="H704">
        <f t="shared" si="41"/>
        <v>-1.0912092743136896</v>
      </c>
      <c r="I704">
        <f t="shared" si="42"/>
        <v>-2.2523810218449336</v>
      </c>
      <c r="K704">
        <f t="shared" si="43"/>
        <v>-1.7149949188665212</v>
      </c>
      <c r="M704">
        <v>703</v>
      </c>
      <c r="N704">
        <v>-1.7149949188665212</v>
      </c>
    </row>
    <row r="705" spans="1:14">
      <c r="A705">
        <v>704</v>
      </c>
      <c r="B705">
        <v>1769</v>
      </c>
      <c r="C705">
        <v>1504</v>
      </c>
      <c r="D705">
        <v>126</v>
      </c>
      <c r="E705">
        <v>1086</v>
      </c>
      <c r="G705">
        <f t="shared" si="40"/>
        <v>-0.87612281405010961</v>
      </c>
      <c r="H705">
        <f t="shared" si="41"/>
        <v>-1.8736836063290121</v>
      </c>
      <c r="I705">
        <f t="shared" si="42"/>
        <v>-1.6802667659830151</v>
      </c>
      <c r="K705">
        <f t="shared" si="43"/>
        <v>-1.4766910621207121</v>
      </c>
      <c r="M705">
        <v>704</v>
      </c>
      <c r="N705">
        <v>-1.4766910621207121</v>
      </c>
    </row>
    <row r="706" spans="1:14">
      <c r="A706">
        <v>705</v>
      </c>
      <c r="B706">
        <v>778</v>
      </c>
      <c r="C706">
        <v>632</v>
      </c>
      <c r="D706">
        <v>489</v>
      </c>
      <c r="E706">
        <v>138</v>
      </c>
      <c r="G706">
        <f t="shared" si="40"/>
        <v>-0.8959053361033138</v>
      </c>
      <c r="H706">
        <f t="shared" si="41"/>
        <v>-0.9279970564029203</v>
      </c>
      <c r="I706">
        <f t="shared" si="42"/>
        <v>-2.2194692689145725</v>
      </c>
      <c r="K706">
        <f t="shared" si="43"/>
        <v>-1.3477905538069355</v>
      </c>
      <c r="M706">
        <v>705</v>
      </c>
      <c r="N706">
        <v>-1.3477905538069355</v>
      </c>
    </row>
    <row r="707" spans="1:14">
      <c r="A707">
        <v>706</v>
      </c>
      <c r="B707">
        <v>1102</v>
      </c>
      <c r="C707">
        <v>272</v>
      </c>
      <c r="D707">
        <v>433</v>
      </c>
      <c r="E707">
        <v>219</v>
      </c>
      <c r="G707">
        <f t="shared" ref="G707:G770" si="44">LOG10(C707/B707)-LOG10(151582/23714)</f>
        <v>-1.4132555078775775</v>
      </c>
      <c r="H707">
        <f t="shared" ref="H707:H770" si="45">LOG10(D707/B707)-LOG10(126279/23714)</f>
        <v>-1.1320200166992525</v>
      </c>
      <c r="I707">
        <f t="shared" ref="I707:I770" si="46">LOG10(E707/B707)-LOG10(697226/23714)</f>
        <v>-2.1701062380017682</v>
      </c>
      <c r="K707">
        <f t="shared" ref="K707:K770" si="47">AVERAGE(G707:I707)</f>
        <v>-1.5717939208595328</v>
      </c>
      <c r="M707">
        <v>706</v>
      </c>
      <c r="N707">
        <v>-1.5717939208595328</v>
      </c>
    </row>
    <row r="708" spans="1:14">
      <c r="A708">
        <v>707</v>
      </c>
      <c r="B708">
        <v>1064</v>
      </c>
      <c r="C708">
        <v>376</v>
      </c>
      <c r="D708">
        <v>551</v>
      </c>
      <c r="E708">
        <v>400</v>
      </c>
      <c r="G708">
        <f t="shared" si="44"/>
        <v>-1.2573966004273784</v>
      </c>
      <c r="H708">
        <f t="shared" si="45"/>
        <v>-1.012116347644096</v>
      </c>
      <c r="I708">
        <f t="shared" si="46"/>
        <v>-1.8932503949571871</v>
      </c>
      <c r="K708">
        <f t="shared" si="47"/>
        <v>-1.3875877810095538</v>
      </c>
      <c r="M708">
        <v>707</v>
      </c>
      <c r="N708">
        <v>-1.3875877810095538</v>
      </c>
    </row>
    <row r="709" spans="1:14">
      <c r="A709">
        <v>708</v>
      </c>
      <c r="B709">
        <v>1149</v>
      </c>
      <c r="C709">
        <v>997</v>
      </c>
      <c r="D709">
        <v>145</v>
      </c>
      <c r="E709">
        <v>255</v>
      </c>
      <c r="G709">
        <f t="shared" si="44"/>
        <v>-0.86726768777263941</v>
      </c>
      <c r="H709">
        <f t="shared" si="45"/>
        <v>-1.625278344990162</v>
      </c>
      <c r="I709">
        <f t="shared" si="46"/>
        <v>-2.12214860658045</v>
      </c>
      <c r="K709">
        <f t="shared" si="47"/>
        <v>-1.5382315464477505</v>
      </c>
      <c r="M709">
        <v>708</v>
      </c>
      <c r="N709">
        <v>-1.5382315464477505</v>
      </c>
    </row>
    <row r="710" spans="1:14">
      <c r="A710">
        <v>709</v>
      </c>
      <c r="B710">
        <v>1375</v>
      </c>
      <c r="C710">
        <v>50</v>
      </c>
      <c r="D710">
        <v>55</v>
      </c>
      <c r="E710">
        <v>1022</v>
      </c>
      <c r="G710">
        <f t="shared" si="44"/>
        <v>-2.2449755112262726</v>
      </c>
      <c r="H710">
        <f t="shared" si="45"/>
        <v>-2.1242663272088893</v>
      </c>
      <c r="I710">
        <f t="shared" si="46"/>
        <v>-1.5972205606937075</v>
      </c>
      <c r="K710">
        <f t="shared" si="47"/>
        <v>-1.9888207997096232</v>
      </c>
      <c r="M710">
        <v>709</v>
      </c>
      <c r="N710">
        <v>-1.9888207997096232</v>
      </c>
    </row>
    <row r="711" spans="1:14">
      <c r="A711">
        <v>710</v>
      </c>
      <c r="B711">
        <v>1242</v>
      </c>
      <c r="C711">
        <v>395</v>
      </c>
      <c r="D711">
        <v>942</v>
      </c>
      <c r="E711">
        <v>1159</v>
      </c>
      <c r="G711">
        <f t="shared" si="44"/>
        <v>-1.3031673176101111</v>
      </c>
      <c r="H711">
        <f t="shared" si="45"/>
        <v>-0.84639701158453573</v>
      </c>
      <c r="I711">
        <f t="shared" si="46"/>
        <v>-1.4984069182030855</v>
      </c>
      <c r="K711">
        <f t="shared" si="47"/>
        <v>-1.2159904157992443</v>
      </c>
      <c r="M711">
        <v>710</v>
      </c>
      <c r="N711">
        <v>-1.2159904157992443</v>
      </c>
    </row>
    <row r="712" spans="1:14">
      <c r="A712">
        <v>711</v>
      </c>
      <c r="B712">
        <v>1343</v>
      </c>
      <c r="C712">
        <v>174</v>
      </c>
      <c r="D712">
        <v>55</v>
      </c>
      <c r="E712">
        <v>831</v>
      </c>
      <c r="G712">
        <f t="shared" si="44"/>
        <v>-1.6931695817821257</v>
      </c>
      <c r="H712">
        <f t="shared" si="45"/>
        <v>-2.1140396417113232</v>
      </c>
      <c r="I712">
        <f t="shared" si="46"/>
        <v>-1.6768437472107243</v>
      </c>
      <c r="K712">
        <f t="shared" si="47"/>
        <v>-1.8280176569013911</v>
      </c>
      <c r="M712">
        <v>711</v>
      </c>
      <c r="N712">
        <v>-1.8280176569013911</v>
      </c>
    </row>
    <row r="713" spans="1:14">
      <c r="A713">
        <v>712</v>
      </c>
      <c r="B713">
        <v>1171</v>
      </c>
      <c r="C713">
        <v>1110</v>
      </c>
      <c r="D713">
        <v>329</v>
      </c>
      <c r="E713">
        <v>586</v>
      </c>
      <c r="G713">
        <f t="shared" si="44"/>
        <v>-0.82887673368171566</v>
      </c>
      <c r="H713">
        <f t="shared" si="45"/>
        <v>-1.2776873156592405</v>
      </c>
      <c r="I713">
        <f t="shared" si="46"/>
        <v>-1.7690280373803924</v>
      </c>
      <c r="K713">
        <f t="shared" si="47"/>
        <v>-1.2918640289071162</v>
      </c>
      <c r="M713">
        <v>712</v>
      </c>
      <c r="N713">
        <v>-1.2918640289071162</v>
      </c>
    </row>
    <row r="714" spans="1:14">
      <c r="A714">
        <v>713</v>
      </c>
      <c r="B714">
        <v>1420</v>
      </c>
      <c r="C714">
        <v>216</v>
      </c>
      <c r="D714">
        <v>77</v>
      </c>
      <c r="E714">
        <v>923</v>
      </c>
      <c r="G714">
        <f t="shared" si="44"/>
        <v>-1.6234774106281356</v>
      </c>
      <c r="H714">
        <f t="shared" si="45"/>
        <v>-1.9921239377474262</v>
      </c>
      <c r="I714">
        <f t="shared" si="46"/>
        <v>-1.6554554016832643</v>
      </c>
      <c r="K714">
        <f t="shared" si="47"/>
        <v>-1.7570189166862755</v>
      </c>
      <c r="M714">
        <v>713</v>
      </c>
      <c r="N714">
        <v>-1.7570189166862755</v>
      </c>
    </row>
    <row r="715" spans="1:14">
      <c r="A715">
        <v>714</v>
      </c>
      <c r="B715">
        <v>1710</v>
      </c>
      <c r="C715">
        <v>358</v>
      </c>
      <c r="D715">
        <v>339</v>
      </c>
      <c r="E715">
        <v>3211</v>
      </c>
      <c r="G715">
        <f t="shared" si="44"/>
        <v>-1.4847559011442895</v>
      </c>
      <c r="H715">
        <f t="shared" si="45"/>
        <v>-1.4291227307259233</v>
      </c>
      <c r="I715">
        <f t="shared" si="46"/>
        <v>-1.1947245631517713</v>
      </c>
      <c r="K715">
        <f t="shared" si="47"/>
        <v>-1.3695343983406614</v>
      </c>
      <c r="M715">
        <v>714</v>
      </c>
      <c r="N715">
        <v>-1.3695343983406614</v>
      </c>
    </row>
    <row r="716" spans="1:14">
      <c r="A716">
        <v>715</v>
      </c>
      <c r="B716">
        <v>1505</v>
      </c>
      <c r="C716">
        <v>3372</v>
      </c>
      <c r="D716">
        <v>348</v>
      </c>
      <c r="E716">
        <v>3039</v>
      </c>
      <c r="G716">
        <f t="shared" si="44"/>
        <v>-0.45529175137316735</v>
      </c>
      <c r="H716">
        <f t="shared" si="45"/>
        <v>-1.3622835745201329</v>
      </c>
      <c r="I716">
        <f t="shared" si="46"/>
        <v>-1.1631745581760393</v>
      </c>
      <c r="K716">
        <f t="shared" si="47"/>
        <v>-0.99358329468977991</v>
      </c>
      <c r="M716">
        <v>715</v>
      </c>
      <c r="N716">
        <v>-0.99358329468977991</v>
      </c>
    </row>
    <row r="717" spans="1:14">
      <c r="A717">
        <v>716</v>
      </c>
      <c r="B717">
        <v>1583</v>
      </c>
      <c r="C717">
        <v>502</v>
      </c>
      <c r="D717">
        <v>484</v>
      </c>
      <c r="E717">
        <v>452</v>
      </c>
      <c r="G717">
        <f t="shared" si="44"/>
        <v>-1.3044200151133465</v>
      </c>
      <c r="H717">
        <f t="shared" si="45"/>
        <v>-1.2409618717547952</v>
      </c>
      <c r="I717">
        <f t="shared" si="46"/>
        <v>-2.0127112383770935</v>
      </c>
      <c r="K717">
        <f t="shared" si="47"/>
        <v>-1.5193643750817449</v>
      </c>
      <c r="M717">
        <v>716</v>
      </c>
      <c r="N717">
        <v>-1.5193643750817449</v>
      </c>
    </row>
    <row r="718" spans="1:14">
      <c r="A718">
        <v>717</v>
      </c>
      <c r="B718">
        <v>1616</v>
      </c>
      <c r="C718">
        <v>116</v>
      </c>
      <c r="D718">
        <v>1113</v>
      </c>
      <c r="E718">
        <v>235</v>
      </c>
      <c r="G718">
        <f t="shared" si="44"/>
        <v>-1.9496261846076588</v>
      </c>
      <c r="H718">
        <f t="shared" si="45"/>
        <v>-0.88827251064071078</v>
      </c>
      <c r="I718">
        <f t="shared" si="46"/>
        <v>-2.3057422524929514</v>
      </c>
      <c r="K718">
        <f t="shared" si="47"/>
        <v>-1.7145469825804405</v>
      </c>
      <c r="M718">
        <v>717</v>
      </c>
      <c r="N718">
        <v>-1.7145469825804405</v>
      </c>
    </row>
    <row r="719" spans="1:14">
      <c r="A719">
        <v>718</v>
      </c>
      <c r="B719">
        <v>1176</v>
      </c>
      <c r="C719">
        <v>512</v>
      </c>
      <c r="D719">
        <v>136</v>
      </c>
      <c r="E719">
        <v>506</v>
      </c>
      <c r="G719">
        <f t="shared" si="44"/>
        <v>-1.1667801781602989</v>
      </c>
      <c r="H719">
        <f t="shared" si="45"/>
        <v>-1.6631947319067537</v>
      </c>
      <c r="I719">
        <f t="shared" si="46"/>
        <v>-1.8346255632264405</v>
      </c>
      <c r="K719">
        <f t="shared" si="47"/>
        <v>-1.5548668244311645</v>
      </c>
      <c r="M719">
        <v>718</v>
      </c>
      <c r="N719">
        <v>-1.5548668244311645</v>
      </c>
    </row>
    <row r="720" spans="1:14">
      <c r="A720">
        <v>719</v>
      </c>
      <c r="B720">
        <v>1532</v>
      </c>
      <c r="C720">
        <v>206</v>
      </c>
      <c r="D720">
        <v>992</v>
      </c>
      <c r="E720">
        <v>1721</v>
      </c>
      <c r="G720">
        <f t="shared" si="44"/>
        <v>-1.6770343623234418</v>
      </c>
      <c r="H720">
        <f t="shared" si="45"/>
        <v>-0.91507341167925815</v>
      </c>
      <c r="I720">
        <f t="shared" si="46"/>
        <v>-1.4178466532951448</v>
      </c>
      <c r="K720">
        <f t="shared" si="47"/>
        <v>-1.3366514757659482</v>
      </c>
      <c r="M720">
        <v>719</v>
      </c>
      <c r="N720">
        <v>-1.3366514757659482</v>
      </c>
    </row>
    <row r="721" spans="1:14">
      <c r="A721">
        <v>720</v>
      </c>
      <c r="B721">
        <v>1245</v>
      </c>
      <c r="C721">
        <v>430</v>
      </c>
      <c r="D721">
        <v>267</v>
      </c>
      <c r="E721">
        <v>134</v>
      </c>
      <c r="G721">
        <f t="shared" si="44"/>
        <v>-1.2673437132481786</v>
      </c>
      <c r="H721">
        <f t="shared" si="45"/>
        <v>-1.3949844086040315</v>
      </c>
      <c r="I721">
        <f t="shared" si="46"/>
        <v>-2.4364333113930674</v>
      </c>
      <c r="K721">
        <f t="shared" si="47"/>
        <v>-1.6995871444150925</v>
      </c>
      <c r="M721">
        <v>720</v>
      </c>
      <c r="N721">
        <v>-1.6995871444150925</v>
      </c>
    </row>
    <row r="722" spans="1:14">
      <c r="A722">
        <v>721</v>
      </c>
      <c r="B722">
        <v>1103</v>
      </c>
      <c r="C722">
        <v>1077</v>
      </c>
      <c r="D722">
        <v>311</v>
      </c>
      <c r="E722">
        <v>601</v>
      </c>
      <c r="G722">
        <f t="shared" si="44"/>
        <v>-0.81600262653821898</v>
      </c>
      <c r="H722">
        <f t="shared" si="45"/>
        <v>-1.2761414419502048</v>
      </c>
      <c r="I722">
        <f t="shared" si="46"/>
        <v>-1.7320697987635711</v>
      </c>
      <c r="K722">
        <f t="shared" si="47"/>
        <v>-1.2747379557506651</v>
      </c>
      <c r="M722">
        <v>721</v>
      </c>
      <c r="N722">
        <v>-1.2747379557506651</v>
      </c>
    </row>
    <row r="723" spans="1:14">
      <c r="A723">
        <v>722</v>
      </c>
      <c r="B723">
        <v>787</v>
      </c>
      <c r="C723">
        <v>729</v>
      </c>
      <c r="D723">
        <v>331</v>
      </c>
      <c r="E723">
        <v>460</v>
      </c>
      <c r="G723">
        <f t="shared" si="44"/>
        <v>-0.8388900214370999</v>
      </c>
      <c r="H723">
        <f t="shared" si="45"/>
        <v>-1.1024730571201975</v>
      </c>
      <c r="I723">
        <f t="shared" si="46"/>
        <v>-1.7015856590036105</v>
      </c>
      <c r="K723">
        <f t="shared" si="47"/>
        <v>-1.2143162458536361</v>
      </c>
      <c r="M723">
        <v>722</v>
      </c>
      <c r="N723">
        <v>-1.2143162458536361</v>
      </c>
    </row>
    <row r="724" spans="1:14">
      <c r="A724">
        <v>723</v>
      </c>
      <c r="B724">
        <v>1656</v>
      </c>
      <c r="C724">
        <v>814</v>
      </c>
      <c r="D724">
        <v>660</v>
      </c>
      <c r="E724">
        <v>96</v>
      </c>
      <c r="G724">
        <f t="shared" si="44"/>
        <v>-1.1140787449556702</v>
      </c>
      <c r="H724">
        <f t="shared" si="45"/>
        <v>-1.1258427154438444</v>
      </c>
      <c r="I724">
        <f t="shared" si="46"/>
        <v>-2.7051578577354132</v>
      </c>
      <c r="K724">
        <f t="shared" si="47"/>
        <v>-1.6483597727116426</v>
      </c>
      <c r="M724">
        <v>723</v>
      </c>
      <c r="N724">
        <v>-1.6483597727116426</v>
      </c>
    </row>
    <row r="725" spans="1:14">
      <c r="A725">
        <v>724</v>
      </c>
      <c r="B725">
        <v>1156</v>
      </c>
      <c r="C725">
        <v>148</v>
      </c>
      <c r="D725">
        <v>560</v>
      </c>
      <c r="E725">
        <v>70</v>
      </c>
      <c r="G725">
        <f t="shared" si="44"/>
        <v>-1.698338936085563</v>
      </c>
      <c r="H725">
        <f t="shared" si="45"/>
        <v>-1.0410961256151616</v>
      </c>
      <c r="I725">
        <f t="shared" si="46"/>
        <v>-2.6862285523963734</v>
      </c>
      <c r="K725">
        <f t="shared" si="47"/>
        <v>-1.8085545380323662</v>
      </c>
      <c r="M725">
        <v>724</v>
      </c>
      <c r="N725">
        <v>-1.8085545380323662</v>
      </c>
    </row>
    <row r="726" spans="1:14">
      <c r="A726">
        <v>725</v>
      </c>
      <c r="B726">
        <v>1283</v>
      </c>
      <c r="C726">
        <v>108</v>
      </c>
      <c r="D726">
        <v>93</v>
      </c>
      <c r="E726">
        <v>102</v>
      </c>
      <c r="G726">
        <f t="shared" si="44"/>
        <v>-1.8804457182839889</v>
      </c>
      <c r="H726">
        <f t="shared" si="45"/>
        <v>-1.8660700263578449</v>
      </c>
      <c r="I726">
        <f t="shared" si="46"/>
        <v>-2.5679952429391308</v>
      </c>
      <c r="K726">
        <f t="shared" si="47"/>
        <v>-2.1048369958603215</v>
      </c>
      <c r="M726">
        <v>725</v>
      </c>
      <c r="N726">
        <v>-2.1048369958603215</v>
      </c>
    </row>
    <row r="727" spans="1:14">
      <c r="A727">
        <v>726</v>
      </c>
      <c r="B727">
        <v>1223</v>
      </c>
      <c r="C727">
        <v>64</v>
      </c>
      <c r="D727">
        <v>92</v>
      </c>
      <c r="E727">
        <v>86</v>
      </c>
      <c r="G727">
        <f t="shared" si="44"/>
        <v>-2.0868893004484081</v>
      </c>
      <c r="H727">
        <f t="shared" si="45"/>
        <v>-1.8499649482275817</v>
      </c>
      <c r="I727">
        <f t="shared" si="46"/>
        <v>-2.6212967641188376</v>
      </c>
      <c r="K727">
        <f t="shared" si="47"/>
        <v>-2.1860503375982758</v>
      </c>
      <c r="M727">
        <v>726</v>
      </c>
      <c r="N727">
        <v>-2.1860503375982758</v>
      </c>
    </row>
    <row r="728" spans="1:14">
      <c r="A728">
        <v>727</v>
      </c>
      <c r="B728">
        <v>1161</v>
      </c>
      <c r="C728">
        <v>68</v>
      </c>
      <c r="D728">
        <v>279</v>
      </c>
      <c r="E728">
        <v>1774</v>
      </c>
      <c r="G728">
        <f t="shared" si="44"/>
        <v>-2.0379661244283476</v>
      </c>
      <c r="H728">
        <f t="shared" si="45"/>
        <v>-1.345554335001828</v>
      </c>
      <c r="I728">
        <f t="shared" si="46"/>
        <v>-1.2842473625689863</v>
      </c>
      <c r="K728">
        <f t="shared" si="47"/>
        <v>-1.5559226073330539</v>
      </c>
      <c r="M728">
        <v>727</v>
      </c>
      <c r="N728">
        <v>-1.5559226073330539</v>
      </c>
    </row>
    <row r="729" spans="1:14">
      <c r="A729">
        <v>728</v>
      </c>
      <c r="B729">
        <v>1259</v>
      </c>
      <c r="C729">
        <v>766</v>
      </c>
      <c r="D729">
        <v>539</v>
      </c>
      <c r="E729">
        <v>716</v>
      </c>
      <c r="G729">
        <f t="shared" si="44"/>
        <v>-1.0214397778712687</v>
      </c>
      <c r="H729">
        <f t="shared" si="45"/>
        <v>-1.0947632834579757</v>
      </c>
      <c r="I729">
        <f t="shared" si="46"/>
        <v>-1.7134814661261271</v>
      </c>
      <c r="K729">
        <f t="shared" si="47"/>
        <v>-1.2765615091517903</v>
      </c>
      <c r="M729">
        <v>728</v>
      </c>
      <c r="N729">
        <v>-1.2765615091517903</v>
      </c>
    </row>
    <row r="730" spans="1:14">
      <c r="A730">
        <v>729</v>
      </c>
      <c r="B730">
        <v>1116</v>
      </c>
      <c r="C730">
        <v>470</v>
      </c>
      <c r="D730">
        <v>37</v>
      </c>
      <c r="E730">
        <v>410</v>
      </c>
      <c r="G730">
        <f t="shared" si="44"/>
        <v>-1.1812091540618526</v>
      </c>
      <c r="H730">
        <f t="shared" si="45"/>
        <v>-2.2057887890714167</v>
      </c>
      <c r="I730">
        <f t="shared" si="46"/>
        <v>-1.9032490962079445</v>
      </c>
      <c r="K730">
        <f t="shared" si="47"/>
        <v>-1.7634156797804046</v>
      </c>
      <c r="M730">
        <v>729</v>
      </c>
      <c r="N730">
        <v>-1.7634156797804046</v>
      </c>
    </row>
    <row r="731" spans="1:14">
      <c r="A731">
        <v>730</v>
      </c>
      <c r="B731">
        <v>1029</v>
      </c>
      <c r="C731">
        <v>35</v>
      </c>
      <c r="D731">
        <v>309</v>
      </c>
      <c r="E731">
        <v>356</v>
      </c>
      <c r="G731">
        <f t="shared" si="44"/>
        <v>-2.273990147808167</v>
      </c>
      <c r="H731">
        <f t="shared" si="45"/>
        <v>-1.2487832138744501</v>
      </c>
      <c r="I731">
        <f t="shared" si="46"/>
        <v>-1.9293341351156776</v>
      </c>
      <c r="K731">
        <f t="shared" si="47"/>
        <v>-1.8173691655994315</v>
      </c>
      <c r="M731">
        <v>730</v>
      </c>
      <c r="N731">
        <v>-1.8173691655994315</v>
      </c>
    </row>
    <row r="732" spans="1:14">
      <c r="A732">
        <v>731</v>
      </c>
      <c r="B732">
        <v>1060</v>
      </c>
      <c r="C732">
        <v>377</v>
      </c>
      <c r="D732">
        <v>56</v>
      </c>
      <c r="E732">
        <v>351</v>
      </c>
      <c r="G732">
        <f t="shared" si="44"/>
        <v>-1.2546073324549873</v>
      </c>
      <c r="H732">
        <f t="shared" si="45"/>
        <v>-2.0034441567954215</v>
      </c>
      <c r="I732">
        <f t="shared" si="46"/>
        <v>-1.9483675071250661</v>
      </c>
      <c r="K732">
        <f t="shared" si="47"/>
        <v>-1.7354729987918251</v>
      </c>
      <c r="M732">
        <v>731</v>
      </c>
      <c r="N732">
        <v>-1.7354729987918251</v>
      </c>
    </row>
    <row r="733" spans="1:14">
      <c r="A733">
        <v>732</v>
      </c>
      <c r="B733">
        <v>805</v>
      </c>
      <c r="C733">
        <v>463</v>
      </c>
      <c r="D733">
        <v>648</v>
      </c>
      <c r="E733">
        <v>92</v>
      </c>
      <c r="G733">
        <f t="shared" si="44"/>
        <v>-1.0458577067459254</v>
      </c>
      <c r="H733">
        <f t="shared" si="45"/>
        <v>-0.82054719303412682</v>
      </c>
      <c r="I733">
        <f t="shared" si="46"/>
        <v>-2.4103768113484332</v>
      </c>
      <c r="K733">
        <f t="shared" si="47"/>
        <v>-1.4255939037094951</v>
      </c>
      <c r="M733">
        <v>732</v>
      </c>
      <c r="N733">
        <v>-1.4255939037094951</v>
      </c>
    </row>
    <row r="734" spans="1:14">
      <c r="A734">
        <v>733</v>
      </c>
      <c r="B734">
        <v>1498</v>
      </c>
      <c r="C734">
        <v>430</v>
      </c>
      <c r="D734">
        <v>433</v>
      </c>
      <c r="E734">
        <v>127</v>
      </c>
      <c r="G734">
        <f t="shared" si="44"/>
        <v>-1.347686175179871</v>
      </c>
      <c r="H734">
        <f t="shared" si="45"/>
        <v>-1.2653502355469339</v>
      </c>
      <c r="I734">
        <f t="shared" si="46"/>
        <v>-2.5400768507336107</v>
      </c>
      <c r="K734">
        <f t="shared" si="47"/>
        <v>-1.7177044204868051</v>
      </c>
      <c r="M734">
        <v>733</v>
      </c>
      <c r="N734">
        <v>-1.7177044204868051</v>
      </c>
    </row>
    <row r="735" spans="1:14">
      <c r="A735">
        <v>734</v>
      </c>
      <c r="B735">
        <v>1160</v>
      </c>
      <c r="C735">
        <v>114</v>
      </c>
      <c r="D735">
        <v>72</v>
      </c>
      <c r="E735">
        <v>500</v>
      </c>
      <c r="G735">
        <f t="shared" si="44"/>
        <v>-1.8131959552864558</v>
      </c>
      <c r="H735">
        <f t="shared" si="45"/>
        <v>-1.9334518113325019</v>
      </c>
      <c r="I735">
        <f t="shared" si="46"/>
        <v>-1.8338567432170196</v>
      </c>
      <c r="K735">
        <f t="shared" si="47"/>
        <v>-1.8601681699453259</v>
      </c>
      <c r="M735">
        <v>734</v>
      </c>
      <c r="N735">
        <v>-1.8601681699453259</v>
      </c>
    </row>
    <row r="736" spans="1:14">
      <c r="A736">
        <v>735</v>
      </c>
      <c r="B736">
        <v>893</v>
      </c>
      <c r="C736">
        <v>140</v>
      </c>
      <c r="D736">
        <v>89</v>
      </c>
      <c r="E736">
        <v>57</v>
      </c>
      <c r="G736">
        <f t="shared" si="44"/>
        <v>-1.6103662406063184</v>
      </c>
      <c r="H736">
        <f t="shared" si="45"/>
        <v>-1.7277877707804854</v>
      </c>
      <c r="I736">
        <f t="shared" si="46"/>
        <v>-2.6633453615421754</v>
      </c>
      <c r="K736">
        <f t="shared" si="47"/>
        <v>-2.0004997909763262</v>
      </c>
      <c r="M736">
        <v>735</v>
      </c>
      <c r="N736">
        <v>-2.0004997909763262</v>
      </c>
    </row>
    <row r="737" spans="1:14">
      <c r="A737">
        <v>736</v>
      </c>
      <c r="B737">
        <v>1599</v>
      </c>
      <c r="C737">
        <v>73</v>
      </c>
      <c r="D737">
        <v>65</v>
      </c>
      <c r="E737">
        <v>130</v>
      </c>
      <c r="G737">
        <f t="shared" si="44"/>
        <v>-2.1461684210217888</v>
      </c>
      <c r="H737">
        <f t="shared" si="45"/>
        <v>-2.1172614256402307</v>
      </c>
      <c r="I737">
        <f t="shared" si="46"/>
        <v>-2.5582738697655181</v>
      </c>
      <c r="K737">
        <f t="shared" si="47"/>
        <v>-2.273901238809179</v>
      </c>
      <c r="M737">
        <v>736</v>
      </c>
      <c r="N737">
        <v>-2.273901238809179</v>
      </c>
    </row>
    <row r="738" spans="1:14">
      <c r="A738">
        <v>737</v>
      </c>
      <c r="B738">
        <v>1069</v>
      </c>
      <c r="C738">
        <v>280</v>
      </c>
      <c r="D738">
        <v>884</v>
      </c>
      <c r="E738">
        <v>75</v>
      </c>
      <c r="G738">
        <f t="shared" si="44"/>
        <v>-1.3874624912625686</v>
      </c>
      <c r="H738">
        <f t="shared" si="45"/>
        <v>-0.80885175873255666</v>
      </c>
      <c r="I738">
        <f t="shared" si="46"/>
        <v>-2.6222852001431978</v>
      </c>
      <c r="K738">
        <f t="shared" si="47"/>
        <v>-1.6061998167127742</v>
      </c>
      <c r="M738">
        <v>737</v>
      </c>
      <c r="N738">
        <v>-1.6061998167127742</v>
      </c>
    </row>
    <row r="739" spans="1:14">
      <c r="A739">
        <v>738</v>
      </c>
      <c r="B739">
        <v>902</v>
      </c>
      <c r="C739">
        <v>30</v>
      </c>
      <c r="D739">
        <v>79</v>
      </c>
      <c r="E739">
        <v>116</v>
      </c>
      <c r="G739">
        <f t="shared" si="44"/>
        <v>-2.2837281002182892</v>
      </c>
      <c r="H739">
        <f t="shared" si="45"/>
        <v>-1.7839057647883521</v>
      </c>
      <c r="I739">
        <f t="shared" si="46"/>
        <v>-2.3591173066411431</v>
      </c>
      <c r="K739">
        <f t="shared" si="47"/>
        <v>-2.1422503905492616</v>
      </c>
      <c r="M739">
        <v>738</v>
      </c>
      <c r="N739">
        <v>-2.1422503905492616</v>
      </c>
    </row>
    <row r="740" spans="1:14">
      <c r="A740">
        <v>739</v>
      </c>
      <c r="B740">
        <v>1008</v>
      </c>
      <c r="C740">
        <v>925</v>
      </c>
      <c r="D740">
        <v>53</v>
      </c>
      <c r="E740">
        <v>70</v>
      </c>
      <c r="G740">
        <f t="shared" si="44"/>
        <v>-0.84296161676648385</v>
      </c>
      <c r="H740">
        <f t="shared" si="45"/>
        <v>-2.0055109810455694</v>
      </c>
      <c r="I740">
        <f t="shared" si="46"/>
        <v>-2.6267312504213693</v>
      </c>
      <c r="K740">
        <f t="shared" si="47"/>
        <v>-1.8250679494111408</v>
      </c>
      <c r="M740">
        <v>739</v>
      </c>
      <c r="N740">
        <v>-1.8250679494111408</v>
      </c>
    </row>
    <row r="741" spans="1:14">
      <c r="A741">
        <v>740</v>
      </c>
      <c r="B741">
        <v>1507</v>
      </c>
      <c r="C741">
        <v>157</v>
      </c>
      <c r="D741">
        <v>100</v>
      </c>
      <c r="E741">
        <v>870</v>
      </c>
      <c r="G741">
        <f t="shared" si="44"/>
        <v>-1.7878564173014082</v>
      </c>
      <c r="H741">
        <f t="shared" si="45"/>
        <v>-1.9044395708514834</v>
      </c>
      <c r="I741">
        <f t="shared" si="46"/>
        <v>-1.7069627580221334</v>
      </c>
      <c r="K741">
        <f t="shared" si="47"/>
        <v>-1.7997529153916751</v>
      </c>
      <c r="M741">
        <v>740</v>
      </c>
      <c r="N741">
        <v>-1.7997529153916751</v>
      </c>
    </row>
    <row r="742" spans="1:14">
      <c r="A742">
        <v>741</v>
      </c>
      <c r="B742">
        <v>940</v>
      </c>
      <c r="C742">
        <v>1433</v>
      </c>
      <c r="D742">
        <v>77</v>
      </c>
      <c r="E742">
        <v>142</v>
      </c>
      <c r="G742">
        <f t="shared" si="44"/>
        <v>-0.62252448059836407</v>
      </c>
      <c r="H742">
        <f t="shared" si="45"/>
        <v>-1.8129634469640683</v>
      </c>
      <c r="I742">
        <f t="shared" si="46"/>
        <v>-2.2892082675427621</v>
      </c>
      <c r="K742">
        <f t="shared" si="47"/>
        <v>-1.5748987317017313</v>
      </c>
      <c r="M742">
        <v>741</v>
      </c>
      <c r="N742">
        <v>-1.5748987317017313</v>
      </c>
    </row>
    <row r="743" spans="1:14">
      <c r="A743">
        <v>742</v>
      </c>
      <c r="B743">
        <v>1007</v>
      </c>
      <c r="C743">
        <v>116</v>
      </c>
      <c r="D743">
        <v>91</v>
      </c>
      <c r="E743">
        <v>199</v>
      </c>
      <c r="G743">
        <f t="shared" si="44"/>
        <v>-1.7442142987227096</v>
      </c>
      <c r="H743">
        <f t="shared" si="45"/>
        <v>-1.770314396769376</v>
      </c>
      <c r="I743">
        <f t="shared" si="46"/>
        <v>-2.1725451524700312</v>
      </c>
      <c r="K743">
        <f t="shared" si="47"/>
        <v>-1.8956912826540389</v>
      </c>
      <c r="M743">
        <v>742</v>
      </c>
      <c r="N743">
        <v>-1.8956912826540389</v>
      </c>
    </row>
    <row r="744" spans="1:14">
      <c r="A744">
        <v>743</v>
      </c>
      <c r="B744">
        <v>1256</v>
      </c>
      <c r="C744">
        <v>74</v>
      </c>
      <c r="D744">
        <v>328</v>
      </c>
      <c r="E744">
        <v>102</v>
      </c>
      <c r="G744">
        <f t="shared" si="44"/>
        <v>-2.0354007370662108</v>
      </c>
      <c r="H744">
        <f t="shared" si="45"/>
        <v>-1.3094421142263499</v>
      </c>
      <c r="I744">
        <f t="shared" si="46"/>
        <v>-2.5587582259653798</v>
      </c>
      <c r="K744">
        <f t="shared" si="47"/>
        <v>-1.9678670257526469</v>
      </c>
      <c r="M744">
        <v>743</v>
      </c>
      <c r="N744">
        <v>-1.9678670257526469</v>
      </c>
    </row>
    <row r="745" spans="1:14">
      <c r="A745">
        <v>744</v>
      </c>
      <c r="B745">
        <v>1423</v>
      </c>
      <c r="C745">
        <v>1637</v>
      </c>
      <c r="D745">
        <v>84</v>
      </c>
      <c r="E745">
        <v>252</v>
      </c>
      <c r="G745">
        <f t="shared" si="44"/>
        <v>-0.7447990380683529</v>
      </c>
      <c r="H745">
        <f t="shared" si="45"/>
        <v>-1.9552519325592543</v>
      </c>
      <c r="I745">
        <f t="shared" si="46"/>
        <v>-2.2201731176288604</v>
      </c>
      <c r="K745">
        <f t="shared" si="47"/>
        <v>-1.6400746960854893</v>
      </c>
      <c r="M745">
        <v>744</v>
      </c>
      <c r="N745">
        <v>-1.6400746960854893</v>
      </c>
    </row>
    <row r="746" spans="1:14">
      <c r="A746">
        <v>745</v>
      </c>
      <c r="B746">
        <v>1089</v>
      </c>
      <c r="C746">
        <v>235</v>
      </c>
      <c r="D746">
        <v>2100</v>
      </c>
      <c r="E746">
        <v>199</v>
      </c>
      <c r="G746">
        <f t="shared" si="44"/>
        <v>-1.4716028348800485</v>
      </c>
      <c r="H746">
        <f t="shared" si="45"/>
        <v>-0.44113490355870738</v>
      </c>
      <c r="I746">
        <f t="shared" si="46"/>
        <v>-2.2065435616721882</v>
      </c>
      <c r="K746">
        <f t="shared" si="47"/>
        <v>-1.373093766703648</v>
      </c>
      <c r="M746">
        <v>745</v>
      </c>
      <c r="N746">
        <v>-1.373093766703648</v>
      </c>
    </row>
    <row r="747" spans="1:14">
      <c r="A747">
        <v>746</v>
      </c>
      <c r="B747">
        <v>1144</v>
      </c>
      <c r="C747">
        <v>300</v>
      </c>
      <c r="D747">
        <v>106</v>
      </c>
      <c r="E747">
        <v>214</v>
      </c>
      <c r="G747">
        <f t="shared" si="44"/>
        <v>-1.3869475871333528</v>
      </c>
      <c r="H747">
        <f t="shared" si="45"/>
        <v>-1.759446477729087</v>
      </c>
      <c r="I747">
        <f t="shared" si="46"/>
        <v>-2.1963810094339347</v>
      </c>
      <c r="K747">
        <f t="shared" si="47"/>
        <v>-1.7809250247654582</v>
      </c>
      <c r="M747">
        <v>746</v>
      </c>
      <c r="N747">
        <v>-1.7809250247654582</v>
      </c>
    </row>
    <row r="748" spans="1:14">
      <c r="A748">
        <v>747</v>
      </c>
      <c r="B748">
        <v>1285</v>
      </c>
      <c r="C748">
        <v>175</v>
      </c>
      <c r="D748">
        <v>903</v>
      </c>
      <c r="E748">
        <v>335</v>
      </c>
      <c r="G748">
        <f t="shared" si="44"/>
        <v>-1.6715078963770289</v>
      </c>
      <c r="H748">
        <f t="shared" si="45"/>
        <v>-0.87954169589065923</v>
      </c>
      <c r="I748">
        <f t="shared" si="46"/>
        <v>-2.0522270789565882</v>
      </c>
      <c r="K748">
        <f t="shared" si="47"/>
        <v>-1.5344255570747587</v>
      </c>
      <c r="M748">
        <v>747</v>
      </c>
      <c r="N748">
        <v>-1.5344255570747587</v>
      </c>
    </row>
    <row r="749" spans="1:14">
      <c r="A749">
        <v>748</v>
      </c>
      <c r="B749">
        <v>1665</v>
      </c>
      <c r="C749">
        <v>281</v>
      </c>
      <c r="D749">
        <v>224</v>
      </c>
      <c r="E749">
        <v>3738</v>
      </c>
      <c r="G749">
        <f t="shared" si="44"/>
        <v>-1.5783507353332689</v>
      </c>
      <c r="H749">
        <f t="shared" si="45"/>
        <v>-1.5974925380450276</v>
      </c>
      <c r="I749">
        <f t="shared" si="46"/>
        <v>-1.1171436991256454</v>
      </c>
      <c r="K749">
        <f t="shared" si="47"/>
        <v>-1.4309956575013139</v>
      </c>
      <c r="M749">
        <v>748</v>
      </c>
      <c r="N749">
        <v>-1.4309956575013139</v>
      </c>
    </row>
    <row r="750" spans="1:14">
      <c r="A750">
        <v>749</v>
      </c>
      <c r="B750">
        <v>703</v>
      </c>
      <c r="C750">
        <v>70</v>
      </c>
      <c r="D750">
        <v>30</v>
      </c>
      <c r="E750">
        <v>158</v>
      </c>
      <c r="G750">
        <f t="shared" si="44"/>
        <v>-1.8075001024015771</v>
      </c>
      <c r="H750">
        <f t="shared" si="45"/>
        <v>-2.0961603888370131</v>
      </c>
      <c r="I750">
        <f t="shared" si="46"/>
        <v>-2.1166669963915212</v>
      </c>
      <c r="K750">
        <f t="shared" si="47"/>
        <v>-2.0067758292100373</v>
      </c>
      <c r="M750">
        <v>749</v>
      </c>
      <c r="N750">
        <v>-2.0067758292100373</v>
      </c>
    </row>
    <row r="751" spans="1:14">
      <c r="A751">
        <v>750</v>
      </c>
      <c r="B751">
        <v>894</v>
      </c>
      <c r="C751">
        <v>477</v>
      </c>
      <c r="D751">
        <v>55</v>
      </c>
      <c r="E751">
        <v>245</v>
      </c>
      <c r="G751">
        <f t="shared" si="44"/>
        <v>-1.0784619571518137</v>
      </c>
      <c r="H751">
        <f t="shared" si="45"/>
        <v>-1.9373011478385256</v>
      </c>
      <c r="I751">
        <f t="shared" si="46"/>
        <v>-2.0305401927575053</v>
      </c>
      <c r="K751">
        <f t="shared" si="47"/>
        <v>-1.6821010992492813</v>
      </c>
      <c r="M751">
        <v>750</v>
      </c>
      <c r="N751">
        <v>-1.6821010992492813</v>
      </c>
    </row>
    <row r="752" spans="1:14">
      <c r="A752">
        <v>751</v>
      </c>
      <c r="B752">
        <v>1379</v>
      </c>
      <c r="C752">
        <v>344</v>
      </c>
      <c r="D752">
        <v>198</v>
      </c>
      <c r="E752">
        <v>438</v>
      </c>
      <c r="G752">
        <f t="shared" si="44"/>
        <v>-1.4086486410003296</v>
      </c>
      <c r="H752">
        <f t="shared" si="45"/>
        <v>-1.5692253944511703</v>
      </c>
      <c r="I752">
        <f t="shared" si="46"/>
        <v>-1.9664589139978703</v>
      </c>
      <c r="K752">
        <f t="shared" si="47"/>
        <v>-1.64811098314979</v>
      </c>
      <c r="M752">
        <v>751</v>
      </c>
      <c r="N752">
        <v>-1.64811098314979</v>
      </c>
    </row>
    <row r="753" spans="1:14">
      <c r="A753">
        <v>752</v>
      </c>
      <c r="B753">
        <v>1051</v>
      </c>
      <c r="C753">
        <v>1011</v>
      </c>
      <c r="D753">
        <v>90</v>
      </c>
      <c r="E753">
        <v>68</v>
      </c>
      <c r="G753">
        <f t="shared" si="44"/>
        <v>-0.82249437783325119</v>
      </c>
      <c r="H753">
        <f t="shared" si="45"/>
        <v>-1.7936865251257692</v>
      </c>
      <c r="I753">
        <f t="shared" si="46"/>
        <v>-2.657462561648126</v>
      </c>
      <c r="K753">
        <f t="shared" si="47"/>
        <v>-1.7578811548690487</v>
      </c>
      <c r="M753">
        <v>752</v>
      </c>
      <c r="N753">
        <v>-1.7578811548690487</v>
      </c>
    </row>
    <row r="754" spans="1:14">
      <c r="A754">
        <v>753</v>
      </c>
      <c r="B754">
        <v>893</v>
      </c>
      <c r="C754">
        <v>770</v>
      </c>
      <c r="D754">
        <v>396</v>
      </c>
      <c r="E754">
        <v>506</v>
      </c>
      <c r="G754">
        <f t="shared" si="44"/>
        <v>-0.8700035511120745</v>
      </c>
      <c r="H754">
        <f t="shared" si="45"/>
        <v>-1.0794825914998858</v>
      </c>
      <c r="I754">
        <f t="shared" si="46"/>
        <v>-1.7150697003748672</v>
      </c>
      <c r="K754">
        <f t="shared" si="47"/>
        <v>-1.2215186143289425</v>
      </c>
      <c r="M754">
        <v>753</v>
      </c>
      <c r="N754">
        <v>-1.2215186143289425</v>
      </c>
    </row>
    <row r="755" spans="1:14">
      <c r="A755">
        <v>754</v>
      </c>
      <c r="B755">
        <v>856</v>
      </c>
      <c r="C755">
        <v>77</v>
      </c>
      <c r="D755">
        <v>124</v>
      </c>
      <c r="E755">
        <v>161</v>
      </c>
      <c r="G755">
        <f t="shared" si="44"/>
        <v>-1.8516258569006814</v>
      </c>
      <c r="H755">
        <f t="shared" si="45"/>
        <v>-1.5653783980517699</v>
      </c>
      <c r="I755">
        <f t="shared" si="46"/>
        <v>-2.1940166469714235</v>
      </c>
      <c r="K755">
        <f t="shared" si="47"/>
        <v>-1.8703403006412918</v>
      </c>
      <c r="M755">
        <v>754</v>
      </c>
      <c r="N755">
        <v>-1.8703403006412918</v>
      </c>
    </row>
    <row r="756" spans="1:14">
      <c r="A756">
        <v>755</v>
      </c>
      <c r="B756">
        <v>1165</v>
      </c>
      <c r="C756">
        <v>153</v>
      </c>
      <c r="D756">
        <v>228</v>
      </c>
      <c r="E756">
        <v>98</v>
      </c>
      <c r="G756">
        <f t="shared" si="44"/>
        <v>-1.6872773119404489</v>
      </c>
      <c r="H756">
        <f t="shared" si="45"/>
        <v>-1.4347173968984357</v>
      </c>
      <c r="I756">
        <f t="shared" si="46"/>
        <v>-2.543468607995663</v>
      </c>
      <c r="K756">
        <f t="shared" si="47"/>
        <v>-1.8884877722781823</v>
      </c>
      <c r="M756">
        <v>755</v>
      </c>
      <c r="N756">
        <v>-1.8884877722781823</v>
      </c>
    </row>
    <row r="757" spans="1:14">
      <c r="A757">
        <v>756</v>
      </c>
      <c r="B757">
        <v>937</v>
      </c>
      <c r="C757">
        <v>260</v>
      </c>
      <c r="D757">
        <v>59</v>
      </c>
      <c r="E757">
        <v>70</v>
      </c>
      <c r="G757">
        <f t="shared" si="44"/>
        <v>-1.3624090603129702</v>
      </c>
      <c r="H757">
        <f t="shared" si="45"/>
        <v>-1.9272138977824858</v>
      </c>
      <c r="I757">
        <f t="shared" si="46"/>
        <v>-2.5950103091996413</v>
      </c>
      <c r="K757">
        <f t="shared" si="47"/>
        <v>-1.9615444224316991</v>
      </c>
      <c r="M757">
        <v>756</v>
      </c>
      <c r="N757">
        <v>-1.9615444224316991</v>
      </c>
    </row>
    <row r="758" spans="1:14">
      <c r="A758">
        <v>757</v>
      </c>
      <c r="B758">
        <v>1420</v>
      </c>
      <c r="C758">
        <v>279</v>
      </c>
      <c r="D758">
        <v>293</v>
      </c>
      <c r="E758">
        <v>153</v>
      </c>
      <c r="G758">
        <f t="shared" si="44"/>
        <v>-1.5123269585054691</v>
      </c>
      <c r="H758">
        <f t="shared" si="45"/>
        <v>-1.4117470425657987</v>
      </c>
      <c r="I758">
        <f t="shared" si="46"/>
        <v>-2.4359656718915779</v>
      </c>
      <c r="K758">
        <f t="shared" si="47"/>
        <v>-1.7866798909876149</v>
      </c>
      <c r="M758">
        <v>757</v>
      </c>
      <c r="N758">
        <v>-1.7866798909876149</v>
      </c>
    </row>
    <row r="759" spans="1:14">
      <c r="A759">
        <v>758</v>
      </c>
      <c r="B759">
        <v>1159</v>
      </c>
      <c r="C759">
        <v>304</v>
      </c>
      <c r="D759">
        <v>199</v>
      </c>
      <c r="E759">
        <v>425</v>
      </c>
      <c r="G759">
        <f t="shared" si="44"/>
        <v>-1.3868526697508523</v>
      </c>
      <c r="H759">
        <f t="shared" si="45"/>
        <v>-1.491556678090741</v>
      </c>
      <c r="I759">
        <f t="shared" si="46"/>
        <v>-1.9040632642394044</v>
      </c>
      <c r="K759">
        <f t="shared" si="47"/>
        <v>-1.5941575373603325</v>
      </c>
      <c r="M759">
        <v>758</v>
      </c>
      <c r="N759">
        <v>-1.5941575373603325</v>
      </c>
    </row>
    <row r="760" spans="1:14">
      <c r="A760">
        <v>759</v>
      </c>
      <c r="B760">
        <v>1025</v>
      </c>
      <c r="C760">
        <v>165</v>
      </c>
      <c r="D760">
        <v>567</v>
      </c>
      <c r="E760">
        <v>228</v>
      </c>
      <c r="G760">
        <f t="shared" si="44"/>
        <v>-1.5988827385738769</v>
      </c>
      <c r="H760">
        <f t="shared" si="45"/>
        <v>-0.9834671250357182</v>
      </c>
      <c r="I760">
        <f t="shared" si="46"/>
        <v>-2.1211577767174394</v>
      </c>
      <c r="K760">
        <f t="shared" si="47"/>
        <v>-1.5678358801090113</v>
      </c>
      <c r="M760">
        <v>759</v>
      </c>
      <c r="N760">
        <v>-1.5678358801090113</v>
      </c>
    </row>
    <row r="761" spans="1:14">
      <c r="A761">
        <v>760</v>
      </c>
      <c r="B761">
        <v>763</v>
      </c>
      <c r="C761">
        <v>4349</v>
      </c>
      <c r="D761">
        <v>1341</v>
      </c>
      <c r="E761">
        <v>76</v>
      </c>
      <c r="G761">
        <f t="shared" si="44"/>
        <v>-4.9777947685554436E-2</v>
      </c>
      <c r="H761">
        <f t="shared" si="45"/>
        <v>-0.48142207864013326</v>
      </c>
      <c r="I761">
        <f t="shared" si="46"/>
        <v>-2.4700797040002094</v>
      </c>
      <c r="K761">
        <f t="shared" si="47"/>
        <v>-1.0004265767752989</v>
      </c>
      <c r="M761">
        <v>760</v>
      </c>
      <c r="N761">
        <v>-1.0004265767752989</v>
      </c>
    </row>
    <row r="762" spans="1:14">
      <c r="A762">
        <v>761</v>
      </c>
      <c r="B762">
        <v>1319</v>
      </c>
      <c r="C762">
        <v>2113</v>
      </c>
      <c r="D762">
        <v>373</v>
      </c>
      <c r="E762">
        <v>280</v>
      </c>
      <c r="G762">
        <f t="shared" si="44"/>
        <v>-0.60098811589006185</v>
      </c>
      <c r="H762">
        <f t="shared" si="45"/>
        <v>-1.2748622822745295</v>
      </c>
      <c r="I762">
        <f t="shared" si="46"/>
        <v>-2.1414555225302663</v>
      </c>
      <c r="K762">
        <f t="shared" si="47"/>
        <v>-1.3391019735649525</v>
      </c>
      <c r="M762">
        <v>761</v>
      </c>
      <c r="N762">
        <v>-1.3391019735649525</v>
      </c>
    </row>
    <row r="763" spans="1:14">
      <c r="A763">
        <v>762</v>
      </c>
      <c r="B763">
        <v>831</v>
      </c>
      <c r="C763">
        <v>235</v>
      </c>
      <c r="D763">
        <v>251</v>
      </c>
      <c r="E763">
        <v>184</v>
      </c>
      <c r="G763">
        <f t="shared" si="44"/>
        <v>-1.3541759789083847</v>
      </c>
      <c r="H763">
        <f t="shared" si="45"/>
        <v>-1.2462536208399246</v>
      </c>
      <c r="I763">
        <f t="shared" si="46"/>
        <v>-2.1231519591006944</v>
      </c>
      <c r="K763">
        <f t="shared" si="47"/>
        <v>-1.5745271862830013</v>
      </c>
      <c r="M763">
        <v>762</v>
      </c>
      <c r="N763">
        <v>-1.5745271862830013</v>
      </c>
    </row>
    <row r="764" spans="1:14">
      <c r="A764">
        <v>763</v>
      </c>
      <c r="B764">
        <v>1076</v>
      </c>
      <c r="C764">
        <v>390</v>
      </c>
      <c r="D764">
        <v>72</v>
      </c>
      <c r="E764">
        <v>90</v>
      </c>
      <c r="G764">
        <f t="shared" si="44"/>
        <v>-1.2463904816998812</v>
      </c>
      <c r="H764">
        <f t="shared" si="45"/>
        <v>-1.9008060934359539</v>
      </c>
      <c r="I764">
        <f t="shared" si="46"/>
        <v>-2.5459385202171654</v>
      </c>
      <c r="K764">
        <f t="shared" si="47"/>
        <v>-1.8977116984510001</v>
      </c>
      <c r="M764">
        <v>763</v>
      </c>
      <c r="N764">
        <v>-1.8977116984510001</v>
      </c>
    </row>
    <row r="765" spans="1:14">
      <c r="A765">
        <v>764</v>
      </c>
      <c r="B765">
        <v>865</v>
      </c>
      <c r="C765">
        <v>224</v>
      </c>
      <c r="D765">
        <v>393</v>
      </c>
      <c r="E765">
        <v>129</v>
      </c>
      <c r="G765">
        <f t="shared" si="44"/>
        <v>-1.3924109065266614</v>
      </c>
      <c r="H765">
        <f t="shared" si="45"/>
        <v>-1.0689498756262392</v>
      </c>
      <c r="I765">
        <f t="shared" si="46"/>
        <v>-2.294795155491685</v>
      </c>
      <c r="K765">
        <f t="shared" si="47"/>
        <v>-1.5853853125481951</v>
      </c>
      <c r="M765">
        <v>764</v>
      </c>
      <c r="N765">
        <v>-1.5853853125481951</v>
      </c>
    </row>
    <row r="766" spans="1:14">
      <c r="A766">
        <v>765</v>
      </c>
      <c r="B766">
        <v>1710</v>
      </c>
      <c r="C766">
        <v>358</v>
      </c>
      <c r="D766">
        <v>339</v>
      </c>
      <c r="E766">
        <v>3211</v>
      </c>
      <c r="G766">
        <f t="shared" si="44"/>
        <v>-1.4847559011442895</v>
      </c>
      <c r="H766">
        <f t="shared" si="45"/>
        <v>-1.4291227307259233</v>
      </c>
      <c r="I766">
        <f t="shared" si="46"/>
        <v>-1.1947245631517713</v>
      </c>
      <c r="K766">
        <f t="shared" si="47"/>
        <v>-1.3695343983406614</v>
      </c>
      <c r="M766">
        <v>765</v>
      </c>
      <c r="N766">
        <v>-1.3695343983406614</v>
      </c>
    </row>
    <row r="767" spans="1:14">
      <c r="A767">
        <v>766</v>
      </c>
      <c r="B767">
        <v>1031</v>
      </c>
      <c r="C767">
        <v>215</v>
      </c>
      <c r="D767">
        <v>829</v>
      </c>
      <c r="E767">
        <v>78</v>
      </c>
      <c r="G767">
        <f t="shared" si="44"/>
        <v>-1.4864630227639211</v>
      </c>
      <c r="H767">
        <f t="shared" si="45"/>
        <v>-0.82103045327009472</v>
      </c>
      <c r="I767">
        <f t="shared" si="46"/>
        <v>-2.5895328209191559</v>
      </c>
      <c r="K767">
        <f t="shared" si="47"/>
        <v>-1.6323420989843906</v>
      </c>
      <c r="M767">
        <v>766</v>
      </c>
      <c r="N767">
        <v>-1.6323420989843906</v>
      </c>
    </row>
    <row r="768" spans="1:14">
      <c r="A768">
        <v>767</v>
      </c>
      <c r="B768">
        <v>1246</v>
      </c>
      <c r="C768">
        <v>116</v>
      </c>
      <c r="D768">
        <v>210</v>
      </c>
      <c r="E768">
        <v>284</v>
      </c>
      <c r="G768">
        <f t="shared" si="44"/>
        <v>-1.8367028704922423</v>
      </c>
      <c r="H768">
        <f t="shared" si="45"/>
        <v>-1.4996250661260833</v>
      </c>
      <c r="I768">
        <f t="shared" si="46"/>
        <v>-2.110568460602233</v>
      </c>
      <c r="K768">
        <f t="shared" si="47"/>
        <v>-1.8156321324068532</v>
      </c>
      <c r="M768">
        <v>767</v>
      </c>
      <c r="N768">
        <v>-1.8156321324068532</v>
      </c>
    </row>
    <row r="769" spans="1:14">
      <c r="A769">
        <v>768</v>
      </c>
      <c r="B769">
        <v>930</v>
      </c>
      <c r="C769">
        <v>53</v>
      </c>
      <c r="D769">
        <v>169</v>
      </c>
      <c r="E769">
        <v>33</v>
      </c>
      <c r="G769">
        <f t="shared" si="44"/>
        <v>-2.0498498963491558</v>
      </c>
      <c r="H769">
        <f t="shared" si="45"/>
        <v>-1.4669225624771132</v>
      </c>
      <c r="I769">
        <f t="shared" si="46"/>
        <v>-2.9183377670021677</v>
      </c>
      <c r="K769">
        <f t="shared" si="47"/>
        <v>-2.1450367419428122</v>
      </c>
      <c r="M769">
        <v>768</v>
      </c>
      <c r="N769">
        <v>-2.1450367419428122</v>
      </c>
    </row>
    <row r="770" spans="1:14">
      <c r="A770">
        <v>769</v>
      </c>
      <c r="B770">
        <v>779</v>
      </c>
      <c r="C770">
        <v>172</v>
      </c>
      <c r="D770">
        <v>1565</v>
      </c>
      <c r="E770">
        <v>95</v>
      </c>
      <c r="G770">
        <f t="shared" si="44"/>
        <v>-1.4616518281610253</v>
      </c>
      <c r="H770">
        <f t="shared" si="45"/>
        <v>-0.42334943432694888</v>
      </c>
      <c r="I770">
        <f t="shared" si="46"/>
        <v>-2.3821826107098367</v>
      </c>
      <c r="K770">
        <f t="shared" si="47"/>
        <v>-1.4223946243992704</v>
      </c>
      <c r="M770">
        <v>769</v>
      </c>
      <c r="N770">
        <v>-1.4223946243992704</v>
      </c>
    </row>
    <row r="771" spans="1:14">
      <c r="A771">
        <v>770</v>
      </c>
      <c r="B771">
        <v>1388</v>
      </c>
      <c r="C771">
        <v>119</v>
      </c>
      <c r="D771">
        <v>402</v>
      </c>
      <c r="E771">
        <v>180</v>
      </c>
      <c r="G771">
        <f t="shared" ref="G771:G834" si="48">LOG10(C771/B771)-LOG10(151582/23714)</f>
        <v>-1.8724853221223152</v>
      </c>
      <c r="H771">
        <f t="shared" ref="H771:H834" si="49">LOG10(D771/B771)-LOG10(126279/23714)</f>
        <v>-1.2644897315712178</v>
      </c>
      <c r="I771">
        <f t="shared" ref="I771:I834" si="50">LOG10(E771/B771)-LOG10(697226/23714)</f>
        <v>-2.3554857193416501</v>
      </c>
      <c r="K771">
        <f t="shared" ref="K771:K834" si="51">AVERAGE(G771:I771)</f>
        <v>-1.8308202576783943</v>
      </c>
      <c r="M771">
        <v>770</v>
      </c>
      <c r="N771">
        <v>-1.8308202576783943</v>
      </c>
    </row>
    <row r="772" spans="1:14">
      <c r="A772">
        <v>771</v>
      </c>
      <c r="B772">
        <v>1703</v>
      </c>
      <c r="C772">
        <v>478</v>
      </c>
      <c r="D772">
        <v>405</v>
      </c>
      <c r="E772">
        <v>451</v>
      </c>
      <c r="G772">
        <f t="shared" si="48"/>
        <v>-1.3574295687464921</v>
      </c>
      <c r="H772">
        <f t="shared" si="49"/>
        <v>-1.350085943284784</v>
      </c>
      <c r="I772">
        <f t="shared" si="50"/>
        <v>-2.0454068644107606</v>
      </c>
      <c r="K772">
        <f t="shared" si="51"/>
        <v>-1.5843074588140122</v>
      </c>
      <c r="M772">
        <v>771</v>
      </c>
      <c r="N772">
        <v>-1.5843074588140122</v>
      </c>
    </row>
    <row r="773" spans="1:14">
      <c r="A773">
        <v>772</v>
      </c>
      <c r="B773">
        <v>1110</v>
      </c>
      <c r="C773">
        <v>106</v>
      </c>
      <c r="D773">
        <v>77</v>
      </c>
      <c r="E773">
        <v>1407</v>
      </c>
      <c r="G773">
        <f t="shared" si="48"/>
        <v>-1.8256599309178971</v>
      </c>
      <c r="H773">
        <f t="shared" si="49"/>
        <v>-1.8851585721510271</v>
      </c>
      <c r="I773">
        <f t="shared" si="50"/>
        <v>-1.3653976396780318</v>
      </c>
      <c r="K773">
        <f t="shared" si="51"/>
        <v>-1.6920720475823188</v>
      </c>
      <c r="M773">
        <v>772</v>
      </c>
      <c r="N773">
        <v>-1.6920720475823188</v>
      </c>
    </row>
    <row r="774" spans="1:14">
      <c r="A774">
        <v>773</v>
      </c>
      <c r="B774">
        <v>711</v>
      </c>
      <c r="C774">
        <v>271</v>
      </c>
      <c r="D774">
        <v>539</v>
      </c>
      <c r="E774">
        <v>1274</v>
      </c>
      <c r="G774">
        <f t="shared" si="48"/>
        <v>-1.2245431272513705</v>
      </c>
      <c r="H774">
        <f t="shared" si="49"/>
        <v>-0.8466071540798793</v>
      </c>
      <c r="I774">
        <f t="shared" si="50"/>
        <v>-1.2150689310565546</v>
      </c>
      <c r="K774">
        <f t="shared" si="51"/>
        <v>-1.0954064041292682</v>
      </c>
      <c r="M774">
        <v>773</v>
      </c>
      <c r="N774">
        <v>-1.0954064041292682</v>
      </c>
    </row>
    <row r="775" spans="1:14">
      <c r="A775">
        <v>774</v>
      </c>
      <c r="B775">
        <v>1669</v>
      </c>
      <c r="C775">
        <v>349</v>
      </c>
      <c r="D775">
        <v>287</v>
      </c>
      <c r="E775">
        <v>1390</v>
      </c>
      <c r="G775">
        <f t="shared" si="48"/>
        <v>-1.4852737271160767</v>
      </c>
      <c r="H775">
        <f t="shared" si="49"/>
        <v>-1.4909007584821059</v>
      </c>
      <c r="I775">
        <f t="shared" si="50"/>
        <v>-1.5478102947512715</v>
      </c>
      <c r="K775">
        <f t="shared" si="51"/>
        <v>-1.5079949267831514</v>
      </c>
      <c r="M775">
        <v>774</v>
      </c>
      <c r="N775">
        <v>-1.5079949267831514</v>
      </c>
    </row>
    <row r="776" spans="1:14">
      <c r="A776">
        <v>775</v>
      </c>
      <c r="B776">
        <v>916</v>
      </c>
      <c r="C776">
        <v>853</v>
      </c>
      <c r="D776">
        <v>152</v>
      </c>
      <c r="E776">
        <v>147</v>
      </c>
      <c r="G776">
        <f t="shared" si="48"/>
        <v>-0.83658925989633726</v>
      </c>
      <c r="H776">
        <f t="shared" si="49"/>
        <v>-1.5063782042599296</v>
      </c>
      <c r="I776">
        <f t="shared" si="50"/>
        <v>-2.2629468972457945</v>
      </c>
      <c r="K776">
        <f t="shared" si="51"/>
        <v>-1.5353047871340204</v>
      </c>
      <c r="M776">
        <v>775</v>
      </c>
      <c r="N776">
        <v>-1.5353047871340204</v>
      </c>
    </row>
    <row r="777" spans="1:14">
      <c r="A777">
        <v>776</v>
      </c>
      <c r="B777">
        <v>758</v>
      </c>
      <c r="C777">
        <v>317</v>
      </c>
      <c r="D777">
        <v>129</v>
      </c>
      <c r="E777">
        <v>152</v>
      </c>
      <c r="G777">
        <f t="shared" si="48"/>
        <v>-1.1842527608103119</v>
      </c>
      <c r="H777">
        <f t="shared" si="49"/>
        <v>-1.4954058138696562</v>
      </c>
      <c r="I777">
        <f t="shared" si="50"/>
        <v>-2.1661943760134008</v>
      </c>
      <c r="K777">
        <f t="shared" si="51"/>
        <v>-1.6152843168977897</v>
      </c>
      <c r="M777">
        <v>776</v>
      </c>
      <c r="N777">
        <v>-1.6152843168977897</v>
      </c>
    </row>
    <row r="778" spans="1:14">
      <c r="A778">
        <v>777</v>
      </c>
      <c r="B778">
        <v>1337</v>
      </c>
      <c r="C778">
        <v>168</v>
      </c>
      <c r="D778">
        <v>1067</v>
      </c>
      <c r="E778">
        <v>391</v>
      </c>
      <c r="G778">
        <f t="shared" si="48"/>
        <v>-1.7064649429321315</v>
      </c>
      <c r="H778">
        <f t="shared" si="49"/>
        <v>-0.82429330637436615</v>
      </c>
      <c r="I778">
        <f t="shared" si="50"/>
        <v>-2.0023234081922374</v>
      </c>
      <c r="K778">
        <f t="shared" si="51"/>
        <v>-1.5110272191662453</v>
      </c>
      <c r="M778">
        <v>777</v>
      </c>
      <c r="N778">
        <v>-1.5110272191662453</v>
      </c>
    </row>
    <row r="779" spans="1:14">
      <c r="A779">
        <v>778</v>
      </c>
      <c r="B779">
        <v>1370</v>
      </c>
      <c r="C779">
        <v>563</v>
      </c>
      <c r="D779">
        <v>3591</v>
      </c>
      <c r="E779">
        <v>6853</v>
      </c>
      <c r="G779">
        <f t="shared" si="48"/>
        <v>-1.1918549897010706</v>
      </c>
      <c r="H779">
        <f t="shared" si="49"/>
        <v>-0.3078314805671854</v>
      </c>
      <c r="I779">
        <f t="shared" si="50"/>
        <v>-0.76920859366513217</v>
      </c>
      <c r="K779">
        <f t="shared" si="51"/>
        <v>-0.75629835464446271</v>
      </c>
      <c r="M779">
        <v>778</v>
      </c>
      <c r="N779">
        <v>-0.75629835464446271</v>
      </c>
    </row>
    <row r="780" spans="1:14">
      <c r="A780">
        <v>779</v>
      </c>
      <c r="B780">
        <v>1062</v>
      </c>
      <c r="C780">
        <v>114</v>
      </c>
      <c r="D780">
        <v>1388</v>
      </c>
      <c r="E780">
        <v>96</v>
      </c>
      <c r="G780">
        <f t="shared" si="48"/>
        <v>-1.7748624828049877</v>
      </c>
      <c r="H780">
        <f t="shared" si="49"/>
        <v>-0.61006136916346576</v>
      </c>
      <c r="I780">
        <f t="shared" si="50"/>
        <v>-2.5122220420320018</v>
      </c>
      <c r="K780">
        <f t="shared" si="51"/>
        <v>-1.6323819646668187</v>
      </c>
      <c r="M780">
        <v>779</v>
      </c>
      <c r="N780">
        <v>-1.6323819646668187</v>
      </c>
    </row>
    <row r="781" spans="1:14">
      <c r="A781">
        <v>780</v>
      </c>
      <c r="B781">
        <v>1159</v>
      </c>
      <c r="C781">
        <v>83</v>
      </c>
      <c r="D781">
        <v>915</v>
      </c>
      <c r="E781">
        <v>381</v>
      </c>
      <c r="G781">
        <f t="shared" si="48"/>
        <v>-1.950648160983532</v>
      </c>
      <c r="H781">
        <f t="shared" si="49"/>
        <v>-0.82898866043399944</v>
      </c>
      <c r="I781">
        <f t="shared" si="50"/>
        <v>-1.9515272186140966</v>
      </c>
      <c r="K781">
        <f t="shared" si="51"/>
        <v>-1.5770546800105425</v>
      </c>
      <c r="M781">
        <v>780</v>
      </c>
      <c r="N781">
        <v>-1.5770546800105425</v>
      </c>
    </row>
    <row r="782" spans="1:14">
      <c r="A782">
        <v>781</v>
      </c>
      <c r="B782">
        <v>990</v>
      </c>
      <c r="C782">
        <v>569</v>
      </c>
      <c r="D782">
        <v>791</v>
      </c>
      <c r="E782">
        <v>86</v>
      </c>
      <c r="G782">
        <f t="shared" si="48"/>
        <v>-1.0461657455984887</v>
      </c>
      <c r="H782">
        <f t="shared" si="49"/>
        <v>-0.82378502963672506</v>
      </c>
      <c r="I782">
        <f t="shared" si="50"/>
        <v>-2.5295055016801022</v>
      </c>
      <c r="K782">
        <f t="shared" si="51"/>
        <v>-1.4664854256384388</v>
      </c>
      <c r="M782">
        <v>781</v>
      </c>
      <c r="N782">
        <v>-1.4664854256384388</v>
      </c>
    </row>
    <row r="783" spans="1:14">
      <c r="A783">
        <v>782</v>
      </c>
      <c r="B783">
        <v>698</v>
      </c>
      <c r="C783">
        <v>36</v>
      </c>
      <c r="D783">
        <v>79</v>
      </c>
      <c r="E783">
        <v>71</v>
      </c>
      <c r="G783">
        <f t="shared" si="48"/>
        <v>-2.0931957392518838</v>
      </c>
      <c r="H783">
        <f t="shared" si="49"/>
        <v>-1.6725546498695714</v>
      </c>
      <c r="I783">
        <f t="shared" si="50"/>
        <v>-2.4609658322302059</v>
      </c>
      <c r="K783">
        <f t="shared" si="51"/>
        <v>-2.0755720737838872</v>
      </c>
      <c r="M783">
        <v>782</v>
      </c>
      <c r="N783">
        <v>-2.0755720737838872</v>
      </c>
    </row>
    <row r="784" spans="1:14">
      <c r="A784">
        <v>783</v>
      </c>
      <c r="B784">
        <v>1164</v>
      </c>
      <c r="C784">
        <v>227</v>
      </c>
      <c r="D784">
        <v>1014</v>
      </c>
      <c r="E784">
        <v>2225</v>
      </c>
      <c r="G784">
        <f t="shared" si="48"/>
        <v>-1.5155699405167569</v>
      </c>
      <c r="H784">
        <f t="shared" si="49"/>
        <v>-0.78624134385340416</v>
      </c>
      <c r="I784">
        <f t="shared" si="50"/>
        <v>-1.1869917233230391</v>
      </c>
      <c r="K784">
        <f t="shared" si="51"/>
        <v>-1.1629343358977333</v>
      </c>
      <c r="M784">
        <v>783</v>
      </c>
      <c r="N784">
        <v>-1.1629343358977333</v>
      </c>
    </row>
    <row r="785" spans="1:14">
      <c r="A785">
        <v>784</v>
      </c>
      <c r="B785">
        <v>1155</v>
      </c>
      <c r="C785">
        <v>54</v>
      </c>
      <c r="D785">
        <v>268</v>
      </c>
      <c r="E785">
        <v>62</v>
      </c>
      <c r="G785">
        <f t="shared" si="48"/>
        <v>-2.1358310418012048</v>
      </c>
      <c r="H785">
        <f t="shared" si="49"/>
        <v>-1.360773508736226</v>
      </c>
      <c r="I785">
        <f t="shared" si="50"/>
        <v>-2.7385590530560293</v>
      </c>
      <c r="K785">
        <f t="shared" si="51"/>
        <v>-2.0783878678644867</v>
      </c>
      <c r="M785">
        <v>784</v>
      </c>
      <c r="N785">
        <v>-2.0783878678644867</v>
      </c>
    </row>
    <row r="786" spans="1:14">
      <c r="A786">
        <v>785</v>
      </c>
      <c r="B786">
        <v>1779</v>
      </c>
      <c r="C786">
        <v>356</v>
      </c>
      <c r="D786">
        <v>282</v>
      </c>
      <c r="E786">
        <v>441</v>
      </c>
      <c r="G786">
        <f t="shared" si="48"/>
        <v>-1.5043687675070598</v>
      </c>
      <c r="H786">
        <f t="shared" si="49"/>
        <v>-1.5262531583014156</v>
      </c>
      <c r="I786">
        <f t="shared" si="50"/>
        <v>-2.0741061169422066</v>
      </c>
      <c r="K786">
        <f t="shared" si="51"/>
        <v>-1.7015760142502272</v>
      </c>
      <c r="M786">
        <v>785</v>
      </c>
      <c r="N786">
        <v>-1.7015760142502272</v>
      </c>
    </row>
    <row r="787" spans="1:14">
      <c r="A787">
        <v>786</v>
      </c>
      <c r="B787">
        <v>1482</v>
      </c>
      <c r="C787">
        <v>685</v>
      </c>
      <c r="D787">
        <v>280</v>
      </c>
      <c r="E787">
        <v>8695</v>
      </c>
      <c r="G787">
        <f t="shared" si="48"/>
        <v>-1.1408004495468937</v>
      </c>
      <c r="H787">
        <f t="shared" si="49"/>
        <v>-1.4500164908379418</v>
      </c>
      <c r="I787">
        <f t="shared" si="50"/>
        <v>-0.69994737563069809</v>
      </c>
      <c r="K787">
        <f t="shared" si="51"/>
        <v>-1.0969214386718444</v>
      </c>
      <c r="M787">
        <v>786</v>
      </c>
      <c r="N787">
        <v>-1.0969214386718444</v>
      </c>
    </row>
    <row r="788" spans="1:14">
      <c r="A788">
        <v>787</v>
      </c>
      <c r="B788">
        <v>1364</v>
      </c>
      <c r="C788">
        <v>164</v>
      </c>
      <c r="D788">
        <v>363</v>
      </c>
      <c r="E788">
        <v>1233</v>
      </c>
      <c r="G788">
        <f t="shared" si="48"/>
        <v>-1.7256133396687723</v>
      </c>
      <c r="H788">
        <f t="shared" si="49"/>
        <v>-1.3012340638211994</v>
      </c>
      <c r="I788">
        <f t="shared" si="50"/>
        <v>-1.5122200520508484</v>
      </c>
      <c r="K788">
        <f t="shared" si="51"/>
        <v>-1.5130224851802734</v>
      </c>
      <c r="M788">
        <v>787</v>
      </c>
      <c r="N788">
        <v>-1.5130224851802734</v>
      </c>
    </row>
    <row r="789" spans="1:14">
      <c r="A789">
        <v>788</v>
      </c>
      <c r="B789">
        <v>739</v>
      </c>
      <c r="C789">
        <v>279</v>
      </c>
      <c r="D789">
        <v>155</v>
      </c>
      <c r="E789">
        <v>64</v>
      </c>
      <c r="G789">
        <f t="shared" si="48"/>
        <v>-1.2286830525172381</v>
      </c>
      <c r="H789">
        <f t="shared" si="49"/>
        <v>-1.404639058761386</v>
      </c>
      <c r="I789">
        <f t="shared" si="50"/>
        <v>-2.5308332227370585</v>
      </c>
      <c r="K789">
        <f t="shared" si="51"/>
        <v>-1.721385111338561</v>
      </c>
      <c r="M789">
        <v>788</v>
      </c>
      <c r="N789">
        <v>-1.721385111338561</v>
      </c>
    </row>
    <row r="790" spans="1:14">
      <c r="A790">
        <v>789</v>
      </c>
      <c r="B790">
        <v>1169</v>
      </c>
      <c r="C790">
        <v>126</v>
      </c>
      <c r="D790">
        <v>225</v>
      </c>
      <c r="E790">
        <v>144</v>
      </c>
      <c r="G790">
        <f t="shared" si="48"/>
        <v>-1.773086783440287</v>
      </c>
      <c r="H790">
        <f t="shared" si="49"/>
        <v>-1.4419583115873293</v>
      </c>
      <c r="I790">
        <f t="shared" si="50"/>
        <v>-2.3778207773927105</v>
      </c>
      <c r="K790">
        <f t="shared" si="51"/>
        <v>-1.8642886241401089</v>
      </c>
      <c r="M790">
        <v>789</v>
      </c>
      <c r="N790">
        <v>-1.8642886241401089</v>
      </c>
    </row>
    <row r="791" spans="1:14">
      <c r="A791">
        <v>790</v>
      </c>
      <c r="B791">
        <v>921</v>
      </c>
      <c r="C791">
        <v>223</v>
      </c>
      <c r="D791">
        <v>5143</v>
      </c>
      <c r="E791">
        <v>301</v>
      </c>
      <c r="G791">
        <f t="shared" si="48"/>
        <v>-1.4215975845446982</v>
      </c>
      <c r="H791">
        <f t="shared" si="49"/>
        <v>2.0630575587389455E-2</v>
      </c>
      <c r="I791">
        <f t="shared" si="50"/>
        <v>-1.9540618929291256</v>
      </c>
      <c r="K791">
        <f t="shared" si="51"/>
        <v>-1.1183429672954781</v>
      </c>
      <c r="M791">
        <v>790</v>
      </c>
      <c r="N791">
        <v>-1.1183429672954781</v>
      </c>
    </row>
    <row r="792" spans="1:14">
      <c r="A792">
        <v>791</v>
      </c>
      <c r="B792">
        <v>972</v>
      </c>
      <c r="C792">
        <v>42</v>
      </c>
      <c r="D792">
        <v>128</v>
      </c>
      <c r="E792">
        <v>129</v>
      </c>
      <c r="G792">
        <f t="shared" si="48"/>
        <v>-2.170059791924384</v>
      </c>
      <c r="H792">
        <f t="shared" si="49"/>
        <v>-1.6067826138152579</v>
      </c>
      <c r="I792">
        <f t="shared" si="50"/>
        <v>-2.3454453129531458</v>
      </c>
      <c r="K792">
        <f t="shared" si="51"/>
        <v>-2.040762572897596</v>
      </c>
      <c r="M792">
        <v>791</v>
      </c>
      <c r="N792">
        <v>-2.040762572897596</v>
      </c>
    </row>
    <row r="793" spans="1:14">
      <c r="A793">
        <v>792</v>
      </c>
      <c r="B793">
        <v>1246</v>
      </c>
      <c r="C793">
        <v>16105</v>
      </c>
      <c r="D793">
        <v>1769</v>
      </c>
      <c r="E793">
        <v>1757</v>
      </c>
      <c r="G793">
        <f t="shared" si="48"/>
        <v>0.30579986943654935</v>
      </c>
      <c r="H793">
        <f t="shared" si="49"/>
        <v>-0.57411652795027934</v>
      </c>
      <c r="I793">
        <f t="shared" si="50"/>
        <v>-1.3191150391539759</v>
      </c>
      <c r="K793">
        <f t="shared" si="51"/>
        <v>-0.52914389922256866</v>
      </c>
      <c r="M793">
        <v>792</v>
      </c>
      <c r="N793">
        <v>-0.52914389922256866</v>
      </c>
    </row>
    <row r="794" spans="1:14">
      <c r="A794">
        <v>793</v>
      </c>
      <c r="B794">
        <v>1627</v>
      </c>
      <c r="C794">
        <v>511</v>
      </c>
      <c r="D794">
        <v>171</v>
      </c>
      <c r="E794">
        <v>1472</v>
      </c>
      <c r="G794">
        <f t="shared" si="48"/>
        <v>-1.3086094701981561</v>
      </c>
      <c r="H794">
        <f t="shared" si="49"/>
        <v>-1.7047177610815567</v>
      </c>
      <c r="I794">
        <f t="shared" si="50"/>
        <v>-1.5118485012614988</v>
      </c>
      <c r="K794">
        <f t="shared" si="51"/>
        <v>-1.5083919108470705</v>
      </c>
      <c r="M794">
        <v>793</v>
      </c>
      <c r="N794">
        <v>-1.5083919108470705</v>
      </c>
    </row>
    <row r="795" spans="1:14">
      <c r="A795">
        <v>794</v>
      </c>
      <c r="B795">
        <v>1400</v>
      </c>
      <c r="C795">
        <v>679</v>
      </c>
      <c r="D795">
        <v>253</v>
      </c>
      <c r="E795">
        <v>830</v>
      </c>
      <c r="G795">
        <f t="shared" si="48"/>
        <v>-1.1199010787937462</v>
      </c>
      <c r="H795">
        <f t="shared" si="49"/>
        <v>-1.4693338330392718</v>
      </c>
      <c r="I795">
        <f t="shared" si="50"/>
        <v>-1.6954187016282842</v>
      </c>
      <c r="K795">
        <f t="shared" si="51"/>
        <v>-1.4282178711537676</v>
      </c>
      <c r="M795">
        <v>794</v>
      </c>
      <c r="N795">
        <v>-1.4282178711537676</v>
      </c>
    </row>
    <row r="796" spans="1:14">
      <c r="A796">
        <v>795</v>
      </c>
      <c r="B796">
        <v>1593</v>
      </c>
      <c r="C796">
        <v>652</v>
      </c>
      <c r="D796">
        <v>200</v>
      </c>
      <c r="E796">
        <v>264</v>
      </c>
      <c r="G796">
        <f t="shared" si="48"/>
        <v>-1.1936109974652211</v>
      </c>
      <c r="H796">
        <f t="shared" si="49"/>
        <v>-1.6275120986740022</v>
      </c>
      <c r="I796">
        <f t="shared" si="50"/>
        <v>-2.2489806072574203</v>
      </c>
      <c r="K796">
        <f t="shared" si="51"/>
        <v>-1.6900345677988813</v>
      </c>
      <c r="M796">
        <v>795</v>
      </c>
      <c r="N796">
        <v>-1.6900345677988813</v>
      </c>
    </row>
    <row r="797" spans="1:14">
      <c r="A797">
        <v>796</v>
      </c>
      <c r="B797">
        <v>1429</v>
      </c>
      <c r="C797">
        <v>760</v>
      </c>
      <c r="D797">
        <v>124</v>
      </c>
      <c r="E797">
        <v>378</v>
      </c>
      <c r="G797">
        <f t="shared" si="48"/>
        <v>-1.0798614539061888</v>
      </c>
      <c r="H797">
        <f t="shared" si="49"/>
        <v>-1.7879368621655867</v>
      </c>
      <c r="I797">
        <f t="shared" si="50"/>
        <v>-2.0459091872798649</v>
      </c>
      <c r="K797">
        <f t="shared" si="51"/>
        <v>-1.6379025011172132</v>
      </c>
      <c r="M797">
        <v>796</v>
      </c>
      <c r="N797">
        <v>-1.6379025011172132</v>
      </c>
    </row>
    <row r="798" spans="1:14">
      <c r="A798">
        <v>797</v>
      </c>
      <c r="B798">
        <v>1270</v>
      </c>
      <c r="C798">
        <v>567</v>
      </c>
      <c r="D798">
        <v>549</v>
      </c>
      <c r="E798">
        <v>83</v>
      </c>
      <c r="G798">
        <f t="shared" si="48"/>
        <v>-1.1558634794590603</v>
      </c>
      <c r="H798">
        <f t="shared" si="49"/>
        <v>-1.0905576950427167</v>
      </c>
      <c r="I798">
        <f t="shared" si="50"/>
        <v>-2.6530943869060026</v>
      </c>
      <c r="K798">
        <f t="shared" si="51"/>
        <v>-1.6331718538025932</v>
      </c>
      <c r="M798">
        <v>797</v>
      </c>
      <c r="N798">
        <v>-1.6331718538025932</v>
      </c>
    </row>
    <row r="799" spans="1:14">
      <c r="A799">
        <v>798</v>
      </c>
      <c r="B799">
        <v>869</v>
      </c>
      <c r="C799">
        <v>146</v>
      </c>
      <c r="D799">
        <v>266</v>
      </c>
      <c r="E799">
        <v>349</v>
      </c>
      <c r="G799">
        <f t="shared" si="48"/>
        <v>-1.5803097380602393</v>
      </c>
      <c r="H799">
        <f t="shared" si="49"/>
        <v>-1.2404644583544511</v>
      </c>
      <c r="I799">
        <f t="shared" si="50"/>
        <v>-1.8645631078156066</v>
      </c>
      <c r="K799">
        <f t="shared" si="51"/>
        <v>-1.5617791014100988</v>
      </c>
      <c r="M799">
        <v>798</v>
      </c>
      <c r="N799">
        <v>-1.5617791014100988</v>
      </c>
    </row>
    <row r="800" spans="1:14">
      <c r="A800">
        <v>799</v>
      </c>
      <c r="B800">
        <v>953</v>
      </c>
      <c r="C800">
        <v>227</v>
      </c>
      <c r="D800">
        <v>173</v>
      </c>
      <c r="E800">
        <v>67</v>
      </c>
      <c r="G800">
        <f t="shared" si="48"/>
        <v>-1.4287098608412137</v>
      </c>
      <c r="H800">
        <f t="shared" si="49"/>
        <v>-1.4673731160463825</v>
      </c>
      <c r="I800">
        <f t="shared" si="50"/>
        <v>-2.6213868562636202</v>
      </c>
      <c r="K800">
        <f t="shared" si="51"/>
        <v>-1.8391566110504056</v>
      </c>
      <c r="M800">
        <v>799</v>
      </c>
      <c r="N800">
        <v>-1.8391566110504056</v>
      </c>
    </row>
    <row r="801" spans="1:14">
      <c r="A801">
        <v>800</v>
      </c>
      <c r="B801">
        <v>1350</v>
      </c>
      <c r="C801">
        <v>473</v>
      </c>
      <c r="D801">
        <v>83</v>
      </c>
      <c r="E801">
        <v>333</v>
      </c>
      <c r="G801">
        <f t="shared" si="48"/>
        <v>-1.2611154451532045</v>
      </c>
      <c r="H801">
        <f t="shared" si="49"/>
        <v>-1.9375819946557837</v>
      </c>
      <c r="I801">
        <f t="shared" si="50"/>
        <v>-2.0762582933148064</v>
      </c>
      <c r="K801">
        <f t="shared" si="51"/>
        <v>-1.7583185777079315</v>
      </c>
      <c r="M801">
        <v>800</v>
      </c>
      <c r="N801">
        <v>-1.7583185777079315</v>
      </c>
    </row>
    <row r="802" spans="1:14">
      <c r="A802">
        <v>801</v>
      </c>
      <c r="B802">
        <v>1122</v>
      </c>
      <c r="C802">
        <v>80</v>
      </c>
      <c r="D802">
        <v>931</v>
      </c>
      <c r="E802">
        <v>821</v>
      </c>
      <c r="G802">
        <f t="shared" si="48"/>
        <v>-1.9525456873242089</v>
      </c>
      <c r="H802">
        <f t="shared" si="49"/>
        <v>-0.80736949447565176</v>
      </c>
      <c r="I802">
        <f t="shared" si="50"/>
        <v>-1.6040184581268218</v>
      </c>
      <c r="K802">
        <f t="shared" si="51"/>
        <v>-1.4546445466422275</v>
      </c>
      <c r="M802">
        <v>801</v>
      </c>
      <c r="N802">
        <v>-1.4546445466422275</v>
      </c>
    </row>
    <row r="803" spans="1:14">
      <c r="A803">
        <v>802</v>
      </c>
      <c r="B803">
        <v>1209</v>
      </c>
      <c r="C803">
        <v>122</v>
      </c>
      <c r="D803">
        <v>3691</v>
      </c>
      <c r="E803">
        <v>259</v>
      </c>
      <c r="G803">
        <f t="shared" si="48"/>
        <v>-1.8017092875820335</v>
      </c>
      <c r="H803">
        <f t="shared" si="49"/>
        <v>-0.24160857420196641</v>
      </c>
      <c r="I803">
        <f t="shared" si="50"/>
        <v>-2.1374952951056398</v>
      </c>
      <c r="K803">
        <f t="shared" si="51"/>
        <v>-1.3936043856298799</v>
      </c>
      <c r="M803">
        <v>802</v>
      </c>
      <c r="N803">
        <v>-1.3936043856298799</v>
      </c>
    </row>
    <row r="804" spans="1:14">
      <c r="A804">
        <v>803</v>
      </c>
      <c r="B804">
        <v>1209</v>
      </c>
      <c r="C804">
        <v>685</v>
      </c>
      <c r="D804">
        <v>103</v>
      </c>
      <c r="E804">
        <v>283</v>
      </c>
      <c r="G804">
        <f t="shared" si="48"/>
        <v>-1.0523785467643563</v>
      </c>
      <c r="H804">
        <f t="shared" si="49"/>
        <v>-1.7959153946924515</v>
      </c>
      <c r="I804">
        <f t="shared" si="50"/>
        <v>-2.0990086236626015</v>
      </c>
      <c r="K804">
        <f t="shared" si="51"/>
        <v>-1.6491008550398032</v>
      </c>
      <c r="M804">
        <v>803</v>
      </c>
      <c r="N804">
        <v>-1.6491008550398032</v>
      </c>
    </row>
    <row r="805" spans="1:14">
      <c r="A805">
        <v>804</v>
      </c>
      <c r="B805">
        <v>1150</v>
      </c>
      <c r="C805">
        <v>189</v>
      </c>
      <c r="D805">
        <v>185</v>
      </c>
      <c r="E805">
        <v>608</v>
      </c>
      <c r="G805">
        <f t="shared" si="48"/>
        <v>-1.5898788535763775</v>
      </c>
      <c r="H805">
        <f t="shared" si="49"/>
        <v>-1.5198524304874497</v>
      </c>
      <c r="I805">
        <f t="shared" si="50"/>
        <v>-1.7451630194069967</v>
      </c>
      <c r="K805">
        <f t="shared" si="51"/>
        <v>-1.6182981011569411</v>
      </c>
      <c r="M805">
        <v>804</v>
      </c>
      <c r="N805">
        <v>-1.6182981011569411</v>
      </c>
    </row>
    <row r="806" spans="1:14">
      <c r="A806">
        <v>805</v>
      </c>
      <c r="B806">
        <v>1261</v>
      </c>
      <c r="C806">
        <v>740</v>
      </c>
      <c r="D806">
        <v>3348</v>
      </c>
      <c r="E806">
        <v>573</v>
      </c>
      <c r="G806">
        <f t="shared" si="48"/>
        <v>-1.0371261842381154</v>
      </c>
      <c r="H806">
        <f t="shared" si="49"/>
        <v>-0.30225595578871095</v>
      </c>
      <c r="I806">
        <f t="shared" si="50"/>
        <v>-1.8109292229318117</v>
      </c>
      <c r="K806">
        <f t="shared" si="51"/>
        <v>-1.0501037876528794</v>
      </c>
      <c r="M806">
        <v>805</v>
      </c>
      <c r="N806">
        <v>-1.0501037876528794</v>
      </c>
    </row>
    <row r="807" spans="1:14">
      <c r="A807">
        <v>806</v>
      </c>
      <c r="B807">
        <v>1408</v>
      </c>
      <c r="C807">
        <v>1838</v>
      </c>
      <c r="D807">
        <v>575</v>
      </c>
      <c r="E807">
        <v>1349</v>
      </c>
      <c r="G807">
        <f t="shared" si="48"/>
        <v>-0.68989996515201091</v>
      </c>
      <c r="H807">
        <f t="shared" si="49"/>
        <v>-1.1152611286533145</v>
      </c>
      <c r="I807">
        <f t="shared" si="50"/>
        <v>-1.4869594634603092</v>
      </c>
      <c r="K807">
        <f t="shared" si="51"/>
        <v>-1.0973735190885447</v>
      </c>
      <c r="M807">
        <v>806</v>
      </c>
      <c r="N807">
        <v>-1.0973735190885447</v>
      </c>
    </row>
    <row r="808" spans="1:14">
      <c r="A808">
        <v>807</v>
      </c>
      <c r="B808">
        <v>1141</v>
      </c>
      <c r="C808">
        <v>144</v>
      </c>
      <c r="D808">
        <v>419</v>
      </c>
      <c r="E808">
        <v>81</v>
      </c>
      <c r="G808">
        <f t="shared" si="48"/>
        <v>-1.704565969718975</v>
      </c>
      <c r="H808">
        <f t="shared" si="49"/>
        <v>-1.1613979399887711</v>
      </c>
      <c r="I808">
        <f t="shared" si="50"/>
        <v>-2.6171693838656847</v>
      </c>
      <c r="K808">
        <f t="shared" si="51"/>
        <v>-1.8277110978578104</v>
      </c>
      <c r="M808">
        <v>807</v>
      </c>
      <c r="N808">
        <v>-1.8277110978578104</v>
      </c>
    </row>
    <row r="809" spans="1:14">
      <c r="A809">
        <v>808</v>
      </c>
      <c r="B809">
        <v>820</v>
      </c>
      <c r="C809">
        <v>344</v>
      </c>
      <c r="D809">
        <v>153</v>
      </c>
      <c r="E809">
        <v>111</v>
      </c>
      <c r="G809">
        <f t="shared" si="48"/>
        <v>-1.1828982272081965</v>
      </c>
      <c r="H809">
        <f t="shared" si="49"/>
        <v>-1.4554487401029697</v>
      </c>
      <c r="I809">
        <f t="shared" si="50"/>
        <v>-2.3368596319231791</v>
      </c>
      <c r="K809">
        <f t="shared" si="51"/>
        <v>-1.658402199744782</v>
      </c>
      <c r="M809">
        <v>808</v>
      </c>
      <c r="N809">
        <v>-1.658402199744782</v>
      </c>
    </row>
    <row r="810" spans="1:14">
      <c r="A810">
        <v>809</v>
      </c>
      <c r="B810">
        <v>1136</v>
      </c>
      <c r="C810">
        <v>4</v>
      </c>
      <c r="D810">
        <v>25</v>
      </c>
      <c r="E810">
        <v>50</v>
      </c>
      <c r="G810">
        <f t="shared" si="48"/>
        <v>-3.2589611574430473</v>
      </c>
      <c r="H810">
        <f t="shared" si="49"/>
        <v>-2.3837646412398144</v>
      </c>
      <c r="I810">
        <f t="shared" si="50"/>
        <v>-2.8247770853651013</v>
      </c>
      <c r="K810">
        <f t="shared" si="51"/>
        <v>-2.8225009613493213</v>
      </c>
      <c r="M810">
        <v>809</v>
      </c>
      <c r="N810">
        <v>-2.8225009613493213</v>
      </c>
    </row>
    <row r="811" spans="1:14">
      <c r="A811">
        <v>810</v>
      </c>
      <c r="B811">
        <v>1089</v>
      </c>
      <c r="C811">
        <v>235</v>
      </c>
      <c r="D811">
        <v>2100</v>
      </c>
      <c r="E811">
        <v>199</v>
      </c>
      <c r="G811">
        <f t="shared" si="48"/>
        <v>-1.4716028348800485</v>
      </c>
      <c r="H811">
        <f t="shared" si="49"/>
        <v>-0.44113490355870738</v>
      </c>
      <c r="I811">
        <f t="shared" si="50"/>
        <v>-2.2065435616721882</v>
      </c>
      <c r="K811">
        <f t="shared" si="51"/>
        <v>-1.373093766703648</v>
      </c>
      <c r="M811">
        <v>810</v>
      </c>
      <c r="N811">
        <v>-1.373093766703648</v>
      </c>
    </row>
    <row r="812" spans="1:14">
      <c r="A812">
        <v>811</v>
      </c>
      <c r="B812">
        <v>940</v>
      </c>
      <c r="C812">
        <v>1573</v>
      </c>
      <c r="D812">
        <v>34</v>
      </c>
      <c r="E812">
        <v>114</v>
      </c>
      <c r="G812">
        <f t="shared" si="48"/>
        <v>-0.58204194837242174</v>
      </c>
      <c r="H812">
        <f t="shared" si="49"/>
        <v>-2.1679752550942952</v>
      </c>
      <c r="I812">
        <f t="shared" si="50"/>
        <v>-2.3845917605893461</v>
      </c>
      <c r="K812">
        <f t="shared" si="51"/>
        <v>-1.7115363213520212</v>
      </c>
      <c r="M812">
        <v>811</v>
      </c>
      <c r="N812">
        <v>-1.7115363213520212</v>
      </c>
    </row>
    <row r="813" spans="1:14">
      <c r="A813">
        <v>812</v>
      </c>
      <c r="B813">
        <v>1539</v>
      </c>
      <c r="C813">
        <v>1044</v>
      </c>
      <c r="D813">
        <v>2484</v>
      </c>
      <c r="E813">
        <v>657</v>
      </c>
      <c r="G813">
        <f t="shared" si="48"/>
        <v>-0.97418093856124532</v>
      </c>
      <c r="H813">
        <f t="shared" si="49"/>
        <v>-0.51841334686378782</v>
      </c>
      <c r="I813">
        <f t="shared" si="50"/>
        <v>-1.838042008597818</v>
      </c>
      <c r="K813">
        <f t="shared" si="51"/>
        <v>-1.1102120980076171</v>
      </c>
      <c r="M813">
        <v>812</v>
      </c>
      <c r="N813">
        <v>-1.1102120980076171</v>
      </c>
    </row>
    <row r="814" spans="1:14">
      <c r="A814">
        <v>813</v>
      </c>
      <c r="B814">
        <v>1103</v>
      </c>
      <c r="C814">
        <v>1077</v>
      </c>
      <c r="D814">
        <v>311</v>
      </c>
      <c r="E814">
        <v>601</v>
      </c>
      <c r="G814">
        <f t="shared" si="48"/>
        <v>-0.81600262653821898</v>
      </c>
      <c r="H814">
        <f t="shared" si="49"/>
        <v>-1.2761414419502048</v>
      </c>
      <c r="I814">
        <f t="shared" si="50"/>
        <v>-1.7320697987635711</v>
      </c>
      <c r="K814">
        <f t="shared" si="51"/>
        <v>-1.2747379557506651</v>
      </c>
      <c r="M814">
        <v>813</v>
      </c>
      <c r="N814">
        <v>-1.2747379557506651</v>
      </c>
    </row>
    <row r="815" spans="1:14">
      <c r="A815">
        <v>814</v>
      </c>
      <c r="B815">
        <v>1118</v>
      </c>
      <c r="C815">
        <v>332</v>
      </c>
      <c r="D815">
        <v>70</v>
      </c>
      <c r="E815">
        <v>277</v>
      </c>
      <c r="G815">
        <f t="shared" si="48"/>
        <v>-1.3329465372423781</v>
      </c>
      <c r="H815">
        <f t="shared" si="49"/>
        <v>-1.9296700820729993</v>
      </c>
      <c r="I815">
        <f t="shared" si="50"/>
        <v>-2.0743307928120758</v>
      </c>
      <c r="K815">
        <f t="shared" si="51"/>
        <v>-1.7789824707091508</v>
      </c>
      <c r="M815">
        <v>814</v>
      </c>
      <c r="N815">
        <v>-1.7789824707091508</v>
      </c>
    </row>
    <row r="816" spans="1:14">
      <c r="A816">
        <v>815</v>
      </c>
      <c r="B816">
        <v>1664</v>
      </c>
      <c r="C816">
        <v>270</v>
      </c>
      <c r="D816">
        <v>656</v>
      </c>
      <c r="E816">
        <v>658</v>
      </c>
      <c r="G816">
        <f t="shared" si="48"/>
        <v>-1.5954323751917276</v>
      </c>
      <c r="H816">
        <f t="shared" si="49"/>
        <v>-1.1305758011158966</v>
      </c>
      <c r="I816">
        <f t="shared" si="50"/>
        <v>-1.8712961866668696</v>
      </c>
      <c r="K816">
        <f t="shared" si="51"/>
        <v>-1.5324347876581648</v>
      </c>
      <c r="M816">
        <v>815</v>
      </c>
      <c r="N816">
        <v>-1.5324347876581648</v>
      </c>
    </row>
    <row r="817" spans="1:14">
      <c r="A817">
        <v>816</v>
      </c>
      <c r="B817">
        <v>773</v>
      </c>
      <c r="C817">
        <v>195</v>
      </c>
      <c r="D817">
        <v>813</v>
      </c>
      <c r="E817">
        <v>136</v>
      </c>
      <c r="G817">
        <f t="shared" si="48"/>
        <v>-1.4037876999518168</v>
      </c>
      <c r="H817">
        <f t="shared" si="49"/>
        <v>-0.70441526686110845</v>
      </c>
      <c r="I817">
        <f t="shared" si="50"/>
        <v>-2.2230093438742271</v>
      </c>
      <c r="K817">
        <f t="shared" si="51"/>
        <v>-1.4437374368957174</v>
      </c>
      <c r="M817">
        <v>816</v>
      </c>
      <c r="N817">
        <v>-1.4437374368957174</v>
      </c>
    </row>
    <row r="818" spans="1:14">
      <c r="A818">
        <v>817</v>
      </c>
      <c r="B818">
        <v>807</v>
      </c>
      <c r="C818">
        <v>73</v>
      </c>
      <c r="D818">
        <v>121</v>
      </c>
      <c r="E818">
        <v>63</v>
      </c>
      <c r="G818">
        <f t="shared" si="48"/>
        <v>-1.8491934919976245</v>
      </c>
      <c r="H818">
        <f t="shared" si="49"/>
        <v>-1.5504144829424722</v>
      </c>
      <c r="I818">
        <f t="shared" si="50"/>
        <v>-2.575901743594609</v>
      </c>
      <c r="K818">
        <f t="shared" si="51"/>
        <v>-1.9918365728449021</v>
      </c>
      <c r="M818">
        <v>817</v>
      </c>
      <c r="N818">
        <v>-1.9918365728449021</v>
      </c>
    </row>
    <row r="819" spans="1:14">
      <c r="A819">
        <v>818</v>
      </c>
      <c r="B819">
        <v>911</v>
      </c>
      <c r="C819">
        <v>219</v>
      </c>
      <c r="D819">
        <v>2401</v>
      </c>
      <c r="E819">
        <v>685</v>
      </c>
      <c r="G819">
        <f t="shared" si="48"/>
        <v>-1.4247170795288899</v>
      </c>
      <c r="H819">
        <f t="shared" si="49"/>
        <v>-0.30545253545282264</v>
      </c>
      <c r="I819">
        <f t="shared" si="50"/>
        <v>-1.5921965638066926</v>
      </c>
      <c r="K819">
        <f t="shared" si="51"/>
        <v>-1.1074553929294684</v>
      </c>
      <c r="M819">
        <v>818</v>
      </c>
      <c r="N819">
        <v>-1.1074553929294684</v>
      </c>
    </row>
    <row r="820" spans="1:14">
      <c r="A820">
        <v>819</v>
      </c>
      <c r="B820">
        <v>1169</v>
      </c>
      <c r="C820">
        <v>647</v>
      </c>
      <c r="D820">
        <v>91</v>
      </c>
      <c r="E820">
        <v>135</v>
      </c>
      <c r="G820">
        <f t="shared" si="48"/>
        <v>-1.0625530478891496</v>
      </c>
      <c r="H820">
        <f t="shared" si="49"/>
        <v>-1.8350994373775982</v>
      </c>
      <c r="I820">
        <f t="shared" si="50"/>
        <v>-2.4058495009929541</v>
      </c>
      <c r="K820">
        <f t="shared" si="51"/>
        <v>-1.7678339954199007</v>
      </c>
      <c r="M820">
        <v>819</v>
      </c>
      <c r="N820">
        <v>-1.7678339954199007</v>
      </c>
    </row>
    <row r="821" spans="1:14">
      <c r="A821">
        <v>820</v>
      </c>
      <c r="B821">
        <v>1342</v>
      </c>
      <c r="C821">
        <v>901</v>
      </c>
      <c r="D821">
        <v>133</v>
      </c>
      <c r="E821">
        <v>499</v>
      </c>
      <c r="G821">
        <f t="shared" si="48"/>
        <v>-0.97867054224992023</v>
      </c>
      <c r="H821">
        <f t="shared" si="49"/>
        <v>-1.7302271934027393</v>
      </c>
      <c r="I821">
        <f t="shared" si="50"/>
        <v>-1.8980207285357034</v>
      </c>
      <c r="K821">
        <f t="shared" si="51"/>
        <v>-1.5356394880627875</v>
      </c>
      <c r="M821">
        <v>820</v>
      </c>
      <c r="N821">
        <v>-1.5356394880627875</v>
      </c>
    </row>
    <row r="822" spans="1:14">
      <c r="A822">
        <v>821</v>
      </c>
      <c r="B822">
        <v>1290</v>
      </c>
      <c r="C822">
        <v>76</v>
      </c>
      <c r="D822">
        <v>38581</v>
      </c>
      <c r="E822">
        <v>128</v>
      </c>
      <c r="G822">
        <f t="shared" si="48"/>
        <v>-2.0354189354144676</v>
      </c>
      <c r="H822">
        <f t="shared" si="49"/>
        <v>0.7494574513108917</v>
      </c>
      <c r="I822">
        <f t="shared" si="50"/>
        <v>-2.4717484989775009</v>
      </c>
      <c r="K822">
        <f t="shared" si="51"/>
        <v>-1.252569994360359</v>
      </c>
      <c r="M822">
        <v>821</v>
      </c>
      <c r="N822">
        <v>-1.252569994360359</v>
      </c>
    </row>
    <row r="823" spans="1:14">
      <c r="A823">
        <v>822</v>
      </c>
      <c r="B823">
        <v>1107</v>
      </c>
      <c r="C823">
        <v>171</v>
      </c>
      <c r="D823">
        <v>111</v>
      </c>
      <c r="E823">
        <v>211</v>
      </c>
      <c r="G823">
        <f t="shared" si="48"/>
        <v>-1.6167943278825789</v>
      </c>
      <c r="H823">
        <f t="shared" si="49"/>
        <v>-1.725150960628917</v>
      </c>
      <c r="I823">
        <f t="shared" si="50"/>
        <v>-2.1882339239071502</v>
      </c>
      <c r="K823">
        <f t="shared" si="51"/>
        <v>-1.8433930708062156</v>
      </c>
      <c r="M823">
        <v>822</v>
      </c>
      <c r="N823">
        <v>-1.8433930708062156</v>
      </c>
    </row>
    <row r="824" spans="1:14">
      <c r="A824">
        <v>823</v>
      </c>
      <c r="B824">
        <v>1278</v>
      </c>
      <c r="C824">
        <v>99</v>
      </c>
      <c r="D824">
        <v>610</v>
      </c>
      <c r="E824">
        <v>2208</v>
      </c>
      <c r="G824">
        <f t="shared" si="48"/>
        <v>-1.9165384766208415</v>
      </c>
      <c r="H824">
        <f t="shared" si="49"/>
        <v>-1.0475273373484661</v>
      </c>
      <c r="I824">
        <f t="shared" si="50"/>
        <v>-1.23090054309134</v>
      </c>
      <c r="K824">
        <f t="shared" si="51"/>
        <v>-1.398322119020216</v>
      </c>
      <c r="M824">
        <v>823</v>
      </c>
      <c r="N824">
        <v>-1.398322119020216</v>
      </c>
    </row>
    <row r="825" spans="1:14">
      <c r="A825">
        <v>824</v>
      </c>
      <c r="B825">
        <v>942</v>
      </c>
      <c r="C825">
        <v>186</v>
      </c>
      <c r="D825">
        <v>95</v>
      </c>
      <c r="E825">
        <v>58</v>
      </c>
      <c r="G825">
        <f t="shared" si="48"/>
        <v>-1.5101807759709711</v>
      </c>
      <c r="H825">
        <f t="shared" si="49"/>
        <v>-1.7226536160408812</v>
      </c>
      <c r="I825">
        <f t="shared" si="50"/>
        <v>-2.6789916675560601</v>
      </c>
      <c r="K825">
        <f t="shared" si="51"/>
        <v>-1.9706086865226375</v>
      </c>
      <c r="M825">
        <v>824</v>
      </c>
      <c r="N825">
        <v>-1.9706086865226375</v>
      </c>
    </row>
    <row r="826" spans="1:14">
      <c r="A826">
        <v>825</v>
      </c>
      <c r="B826">
        <v>1214</v>
      </c>
      <c r="C826">
        <v>115</v>
      </c>
      <c r="D826">
        <v>449</v>
      </c>
      <c r="E826">
        <v>211</v>
      </c>
      <c r="G826">
        <f t="shared" si="48"/>
        <v>-1.8291636637816371</v>
      </c>
      <c r="H826">
        <f t="shared" si="49"/>
        <v>-1.1582986642727673</v>
      </c>
      <c r="I826">
        <f t="shared" si="50"/>
        <v>-2.2283049897676661</v>
      </c>
      <c r="K826">
        <f t="shared" si="51"/>
        <v>-1.7385891059406902</v>
      </c>
      <c r="M826">
        <v>825</v>
      </c>
      <c r="N826">
        <v>-1.7385891059406902</v>
      </c>
    </row>
    <row r="827" spans="1:14">
      <c r="A827">
        <v>826</v>
      </c>
      <c r="B827">
        <v>1074</v>
      </c>
      <c r="C827">
        <v>90</v>
      </c>
      <c r="D827">
        <v>86</v>
      </c>
      <c r="E827">
        <v>605</v>
      </c>
      <c r="G827">
        <f t="shared" si="48"/>
        <v>-1.8824045893202219</v>
      </c>
      <c r="H827">
        <f t="shared" si="49"/>
        <v>-1.8228321486568206</v>
      </c>
      <c r="I827">
        <f t="shared" si="50"/>
        <v>-1.7176176650371879</v>
      </c>
      <c r="K827">
        <f t="shared" si="51"/>
        <v>-1.8076181343380766</v>
      </c>
      <c r="M827">
        <v>826</v>
      </c>
      <c r="N827">
        <v>-1.8076181343380766</v>
      </c>
    </row>
    <row r="828" spans="1:14">
      <c r="A828">
        <v>827</v>
      </c>
      <c r="B828">
        <v>1529</v>
      </c>
      <c r="C828">
        <v>188</v>
      </c>
      <c r="D828">
        <v>233</v>
      </c>
      <c r="E828">
        <v>720</v>
      </c>
      <c r="G828">
        <f t="shared" si="48"/>
        <v>-1.7158924535446503</v>
      </c>
      <c r="H828">
        <f t="shared" si="49"/>
        <v>-1.5433778829231528</v>
      </c>
      <c r="I828">
        <f t="shared" si="50"/>
        <v>-1.7954437473071716</v>
      </c>
      <c r="K828">
        <f t="shared" si="51"/>
        <v>-1.6849046945916581</v>
      </c>
      <c r="M828">
        <v>827</v>
      </c>
      <c r="N828">
        <v>-1.6849046945916581</v>
      </c>
    </row>
    <row r="829" spans="1:14">
      <c r="A829">
        <v>828</v>
      </c>
      <c r="B829">
        <v>989</v>
      </c>
      <c r="C829">
        <v>112</v>
      </c>
      <c r="D829">
        <v>77</v>
      </c>
      <c r="E829">
        <v>1218</v>
      </c>
      <c r="G829">
        <f t="shared" si="48"/>
        <v>-1.7516210863230077</v>
      </c>
      <c r="H829">
        <f t="shared" si="49"/>
        <v>-1.8350318849615492</v>
      </c>
      <c r="I829">
        <f t="shared" si="50"/>
        <v>-1.3779177616264429</v>
      </c>
      <c r="K829">
        <f t="shared" si="51"/>
        <v>-1.6548569109703333</v>
      </c>
      <c r="M829">
        <v>828</v>
      </c>
      <c r="N829">
        <v>-1.6548569109703333</v>
      </c>
    </row>
    <row r="830" spans="1:14">
      <c r="A830">
        <v>829</v>
      </c>
      <c r="B830">
        <v>974</v>
      </c>
      <c r="C830">
        <v>689</v>
      </c>
      <c r="D830">
        <v>907</v>
      </c>
      <c r="E830">
        <v>174</v>
      </c>
      <c r="G830">
        <f t="shared" si="48"/>
        <v>-0.95598255236699969</v>
      </c>
      <c r="H830">
        <f t="shared" si="49"/>
        <v>-0.75727798835537197</v>
      </c>
      <c r="I830">
        <f t="shared" si="50"/>
        <v>-2.2163784669221358</v>
      </c>
      <c r="K830">
        <f t="shared" si="51"/>
        <v>-1.3098796692148358</v>
      </c>
      <c r="M830">
        <v>829</v>
      </c>
      <c r="N830">
        <v>-1.3098796692148358</v>
      </c>
    </row>
    <row r="831" spans="1:14">
      <c r="A831">
        <v>830</v>
      </c>
      <c r="B831">
        <v>1471</v>
      </c>
      <c r="C831">
        <v>392</v>
      </c>
      <c r="D831">
        <v>77</v>
      </c>
      <c r="E831">
        <v>186</v>
      </c>
      <c r="G831">
        <f t="shared" si="48"/>
        <v>-1.3799694231030828</v>
      </c>
      <c r="H831">
        <f t="shared" si="49"/>
        <v>-2.0074482660918997</v>
      </c>
      <c r="I831">
        <f t="shared" si="50"/>
        <v>-2.3664684868357337</v>
      </c>
      <c r="K831">
        <f t="shared" si="51"/>
        <v>-1.9179620586769055</v>
      </c>
      <c r="M831">
        <v>830</v>
      </c>
      <c r="N831">
        <v>-1.9179620586769055</v>
      </c>
    </row>
    <row r="832" spans="1:14">
      <c r="A832">
        <v>831</v>
      </c>
      <c r="B832">
        <v>1599</v>
      </c>
      <c r="C832">
        <v>263</v>
      </c>
      <c r="D832">
        <v>170</v>
      </c>
      <c r="E832">
        <v>282</v>
      </c>
      <c r="G832">
        <f t="shared" si="48"/>
        <v>-1.5895355326524867</v>
      </c>
      <c r="H832">
        <f t="shared" si="49"/>
        <v>-1.6997258609048125</v>
      </c>
      <c r="I832">
        <f t="shared" si="50"/>
        <v>-2.2219681137529936</v>
      </c>
      <c r="K832">
        <f t="shared" si="51"/>
        <v>-1.8370765024367646</v>
      </c>
      <c r="M832">
        <v>831</v>
      </c>
      <c r="N832">
        <v>-1.8370765024367646</v>
      </c>
    </row>
    <row r="833" spans="1:14">
      <c r="A833">
        <v>832</v>
      </c>
      <c r="B833">
        <v>888</v>
      </c>
      <c r="C833">
        <v>102</v>
      </c>
      <c r="D833">
        <v>80</v>
      </c>
      <c r="E833">
        <v>101</v>
      </c>
      <c r="G833">
        <f t="shared" si="48"/>
        <v>-1.7454556114126933</v>
      </c>
      <c r="H833">
        <f t="shared" si="49"/>
        <v>-1.771649297323509</v>
      </c>
      <c r="I833">
        <f t="shared" si="50"/>
        <v>-2.4124603503220783</v>
      </c>
      <c r="K833">
        <f t="shared" si="51"/>
        <v>-1.976521753019427</v>
      </c>
      <c r="M833">
        <v>832</v>
      </c>
      <c r="N833">
        <v>-1.976521753019427</v>
      </c>
    </row>
    <row r="834" spans="1:14">
      <c r="A834">
        <v>833</v>
      </c>
      <c r="B834">
        <v>1097</v>
      </c>
      <c r="C834">
        <v>72</v>
      </c>
      <c r="D834">
        <v>33</v>
      </c>
      <c r="E834">
        <v>311</v>
      </c>
      <c r="G834">
        <f t="shared" si="48"/>
        <v>-1.9885169485394527</v>
      </c>
      <c r="H834">
        <f t="shared" si="49"/>
        <v>-2.2480190062336756</v>
      </c>
      <c r="I834">
        <f t="shared" si="50"/>
        <v>-2.0158149968739938</v>
      </c>
      <c r="K834">
        <f t="shared" si="51"/>
        <v>-2.0841169838823741</v>
      </c>
      <c r="M834">
        <v>833</v>
      </c>
      <c r="N834">
        <v>-2.0841169838823741</v>
      </c>
    </row>
    <row r="835" spans="1:14">
      <c r="A835">
        <v>834</v>
      </c>
      <c r="B835">
        <v>1217</v>
      </c>
      <c r="C835">
        <v>259</v>
      </c>
      <c r="D835">
        <v>652</v>
      </c>
      <c r="E835">
        <v>442</v>
      </c>
      <c r="G835">
        <f t="shared" ref="G835:G898" si="52">LOG10(C835/B835)-LOG10(151582/23714)</f>
        <v>-1.4776336315448231</v>
      </c>
      <c r="H835">
        <f t="shared" ref="H835:H898" si="53">LOG10(D835/B835)-LOG10(126279/23714)</f>
        <v>-0.99736930103499644</v>
      </c>
      <c r="I835">
        <f t="shared" ref="I835:I898" si="54">LOG10(E835/B835)-LOG10(697226/23714)</f>
        <v>-1.908237067207093</v>
      </c>
      <c r="K835">
        <f t="shared" ref="K835:K898" si="55">AVERAGE(G835:I835)</f>
        <v>-1.4610799999289708</v>
      </c>
      <c r="M835">
        <v>834</v>
      </c>
      <c r="N835">
        <v>-1.4610799999289708</v>
      </c>
    </row>
    <row r="836" spans="1:14">
      <c r="A836">
        <v>835</v>
      </c>
      <c r="B836">
        <v>688</v>
      </c>
      <c r="C836">
        <v>188</v>
      </c>
      <c r="D836">
        <v>661</v>
      </c>
      <c r="E836">
        <v>651</v>
      </c>
      <c r="G836">
        <f t="shared" si="52"/>
        <v>-1.3690734063678414</v>
      </c>
      <c r="H836">
        <f t="shared" si="53"/>
        <v>-0.74371329728672275</v>
      </c>
      <c r="I836">
        <f t="shared" si="54"/>
        <v>-1.4923762079934393</v>
      </c>
      <c r="K836">
        <f t="shared" si="55"/>
        <v>-1.2017209705493344</v>
      </c>
      <c r="M836">
        <v>835</v>
      </c>
      <c r="N836">
        <v>-1.2017209705493344</v>
      </c>
    </row>
    <row r="837" spans="1:14">
      <c r="A837">
        <v>836</v>
      </c>
      <c r="B837">
        <v>1016</v>
      </c>
      <c r="C837">
        <v>417</v>
      </c>
      <c r="D837">
        <v>238</v>
      </c>
      <c r="E837">
        <v>124</v>
      </c>
      <c r="G837">
        <f t="shared" si="52"/>
        <v>-1.192400470370153</v>
      </c>
      <c r="H837">
        <f t="shared" si="53"/>
        <v>-1.3566430694282401</v>
      </c>
      <c r="I837">
        <f t="shared" si="54"/>
        <v>-2.3818407811117854</v>
      </c>
      <c r="K837">
        <f t="shared" si="55"/>
        <v>-1.6436281069700593</v>
      </c>
      <c r="M837">
        <v>836</v>
      </c>
      <c r="N837">
        <v>-1.6436281069700593</v>
      </c>
    </row>
    <row r="838" spans="1:14">
      <c r="A838">
        <v>837</v>
      </c>
      <c r="B838">
        <v>1633</v>
      </c>
      <c r="C838">
        <v>1332</v>
      </c>
      <c r="D838">
        <v>1040</v>
      </c>
      <c r="E838">
        <v>756</v>
      </c>
      <c r="G838">
        <f t="shared" si="52"/>
        <v>-0.8941247772983959</v>
      </c>
      <c r="H838">
        <f t="shared" si="53"/>
        <v>-0.92227916397473952</v>
      </c>
      <c r="I838">
        <f t="shared" si="54"/>
        <v>-1.8028331475615818</v>
      </c>
      <c r="K838">
        <f t="shared" si="55"/>
        <v>-1.2064123629449057</v>
      </c>
      <c r="M838">
        <v>837</v>
      </c>
      <c r="N838">
        <v>-1.2064123629449057</v>
      </c>
    </row>
    <row r="839" spans="1:14">
      <c r="A839">
        <v>838</v>
      </c>
      <c r="B839">
        <v>703</v>
      </c>
      <c r="C839">
        <v>47</v>
      </c>
      <c r="D839">
        <v>121</v>
      </c>
      <c r="E839">
        <v>49</v>
      </c>
      <c r="G839">
        <f t="shared" si="52"/>
        <v>-1.9805002844801165</v>
      </c>
      <c r="H839">
        <f t="shared" si="53"/>
        <v>-1.4904962732402256</v>
      </c>
      <c r="I839">
        <f t="shared" si="54"/>
        <v>-2.62512800331743</v>
      </c>
      <c r="K839">
        <f t="shared" si="55"/>
        <v>-2.0320415203459241</v>
      </c>
      <c r="M839">
        <v>838</v>
      </c>
      <c r="N839">
        <v>-2.0320415203459241</v>
      </c>
    </row>
    <row r="840" spans="1:14">
      <c r="A840">
        <v>839</v>
      </c>
      <c r="B840">
        <v>911</v>
      </c>
      <c r="C840">
        <v>47</v>
      </c>
      <c r="D840">
        <v>35</v>
      </c>
      <c r="E840">
        <v>57</v>
      </c>
      <c r="G840">
        <f t="shared" si="52"/>
        <v>-2.0930633364332909</v>
      </c>
      <c r="H840">
        <f t="shared" si="53"/>
        <v>-2.1417766511595744</v>
      </c>
      <c r="I840">
        <f t="shared" si="54"/>
        <v>-2.6720122796266268</v>
      </c>
      <c r="K840">
        <f t="shared" si="55"/>
        <v>-2.3022840890731637</v>
      </c>
      <c r="M840">
        <v>839</v>
      </c>
      <c r="N840">
        <v>-2.3022840890731637</v>
      </c>
    </row>
    <row r="841" spans="1:14">
      <c r="A841">
        <v>840</v>
      </c>
      <c r="B841">
        <v>435</v>
      </c>
      <c r="C841">
        <v>32</v>
      </c>
      <c r="D841">
        <v>23</v>
      </c>
      <c r="E841">
        <v>504</v>
      </c>
      <c r="G841">
        <f t="shared" si="52"/>
        <v>-1.9389820960307413</v>
      </c>
      <c r="H841">
        <f t="shared" si="53"/>
        <v>-2.0030877394738962</v>
      </c>
      <c r="I841">
        <f t="shared" si="54"/>
        <v>-1.404427478835232</v>
      </c>
      <c r="K841">
        <f t="shared" si="55"/>
        <v>-1.782165771446623</v>
      </c>
      <c r="M841">
        <v>840</v>
      </c>
      <c r="N841">
        <v>-1.782165771446623</v>
      </c>
    </row>
    <row r="842" spans="1:14">
      <c r="A842">
        <v>841</v>
      </c>
      <c r="B842">
        <v>1709</v>
      </c>
      <c r="C842">
        <v>446</v>
      </c>
      <c r="D842">
        <v>141</v>
      </c>
      <c r="E842">
        <v>180</v>
      </c>
      <c r="G842">
        <f t="shared" si="52"/>
        <v>-1.3890500214046049</v>
      </c>
      <c r="H842">
        <f t="shared" si="53"/>
        <v>-1.8098492686022087</v>
      </c>
      <c r="I842">
        <f t="shared" si="54"/>
        <v>-2.4458383159435506</v>
      </c>
      <c r="K842">
        <f t="shared" si="55"/>
        <v>-1.881579201983455</v>
      </c>
      <c r="M842">
        <v>841</v>
      </c>
      <c r="N842">
        <v>-1.881579201983455</v>
      </c>
    </row>
    <row r="843" spans="1:14">
      <c r="A843">
        <v>842</v>
      </c>
      <c r="B843">
        <v>1326</v>
      </c>
      <c r="C843">
        <v>277</v>
      </c>
      <c r="D843">
        <v>636</v>
      </c>
      <c r="E843">
        <v>148</v>
      </c>
      <c r="G843">
        <f t="shared" si="52"/>
        <v>-1.4857065724003156</v>
      </c>
      <c r="H843">
        <f t="shared" si="53"/>
        <v>-1.045412726957192</v>
      </c>
      <c r="I843">
        <f t="shared" si="54"/>
        <v>-2.420650566999917</v>
      </c>
      <c r="K843">
        <f t="shared" si="55"/>
        <v>-1.6505899554524748</v>
      </c>
      <c r="M843">
        <v>842</v>
      </c>
      <c r="N843">
        <v>-1.6505899554524748</v>
      </c>
    </row>
    <row r="844" spans="1:14">
      <c r="A844">
        <v>843</v>
      </c>
      <c r="B844">
        <v>1393</v>
      </c>
      <c r="C844">
        <v>146</v>
      </c>
      <c r="D844">
        <v>491</v>
      </c>
      <c r="E844">
        <v>315</v>
      </c>
      <c r="G844">
        <f t="shared" si="52"/>
        <v>-1.7852410780355363</v>
      </c>
      <c r="H844">
        <f t="shared" si="53"/>
        <v>-1.1791959428378467</v>
      </c>
      <c r="I844">
        <f t="shared" si="54"/>
        <v>-2.1140093209604829</v>
      </c>
      <c r="K844">
        <f t="shared" si="55"/>
        <v>-1.6928154472779553</v>
      </c>
      <c r="M844">
        <v>843</v>
      </c>
      <c r="N844">
        <v>-1.6928154472779553</v>
      </c>
    </row>
    <row r="845" spans="1:14">
      <c r="A845">
        <v>844</v>
      </c>
      <c r="B845">
        <v>1437</v>
      </c>
      <c r="C845">
        <v>445</v>
      </c>
      <c r="D845">
        <v>62</v>
      </c>
      <c r="E845">
        <v>176</v>
      </c>
      <c r="G845">
        <f t="shared" si="52"/>
        <v>-1.314739574549304</v>
      </c>
      <c r="H845">
        <f t="shared" si="53"/>
        <v>-2.0913913971728233</v>
      </c>
      <c r="I845">
        <f t="shared" si="54"/>
        <v>-2.3803128586461959</v>
      </c>
      <c r="K845">
        <f t="shared" si="55"/>
        <v>-1.9288146101227746</v>
      </c>
      <c r="M845">
        <v>844</v>
      </c>
      <c r="N845">
        <v>-1.9288146101227746</v>
      </c>
    </row>
    <row r="846" spans="1:14">
      <c r="A846">
        <v>845</v>
      </c>
      <c r="B846">
        <v>726</v>
      </c>
      <c r="C846">
        <v>5037</v>
      </c>
      <c r="D846">
        <v>56</v>
      </c>
      <c r="E846">
        <v>208</v>
      </c>
      <c r="G846">
        <f t="shared" si="52"/>
        <v>3.5592512761607575E-2</v>
      </c>
      <c r="H846">
        <f t="shared" si="53"/>
        <v>-1.8390749122307448</v>
      </c>
      <c r="I846">
        <f t="shared" si="54"/>
        <v>-2.0112420440634522</v>
      </c>
      <c r="K846">
        <f t="shared" si="55"/>
        <v>-1.2715748145108632</v>
      </c>
      <c r="M846">
        <v>845</v>
      </c>
      <c r="N846">
        <v>-1.2715748145108632</v>
      </c>
    </row>
    <row r="847" spans="1:14">
      <c r="A847">
        <v>846</v>
      </c>
      <c r="B847">
        <v>855</v>
      </c>
      <c r="C847">
        <v>425</v>
      </c>
      <c r="D847">
        <v>170</v>
      </c>
      <c r="E847">
        <v>69</v>
      </c>
      <c r="G847">
        <f t="shared" si="52"/>
        <v>-1.1092200020738709</v>
      </c>
      <c r="H847">
        <f t="shared" si="53"/>
        <v>-1.4278435118867505</v>
      </c>
      <c r="I847">
        <f t="shared" si="54"/>
        <v>-2.5614857823170372</v>
      </c>
      <c r="K847">
        <f t="shared" si="55"/>
        <v>-1.6995164320925529</v>
      </c>
      <c r="M847">
        <v>846</v>
      </c>
      <c r="N847">
        <v>-1.6995164320925529</v>
      </c>
    </row>
    <row r="848" spans="1:14">
      <c r="A848">
        <v>847</v>
      </c>
      <c r="B848">
        <v>800</v>
      </c>
      <c r="C848">
        <v>361</v>
      </c>
      <c r="D848">
        <v>199</v>
      </c>
      <c r="E848">
        <v>684</v>
      </c>
      <c r="G848">
        <f t="shared" si="52"/>
        <v>-1.1512256024822958</v>
      </c>
      <c r="H848">
        <f t="shared" si="53"/>
        <v>-1.3305632291190888</v>
      </c>
      <c r="I848">
        <f t="shared" si="54"/>
        <v>-1.5364026435979474</v>
      </c>
      <c r="K848">
        <f t="shared" si="55"/>
        <v>-1.3393971583997775</v>
      </c>
      <c r="M848">
        <v>847</v>
      </c>
      <c r="N848">
        <v>-1.3393971583997775</v>
      </c>
    </row>
    <row r="849" spans="1:14">
      <c r="A849">
        <v>848</v>
      </c>
      <c r="B849">
        <v>1298</v>
      </c>
      <c r="C849">
        <v>1209</v>
      </c>
      <c r="D849">
        <v>775</v>
      </c>
      <c r="E849">
        <v>341</v>
      </c>
      <c r="G849">
        <f t="shared" si="52"/>
        <v>-0.83649120899958851</v>
      </c>
      <c r="H849">
        <f t="shared" si="53"/>
        <v>-0.95029930849489186</v>
      </c>
      <c r="I849">
        <f t="shared" si="54"/>
        <v>-2.0488890717979729</v>
      </c>
      <c r="K849">
        <f t="shared" si="55"/>
        <v>-1.2785598630974844</v>
      </c>
      <c r="M849">
        <v>848</v>
      </c>
      <c r="N849">
        <v>-1.2785598630974844</v>
      </c>
    </row>
    <row r="850" spans="1:14">
      <c r="A850">
        <v>849</v>
      </c>
      <c r="B850">
        <v>1351</v>
      </c>
      <c r="C850">
        <v>538</v>
      </c>
      <c r="D850">
        <v>440</v>
      </c>
      <c r="E850">
        <v>2200</v>
      </c>
      <c r="G850">
        <f t="shared" si="52"/>
        <v>-1.2055158907516514</v>
      </c>
      <c r="H850">
        <f t="shared" si="53"/>
        <v>-1.2135289910726947</v>
      </c>
      <c r="I850">
        <f t="shared" si="54"/>
        <v>-1.2566014265259444</v>
      </c>
      <c r="K850">
        <f t="shared" si="55"/>
        <v>-1.2252154361167635</v>
      </c>
      <c r="M850">
        <v>849</v>
      </c>
      <c r="N850">
        <v>-1.2252154361167635</v>
      </c>
    </row>
    <row r="851" spans="1:14">
      <c r="A851">
        <v>850</v>
      </c>
      <c r="B851">
        <v>836</v>
      </c>
      <c r="C851">
        <v>143</v>
      </c>
      <c r="D851">
        <v>64596</v>
      </c>
      <c r="E851">
        <v>103</v>
      </c>
      <c r="G851">
        <f t="shared" si="52"/>
        <v>-1.5725130573699646</v>
      </c>
      <c r="H851">
        <f t="shared" si="53"/>
        <v>1.1616730298874445</v>
      </c>
      <c r="I851">
        <f t="shared" si="54"/>
        <v>-2.3777378110599643</v>
      </c>
      <c r="K851">
        <f t="shared" si="55"/>
        <v>-0.92952594618082818</v>
      </c>
      <c r="M851">
        <v>850</v>
      </c>
      <c r="N851">
        <v>-0.92952594618082818</v>
      </c>
    </row>
    <row r="852" spans="1:14">
      <c r="A852">
        <v>851</v>
      </c>
      <c r="B852">
        <v>912</v>
      </c>
      <c r="C852">
        <v>70</v>
      </c>
      <c r="D852">
        <v>56</v>
      </c>
      <c r="E852">
        <v>335</v>
      </c>
      <c r="G852">
        <f t="shared" si="52"/>
        <v>-1.9205396157101693</v>
      </c>
      <c r="H852">
        <f t="shared" si="53"/>
        <v>-1.9381331298590676</v>
      </c>
      <c r="I852">
        <f t="shared" si="54"/>
        <v>-1.9033187896176909</v>
      </c>
      <c r="K852">
        <f t="shared" si="55"/>
        <v>-1.9206638450623092</v>
      </c>
      <c r="M852">
        <v>851</v>
      </c>
      <c r="N852">
        <v>-1.9206638450623092</v>
      </c>
    </row>
    <row r="853" spans="1:14">
      <c r="A853">
        <v>852</v>
      </c>
      <c r="B853">
        <v>720</v>
      </c>
      <c r="C853">
        <v>237</v>
      </c>
      <c r="D853">
        <v>45</v>
      </c>
      <c r="E853">
        <v>140</v>
      </c>
      <c r="G853">
        <f t="shared" si="52"/>
        <v>-1.2882269678171745</v>
      </c>
      <c r="H853">
        <f t="shared" si="53"/>
        <v>-1.9304463011927764</v>
      </c>
      <c r="I853">
        <f t="shared" si="54"/>
        <v>-2.1795732190791504</v>
      </c>
      <c r="K853">
        <f t="shared" si="55"/>
        <v>-1.7994154960297006</v>
      </c>
      <c r="M853">
        <v>852</v>
      </c>
      <c r="N853">
        <v>-1.7994154960297006</v>
      </c>
    </row>
    <row r="854" spans="1:14">
      <c r="A854">
        <v>853</v>
      </c>
      <c r="B854">
        <v>1137</v>
      </c>
      <c r="C854">
        <v>448</v>
      </c>
      <c r="D854">
        <v>166</v>
      </c>
      <c r="E854">
        <v>2136</v>
      </c>
      <c r="G854">
        <f t="shared" si="52"/>
        <v>-1.2101252680856007</v>
      </c>
      <c r="H854">
        <f t="shared" si="53"/>
        <v>-1.5619786951845314</v>
      </c>
      <c r="I854">
        <f t="shared" si="54"/>
        <v>-1.1945279746573361</v>
      </c>
      <c r="K854">
        <f t="shared" si="55"/>
        <v>-1.3222106459758227</v>
      </c>
      <c r="M854">
        <v>853</v>
      </c>
      <c r="N854">
        <v>-1.3222106459758227</v>
      </c>
    </row>
    <row r="855" spans="1:14">
      <c r="A855">
        <v>854</v>
      </c>
      <c r="B855">
        <v>1171</v>
      </c>
      <c r="C855">
        <v>3895</v>
      </c>
      <c r="D855">
        <v>1689</v>
      </c>
      <c r="E855">
        <v>617</v>
      </c>
      <c r="G855">
        <f t="shared" si="52"/>
        <v>-0.28369225045978985</v>
      </c>
      <c r="H855">
        <f t="shared" si="53"/>
        <v>-0.56725356403820615</v>
      </c>
      <c r="I855">
        <f t="shared" si="54"/>
        <v>-1.7466404893652414</v>
      </c>
      <c r="K855">
        <f t="shared" si="55"/>
        <v>-0.86586210128774577</v>
      </c>
      <c r="M855">
        <v>854</v>
      </c>
      <c r="N855">
        <v>-0.86586210128774577</v>
      </c>
    </row>
    <row r="856" spans="1:14">
      <c r="A856">
        <v>855</v>
      </c>
      <c r="B856">
        <v>1414</v>
      </c>
      <c r="C856">
        <v>192</v>
      </c>
      <c r="D856">
        <v>291</v>
      </c>
      <c r="E856">
        <v>199</v>
      </c>
      <c r="G856">
        <f t="shared" si="52"/>
        <v>-1.6727909981533409</v>
      </c>
      <c r="H856">
        <f t="shared" si="53"/>
        <v>-1.412882739011825</v>
      </c>
      <c r="I856">
        <f t="shared" si="54"/>
        <v>-2.319965091377294</v>
      </c>
      <c r="K856">
        <f t="shared" si="55"/>
        <v>-1.8018796095141534</v>
      </c>
      <c r="M856">
        <v>855</v>
      </c>
      <c r="N856">
        <v>-1.8018796095141534</v>
      </c>
    </row>
    <row r="857" spans="1:14">
      <c r="A857">
        <v>856</v>
      </c>
      <c r="B857">
        <v>1031</v>
      </c>
      <c r="C857">
        <v>114</v>
      </c>
      <c r="D857">
        <v>4071</v>
      </c>
      <c r="E857">
        <v>772</v>
      </c>
      <c r="G857">
        <f t="shared" si="52"/>
        <v>-1.761996631343054</v>
      </c>
      <c r="H857">
        <f t="shared" si="53"/>
        <v>-0.12988388144096874</v>
      </c>
      <c r="I857">
        <f t="shared" si="54"/>
        <v>-1.5940101232739003</v>
      </c>
      <c r="K857">
        <f t="shared" si="55"/>
        <v>-1.1619635453526411</v>
      </c>
      <c r="M857">
        <v>856</v>
      </c>
      <c r="N857">
        <v>-1.1619635453526411</v>
      </c>
    </row>
    <row r="858" spans="1:14">
      <c r="A858">
        <v>857</v>
      </c>
      <c r="B858">
        <v>1351</v>
      </c>
      <c r="C858">
        <v>1270</v>
      </c>
      <c r="D858">
        <v>486</v>
      </c>
      <c r="E858">
        <v>1542</v>
      </c>
      <c r="G858">
        <f t="shared" si="52"/>
        <v>-0.83249444546208362</v>
      </c>
      <c r="H858">
        <f t="shared" si="53"/>
        <v>-1.1703453982965888</v>
      </c>
      <c r="I858">
        <f t="shared" si="54"/>
        <v>-1.4109397336332123</v>
      </c>
      <c r="K858">
        <f t="shared" si="55"/>
        <v>-1.137926525797295</v>
      </c>
      <c r="M858">
        <v>857</v>
      </c>
      <c r="N858">
        <v>-1.137926525797295</v>
      </c>
    </row>
    <row r="859" spans="1:14">
      <c r="A859">
        <v>858</v>
      </c>
      <c r="B859">
        <v>1042</v>
      </c>
      <c r="C859">
        <v>331</v>
      </c>
      <c r="D859">
        <v>280</v>
      </c>
      <c r="E859">
        <v>290</v>
      </c>
      <c r="G859">
        <f t="shared" si="52"/>
        <v>-1.3036825425837968</v>
      </c>
      <c r="H859">
        <f t="shared" si="53"/>
        <v>-1.2970360061581381</v>
      </c>
      <c r="I859">
        <f t="shared" si="54"/>
        <v>-2.0238384793906699</v>
      </c>
      <c r="K859">
        <f t="shared" si="55"/>
        <v>-1.5415190093775351</v>
      </c>
      <c r="M859">
        <v>858</v>
      </c>
      <c r="N859">
        <v>-1.5415190093775351</v>
      </c>
    </row>
    <row r="860" spans="1:14">
      <c r="A860">
        <v>859</v>
      </c>
      <c r="B860">
        <v>959</v>
      </c>
      <c r="C860">
        <v>330</v>
      </c>
      <c r="D860">
        <v>321</v>
      </c>
      <c r="E860">
        <v>285</v>
      </c>
      <c r="G860">
        <f t="shared" si="52"/>
        <v>-1.268947484688786</v>
      </c>
      <c r="H860">
        <f t="shared" si="53"/>
        <v>-1.2016398933026433</v>
      </c>
      <c r="I860">
        <f t="shared" si="54"/>
        <v>-1.9953425054882734</v>
      </c>
      <c r="K860">
        <f t="shared" si="55"/>
        <v>-1.4886432944932342</v>
      </c>
      <c r="M860">
        <v>859</v>
      </c>
      <c r="N860">
        <v>-1.4886432944932342</v>
      </c>
    </row>
    <row r="861" spans="1:14">
      <c r="A861">
        <v>860</v>
      </c>
      <c r="B861">
        <v>983</v>
      </c>
      <c r="C861">
        <v>644</v>
      </c>
      <c r="D861">
        <v>30</v>
      </c>
      <c r="E861">
        <v>274</v>
      </c>
      <c r="G861">
        <f t="shared" si="52"/>
        <v>-0.98931046786833343</v>
      </c>
      <c r="H861">
        <f t="shared" si="53"/>
        <v>-2.2417585816493251</v>
      </c>
      <c r="I861">
        <f t="shared" si="54"/>
        <v>-2.0231717133378675</v>
      </c>
      <c r="K861">
        <f t="shared" si="55"/>
        <v>-1.7514135876185086</v>
      </c>
      <c r="M861">
        <v>860</v>
      </c>
      <c r="N861">
        <v>-1.7514135876185086</v>
      </c>
    </row>
    <row r="862" spans="1:14">
      <c r="A862">
        <v>861</v>
      </c>
      <c r="B862">
        <v>1151</v>
      </c>
      <c r="C862">
        <v>445</v>
      </c>
      <c r="D862">
        <v>185</v>
      </c>
      <c r="E862">
        <v>83</v>
      </c>
      <c r="G862">
        <f t="shared" si="52"/>
        <v>-1.2183581300448703</v>
      </c>
      <c r="H862">
        <f t="shared" si="53"/>
        <v>-1.5202299137636297</v>
      </c>
      <c r="I862">
        <f t="shared" si="54"/>
        <v>-2.6103659895798379</v>
      </c>
      <c r="K862">
        <f t="shared" si="55"/>
        <v>-1.7829846777961127</v>
      </c>
      <c r="M862">
        <v>861</v>
      </c>
      <c r="N862">
        <v>-1.7829846777961127</v>
      </c>
    </row>
    <row r="863" spans="1:14">
      <c r="A863">
        <v>862</v>
      </c>
      <c r="B863">
        <v>923</v>
      </c>
      <c r="C863">
        <v>112</v>
      </c>
      <c r="D863">
        <v>76</v>
      </c>
      <c r="E863">
        <v>228</v>
      </c>
      <c r="G863">
        <f t="shared" si="52"/>
        <v>-1.7216264957517404</v>
      </c>
      <c r="H863">
        <f t="shared" si="53"/>
        <v>-1.8107144272819724</v>
      </c>
      <c r="I863">
        <f t="shared" si="54"/>
        <v>-2.0756356123515785</v>
      </c>
      <c r="K863">
        <f t="shared" si="55"/>
        <v>-1.8693255117950971</v>
      </c>
      <c r="M863">
        <v>862</v>
      </c>
      <c r="N863">
        <v>-1.8693255117950971</v>
      </c>
    </row>
    <row r="864" spans="1:14">
      <c r="A864">
        <v>863</v>
      </c>
      <c r="B864">
        <v>1375</v>
      </c>
      <c r="C864">
        <v>50</v>
      </c>
      <c r="D864">
        <v>55</v>
      </c>
      <c r="E864">
        <v>1022</v>
      </c>
      <c r="G864">
        <f t="shared" si="52"/>
        <v>-2.2449755112262726</v>
      </c>
      <c r="H864">
        <f t="shared" si="53"/>
        <v>-2.1242663272088893</v>
      </c>
      <c r="I864">
        <f t="shared" si="54"/>
        <v>-1.5972205606937075</v>
      </c>
      <c r="K864">
        <f t="shared" si="55"/>
        <v>-1.9888207997096232</v>
      </c>
      <c r="M864">
        <v>863</v>
      </c>
      <c r="N864">
        <v>-1.9888207997096232</v>
      </c>
    </row>
    <row r="865" spans="1:14">
      <c r="A865">
        <v>864</v>
      </c>
      <c r="B865">
        <v>630</v>
      </c>
      <c r="C865">
        <v>117</v>
      </c>
      <c r="D865">
        <v>342</v>
      </c>
      <c r="E865">
        <v>449</v>
      </c>
      <c r="G865">
        <f t="shared" si="52"/>
        <v>-1.5367975051034302</v>
      </c>
      <c r="H865">
        <f t="shared" si="53"/>
        <v>-0.9916407619342984</v>
      </c>
      <c r="I865">
        <f t="shared" si="54"/>
        <v>-1.6154629667763785</v>
      </c>
      <c r="K865">
        <f t="shared" si="55"/>
        <v>-1.3813004112713692</v>
      </c>
      <c r="M865">
        <v>864</v>
      </c>
      <c r="N865">
        <v>-1.3813004112713692</v>
      </c>
    </row>
    <row r="866" spans="1:14">
      <c r="A866">
        <v>865</v>
      </c>
      <c r="B866">
        <v>934</v>
      </c>
      <c r="C866">
        <v>613</v>
      </c>
      <c r="D866">
        <v>255</v>
      </c>
      <c r="E866">
        <v>838</v>
      </c>
      <c r="G866">
        <f t="shared" si="52"/>
        <v>-0.98852921910768832</v>
      </c>
      <c r="H866">
        <f t="shared" si="53"/>
        <v>-1.2901330143329899</v>
      </c>
      <c r="I866">
        <f t="shared" si="54"/>
        <v>-1.5154716159259369</v>
      </c>
      <c r="K866">
        <f t="shared" si="55"/>
        <v>-1.2647112831222049</v>
      </c>
      <c r="M866">
        <v>865</v>
      </c>
      <c r="N866">
        <v>-1.2647112831222049</v>
      </c>
    </row>
    <row r="867" spans="1:14">
      <c r="A867">
        <v>866</v>
      </c>
      <c r="B867">
        <v>1317</v>
      </c>
      <c r="C867">
        <v>2209</v>
      </c>
      <c r="D867">
        <v>6722</v>
      </c>
      <c r="E867">
        <v>3232</v>
      </c>
      <c r="G867">
        <f t="shared" si="52"/>
        <v>-0.58103287648635882</v>
      </c>
      <c r="H867">
        <f t="shared" si="53"/>
        <v>-1.8413585365176899E-2</v>
      </c>
      <c r="I867">
        <f t="shared" si="54"/>
        <v>-1.0784831811853552</v>
      </c>
      <c r="K867">
        <f t="shared" si="55"/>
        <v>-0.55930988101229706</v>
      </c>
      <c r="M867">
        <v>866</v>
      </c>
      <c r="N867">
        <v>-0.55930988101229706</v>
      </c>
    </row>
    <row r="868" spans="1:14">
      <c r="A868">
        <v>867</v>
      </c>
      <c r="B868">
        <v>1080</v>
      </c>
      <c r="C868">
        <v>966</v>
      </c>
      <c r="D868">
        <v>1602</v>
      </c>
      <c r="E868">
        <v>1516</v>
      </c>
      <c r="G868">
        <f t="shared" si="52"/>
        <v>-0.85408944646746632</v>
      </c>
      <c r="H868">
        <f t="shared" si="53"/>
        <v>-0.55508756227558254</v>
      </c>
      <c r="I868">
        <f t="shared" si="54"/>
        <v>-1.321093312517035</v>
      </c>
      <c r="K868">
        <f t="shared" si="55"/>
        <v>-0.91009010708669458</v>
      </c>
      <c r="M868">
        <v>867</v>
      </c>
      <c r="N868">
        <v>-0.91009010708669458</v>
      </c>
    </row>
    <row r="869" spans="1:14">
      <c r="A869">
        <v>868</v>
      </c>
      <c r="B869">
        <v>1439</v>
      </c>
      <c r="C869">
        <v>336</v>
      </c>
      <c r="D869">
        <v>1751</v>
      </c>
      <c r="E869">
        <v>2330</v>
      </c>
      <c r="G869">
        <f t="shared" si="52"/>
        <v>-1.4373643339427711</v>
      </c>
      <c r="H869">
        <f t="shared" si="53"/>
        <v>-0.6411009663900108</v>
      </c>
      <c r="I869">
        <f t="shared" si="54"/>
        <v>-1.2590736312367063</v>
      </c>
      <c r="K869">
        <f t="shared" si="55"/>
        <v>-1.1125129771898294</v>
      </c>
      <c r="M869">
        <v>868</v>
      </c>
      <c r="N869">
        <v>-1.1125129771898294</v>
      </c>
    </row>
    <row r="870" spans="1:14">
      <c r="A870">
        <v>869</v>
      </c>
      <c r="B870">
        <v>1700</v>
      </c>
      <c r="C870">
        <v>589</v>
      </c>
      <c r="D870">
        <v>842</v>
      </c>
      <c r="E870">
        <v>276</v>
      </c>
      <c r="G870">
        <f t="shared" si="52"/>
        <v>-1.2659764439871823</v>
      </c>
      <c r="H870">
        <f t="shared" si="53"/>
        <v>-1.0314631484154761</v>
      </c>
      <c r="I870">
        <f t="shared" si="54"/>
        <v>-2.2579085976391764</v>
      </c>
      <c r="K870">
        <f t="shared" si="55"/>
        <v>-1.5184493966806116</v>
      </c>
      <c r="M870">
        <v>869</v>
      </c>
      <c r="N870">
        <v>-1.5184493966806116</v>
      </c>
    </row>
    <row r="871" spans="1:14">
      <c r="A871">
        <v>870</v>
      </c>
      <c r="B871">
        <v>1008</v>
      </c>
      <c r="C871">
        <v>44</v>
      </c>
      <c r="D871">
        <v>5086</v>
      </c>
      <c r="E871">
        <v>156</v>
      </c>
      <c r="G871">
        <f t="shared" si="52"/>
        <v>-2.165650673019329</v>
      </c>
      <c r="H871">
        <f t="shared" si="53"/>
        <v>-2.3410494806668125E-2</v>
      </c>
      <c r="I871">
        <f t="shared" si="54"/>
        <v>-2.2787046920811651</v>
      </c>
      <c r="K871">
        <f t="shared" si="55"/>
        <v>-1.4892552866357207</v>
      </c>
      <c r="M871">
        <v>870</v>
      </c>
      <c r="N871">
        <v>-1.4892552866357207</v>
      </c>
    </row>
    <row r="872" spans="1:14">
      <c r="A872">
        <v>871</v>
      </c>
      <c r="B872">
        <v>1304</v>
      </c>
      <c r="C872">
        <v>909</v>
      </c>
      <c r="D872">
        <v>388</v>
      </c>
      <c r="E872">
        <v>1288</v>
      </c>
      <c r="G872">
        <f t="shared" si="52"/>
        <v>-0.96235652556994389</v>
      </c>
      <c r="H872">
        <f t="shared" si="53"/>
        <v>-1.252772184338546</v>
      </c>
      <c r="I872">
        <f t="shared" si="54"/>
        <v>-1.4737304866982281</v>
      </c>
      <c r="K872">
        <f t="shared" si="55"/>
        <v>-1.2296197322022393</v>
      </c>
      <c r="M872">
        <v>871</v>
      </c>
      <c r="N872">
        <v>-1.2296197322022393</v>
      </c>
    </row>
    <row r="873" spans="1:14">
      <c r="A873">
        <v>872</v>
      </c>
      <c r="B873">
        <v>787</v>
      </c>
      <c r="C873">
        <v>729</v>
      </c>
      <c r="D873">
        <v>331</v>
      </c>
      <c r="E873">
        <v>460</v>
      </c>
      <c r="G873">
        <f t="shared" si="52"/>
        <v>-0.8388900214370999</v>
      </c>
      <c r="H873">
        <f t="shared" si="53"/>
        <v>-1.1024730571201975</v>
      </c>
      <c r="I873">
        <f t="shared" si="54"/>
        <v>-1.7015856590036105</v>
      </c>
      <c r="K873">
        <f t="shared" si="55"/>
        <v>-1.2143162458536361</v>
      </c>
      <c r="M873">
        <v>872</v>
      </c>
      <c r="N873">
        <v>-1.2143162458536361</v>
      </c>
    </row>
    <row r="874" spans="1:14">
      <c r="A874">
        <v>873</v>
      </c>
      <c r="B874">
        <v>1547</v>
      </c>
      <c r="C874">
        <v>330</v>
      </c>
      <c r="D874">
        <v>225</v>
      </c>
      <c r="E874">
        <v>378</v>
      </c>
      <c r="G874">
        <f t="shared" si="52"/>
        <v>-1.4766191912174902</v>
      </c>
      <c r="H874">
        <f t="shared" si="53"/>
        <v>-1.5636341141248566</v>
      </c>
      <c r="I874">
        <f t="shared" si="54"/>
        <v>-2.080367272188262</v>
      </c>
      <c r="K874">
        <f t="shared" si="55"/>
        <v>-1.7068735258435364</v>
      </c>
      <c r="M874">
        <v>873</v>
      </c>
      <c r="N874">
        <v>-1.7068735258435364</v>
      </c>
    </row>
    <row r="875" spans="1:14">
      <c r="A875">
        <v>874</v>
      </c>
      <c r="B875">
        <v>1479</v>
      </c>
      <c r="C875">
        <v>183</v>
      </c>
      <c r="D875">
        <v>25802</v>
      </c>
      <c r="E875">
        <v>173</v>
      </c>
      <c r="G875">
        <f t="shared" si="52"/>
        <v>-1.7131599016624728</v>
      </c>
      <c r="H875">
        <f t="shared" si="53"/>
        <v>0.51535887836356775</v>
      </c>
      <c r="I875">
        <f t="shared" si="54"/>
        <v>-2.4002908291942173</v>
      </c>
      <c r="K875">
        <f t="shared" si="55"/>
        <v>-1.1993639508310407</v>
      </c>
      <c r="M875">
        <v>874</v>
      </c>
      <c r="N875">
        <v>-1.1993639508310407</v>
      </c>
    </row>
    <row r="876" spans="1:14">
      <c r="A876">
        <v>875</v>
      </c>
      <c r="B876">
        <v>1158</v>
      </c>
      <c r="C876">
        <v>58</v>
      </c>
      <c r="D876">
        <v>1937</v>
      </c>
      <c r="E876">
        <v>81</v>
      </c>
      <c r="G876">
        <f t="shared" si="52"/>
        <v>-2.1059233832244901</v>
      </c>
      <c r="H876">
        <f t="shared" si="53"/>
        <v>-0.50290525720915824</v>
      </c>
      <c r="I876">
        <f t="shared" si="54"/>
        <v>-2.6235922988388873</v>
      </c>
      <c r="K876">
        <f t="shared" si="55"/>
        <v>-1.7441403130908453</v>
      </c>
      <c r="M876">
        <v>875</v>
      </c>
      <c r="N876">
        <v>-1.7441403130908453</v>
      </c>
    </row>
    <row r="877" spans="1:14">
      <c r="A877">
        <v>876</v>
      </c>
      <c r="B877">
        <v>1767</v>
      </c>
      <c r="C877">
        <v>529</v>
      </c>
      <c r="D877">
        <v>385</v>
      </c>
      <c r="E877">
        <v>14338</v>
      </c>
      <c r="G877">
        <f t="shared" si="52"/>
        <v>-1.3294236948675882</v>
      </c>
      <c r="H877">
        <f t="shared" si="53"/>
        <v>-1.3881021385351151</v>
      </c>
      <c r="I877">
        <f t="shared" si="54"/>
        <v>-0.5591167317828668</v>
      </c>
      <c r="K877">
        <f t="shared" si="55"/>
        <v>-1.0922141883951901</v>
      </c>
      <c r="M877">
        <v>876</v>
      </c>
      <c r="N877">
        <v>-1.0922141883951901</v>
      </c>
    </row>
    <row r="878" spans="1:14">
      <c r="A878">
        <v>877</v>
      </c>
      <c r="B878">
        <v>1096</v>
      </c>
      <c r="C878">
        <v>453</v>
      </c>
      <c r="D878">
        <v>17951</v>
      </c>
      <c r="E878">
        <v>112</v>
      </c>
      <c r="G878">
        <f t="shared" si="52"/>
        <v>-1.1893551695315285</v>
      </c>
      <c r="H878">
        <f t="shared" si="53"/>
        <v>0.48795177423387204</v>
      </c>
      <c r="I878">
        <f t="shared" si="54"/>
        <v>-2.4589612898042885</v>
      </c>
      <c r="K878">
        <f t="shared" si="55"/>
        <v>-1.0534548950339817</v>
      </c>
      <c r="M878">
        <v>877</v>
      </c>
      <c r="N878">
        <v>-1.0534548950339817</v>
      </c>
    </row>
    <row r="879" spans="1:14">
      <c r="A879">
        <v>878</v>
      </c>
      <c r="B879">
        <v>737</v>
      </c>
      <c r="C879">
        <v>176</v>
      </c>
      <c r="D879">
        <v>41</v>
      </c>
      <c r="E879">
        <v>110</v>
      </c>
      <c r="G879">
        <f t="shared" si="52"/>
        <v>-1.4275976374409116</v>
      </c>
      <c r="H879">
        <f t="shared" si="53"/>
        <v>-1.9810099496761677</v>
      </c>
      <c r="I879">
        <f t="shared" si="54"/>
        <v>-2.2944435610269465</v>
      </c>
      <c r="K879">
        <f t="shared" si="55"/>
        <v>-1.9010170493813419</v>
      </c>
      <c r="M879">
        <v>878</v>
      </c>
      <c r="N879">
        <v>-1.9010170493813419</v>
      </c>
    </row>
    <row r="880" spans="1:14">
      <c r="A880">
        <v>879</v>
      </c>
      <c r="B880">
        <v>640</v>
      </c>
      <c r="C880">
        <v>241</v>
      </c>
      <c r="D880">
        <v>142</v>
      </c>
      <c r="E880">
        <v>90</v>
      </c>
      <c r="G880">
        <f t="shared" si="52"/>
        <v>-1.2298057488050287</v>
      </c>
      <c r="H880">
        <f t="shared" si="53"/>
        <v>-1.3802179481376824</v>
      </c>
      <c r="I880">
        <f t="shared" si="54"/>
        <v>-2.3203062228706823</v>
      </c>
      <c r="K880">
        <f t="shared" si="55"/>
        <v>-1.6434433066044647</v>
      </c>
      <c r="M880">
        <v>879</v>
      </c>
      <c r="N880">
        <v>-1.6434433066044647</v>
      </c>
    </row>
    <row r="881" spans="1:14">
      <c r="A881">
        <v>880</v>
      </c>
      <c r="B881">
        <v>1068</v>
      </c>
      <c r="C881">
        <v>47</v>
      </c>
      <c r="D881">
        <v>177</v>
      </c>
      <c r="E881">
        <v>123</v>
      </c>
      <c r="G881">
        <f t="shared" si="52"/>
        <v>-2.1621162121528301</v>
      </c>
      <c r="H881">
        <f t="shared" si="53"/>
        <v>-1.5069243048675827</v>
      </c>
      <c r="I881">
        <f t="shared" si="54"/>
        <v>-2.4070348995792594</v>
      </c>
      <c r="K881">
        <f t="shared" si="55"/>
        <v>-2.025358472199891</v>
      </c>
      <c r="M881">
        <v>880</v>
      </c>
      <c r="N881">
        <v>-2.025358472199891</v>
      </c>
    </row>
    <row r="882" spans="1:14">
      <c r="A882">
        <v>881</v>
      </c>
      <c r="B882">
        <v>1290</v>
      </c>
      <c r="C882">
        <v>289</v>
      </c>
      <c r="D882">
        <v>382</v>
      </c>
      <c r="E882">
        <v>2060</v>
      </c>
      <c r="G882">
        <f t="shared" si="52"/>
        <v>-1.4553346849387112</v>
      </c>
      <c r="H882">
        <f t="shared" si="53"/>
        <v>-1.2548526659243919</v>
      </c>
      <c r="I882">
        <f t="shared" si="54"/>
        <v>-1.2650912482562156</v>
      </c>
      <c r="K882">
        <f t="shared" si="55"/>
        <v>-1.3250928663731063</v>
      </c>
      <c r="M882">
        <v>881</v>
      </c>
      <c r="N882">
        <v>-1.3250928663731063</v>
      </c>
    </row>
    <row r="883" spans="1:14">
      <c r="A883">
        <v>882</v>
      </c>
      <c r="B883">
        <v>897</v>
      </c>
      <c r="C883">
        <v>35</v>
      </c>
      <c r="D883">
        <v>29</v>
      </c>
      <c r="E883">
        <v>267</v>
      </c>
      <c r="G883">
        <f t="shared" si="52"/>
        <v>-2.2143672160898262</v>
      </c>
      <c r="H883">
        <f t="shared" si="53"/>
        <v>-2.2167207636819879</v>
      </c>
      <c r="I883">
        <f t="shared" si="54"/>
        <v>-1.9946499400056368</v>
      </c>
      <c r="K883">
        <f t="shared" si="55"/>
        <v>-2.1419126399258168</v>
      </c>
      <c r="M883">
        <v>882</v>
      </c>
      <c r="N883">
        <v>-2.1419126399258168</v>
      </c>
    </row>
    <row r="884" spans="1:14">
      <c r="A884">
        <v>883</v>
      </c>
      <c r="B884">
        <v>989</v>
      </c>
      <c r="C884">
        <v>713</v>
      </c>
      <c r="D884">
        <v>576</v>
      </c>
      <c r="E884">
        <v>246</v>
      </c>
      <c r="G884">
        <f t="shared" si="52"/>
        <v>-0.94774957914132385</v>
      </c>
      <c r="H884">
        <f t="shared" si="53"/>
        <v>-0.96110012671081901</v>
      </c>
      <c r="I884">
        <f t="shared" si="54"/>
        <v>-2.0726299428199204</v>
      </c>
      <c r="K884">
        <f t="shared" si="55"/>
        <v>-1.3271598828906879</v>
      </c>
      <c r="M884">
        <v>883</v>
      </c>
      <c r="N884">
        <v>-1.3271598828906879</v>
      </c>
    </row>
    <row r="885" spans="1:14">
      <c r="A885">
        <v>884</v>
      </c>
      <c r="B885">
        <v>1258</v>
      </c>
      <c r="C885">
        <v>124</v>
      </c>
      <c r="D885">
        <v>47</v>
      </c>
      <c r="E885">
        <v>84</v>
      </c>
      <c r="G885">
        <f t="shared" si="52"/>
        <v>-1.8119017733430249</v>
      </c>
      <c r="H885">
        <f t="shared" si="53"/>
        <v>-2.1539091017103842</v>
      </c>
      <c r="I885">
        <f t="shared" si="54"/>
        <v>-2.6437701133734883</v>
      </c>
      <c r="K885">
        <f t="shared" si="55"/>
        <v>-2.2031936628089657</v>
      </c>
      <c r="M885">
        <v>884</v>
      </c>
      <c r="N885">
        <v>-2.2031936628089657</v>
      </c>
    </row>
    <row r="886" spans="1:14">
      <c r="A886">
        <v>885</v>
      </c>
      <c r="B886">
        <v>902</v>
      </c>
      <c r="C886">
        <v>30</v>
      </c>
      <c r="D886">
        <v>79</v>
      </c>
      <c r="E886">
        <v>116</v>
      </c>
      <c r="G886">
        <f t="shared" si="52"/>
        <v>-2.2837281002182892</v>
      </c>
      <c r="H886">
        <f t="shared" si="53"/>
        <v>-1.7839057647883521</v>
      </c>
      <c r="I886">
        <f t="shared" si="54"/>
        <v>-2.3591173066411431</v>
      </c>
      <c r="K886">
        <f t="shared" si="55"/>
        <v>-2.1422503905492616</v>
      </c>
      <c r="M886">
        <v>885</v>
      </c>
      <c r="N886">
        <v>-2.1422503905492616</v>
      </c>
    </row>
    <row r="887" spans="1:14">
      <c r="A887">
        <v>886</v>
      </c>
      <c r="B887">
        <v>843</v>
      </c>
      <c r="C887">
        <v>472</v>
      </c>
      <c r="D887">
        <v>477</v>
      </c>
      <c r="E887">
        <v>1633</v>
      </c>
      <c r="G887">
        <f t="shared" si="52"/>
        <v>-1.0575283933866646</v>
      </c>
      <c r="H887">
        <f t="shared" si="53"/>
        <v>-0.97363551412148008</v>
      </c>
      <c r="I887">
        <f t="shared" si="54"/>
        <v>-1.1812101482141941</v>
      </c>
      <c r="K887">
        <f t="shared" si="55"/>
        <v>-1.0707913519074461</v>
      </c>
      <c r="M887">
        <v>886</v>
      </c>
      <c r="N887">
        <v>-1.0707913519074461</v>
      </c>
    </row>
    <row r="888" spans="1:14">
      <c r="A888">
        <v>887</v>
      </c>
      <c r="B888">
        <v>1305</v>
      </c>
      <c r="C888">
        <v>135801</v>
      </c>
      <c r="D888">
        <v>37</v>
      </c>
      <c r="E888">
        <v>140</v>
      </c>
      <c r="G888">
        <f t="shared" si="52"/>
        <v>1.2116496389071842</v>
      </c>
      <c r="H888">
        <f t="shared" si="53"/>
        <v>-2.2737351061441564</v>
      </c>
      <c r="I888">
        <f t="shared" si="54"/>
        <v>-2.4378512343221819</v>
      </c>
      <c r="K888">
        <f t="shared" si="55"/>
        <v>-1.1666455671863847</v>
      </c>
      <c r="M888">
        <v>887</v>
      </c>
      <c r="N888">
        <v>-1.1666455671863847</v>
      </c>
    </row>
    <row r="889" spans="1:14">
      <c r="A889">
        <v>888</v>
      </c>
      <c r="B889">
        <v>1362</v>
      </c>
      <c r="C889">
        <v>54</v>
      </c>
      <c r="D889">
        <v>380</v>
      </c>
      <c r="E889">
        <v>88</v>
      </c>
      <c r="G889">
        <f t="shared" si="52"/>
        <v>-2.2074261651498075</v>
      </c>
      <c r="H889">
        <f t="shared" si="53"/>
        <v>-1.2807198294968078</v>
      </c>
      <c r="I889">
        <f t="shared" si="54"/>
        <v>-2.6580631937527177</v>
      </c>
      <c r="K889">
        <f t="shared" si="55"/>
        <v>-2.0487363961331106</v>
      </c>
      <c r="M889">
        <v>888</v>
      </c>
      <c r="N889">
        <v>-2.0487363961331106</v>
      </c>
    </row>
    <row r="890" spans="1:14">
      <c r="A890">
        <v>889</v>
      </c>
      <c r="B890">
        <v>878</v>
      </c>
      <c r="C890">
        <v>210</v>
      </c>
      <c r="D890">
        <v>175</v>
      </c>
      <c r="E890">
        <v>409</v>
      </c>
      <c r="G890">
        <f t="shared" si="52"/>
        <v>-1.4269180385681932</v>
      </c>
      <c r="H890">
        <f t="shared" si="53"/>
        <v>-1.42678278575666</v>
      </c>
      <c r="I890">
        <f t="shared" si="54"/>
        <v>-1.8001399662248807</v>
      </c>
      <c r="K890">
        <f t="shared" si="55"/>
        <v>-1.5512802635165779</v>
      </c>
      <c r="M890">
        <v>889</v>
      </c>
      <c r="N890">
        <v>-1.5512802635165779</v>
      </c>
    </row>
    <row r="891" spans="1:14">
      <c r="A891">
        <v>890</v>
      </c>
      <c r="B891">
        <v>1270</v>
      </c>
      <c r="C891">
        <v>815</v>
      </c>
      <c r="D891">
        <v>199</v>
      </c>
      <c r="E891">
        <v>603</v>
      </c>
      <c r="G891">
        <f t="shared" si="52"/>
        <v>-0.99828892961199023</v>
      </c>
      <c r="H891">
        <f t="shared" si="53"/>
        <v>-1.5312769630831018</v>
      </c>
      <c r="I891">
        <f t="shared" si="54"/>
        <v>-1.7918551671419256</v>
      </c>
      <c r="K891">
        <f t="shared" si="55"/>
        <v>-1.4404736866123393</v>
      </c>
      <c r="M891">
        <v>890</v>
      </c>
      <c r="N891">
        <v>-1.4404736866123393</v>
      </c>
    </row>
    <row r="892" spans="1:14">
      <c r="A892">
        <v>891</v>
      </c>
      <c r="B892">
        <v>1146</v>
      </c>
      <c r="C892">
        <v>196</v>
      </c>
      <c r="D892">
        <v>67</v>
      </c>
      <c r="E892">
        <v>2071</v>
      </c>
      <c r="G892">
        <f t="shared" si="52"/>
        <v>-1.5725713636709051</v>
      </c>
      <c r="H892">
        <f t="shared" si="53"/>
        <v>-1.9594361334673964</v>
      </c>
      <c r="I892">
        <f t="shared" si="54"/>
        <v>-1.2113732770640386</v>
      </c>
      <c r="K892">
        <f t="shared" si="55"/>
        <v>-1.5811269247341133</v>
      </c>
      <c r="M892">
        <v>891</v>
      </c>
      <c r="N892">
        <v>-1.5811269247341133</v>
      </c>
    </row>
    <row r="893" spans="1:14">
      <c r="A893">
        <v>892</v>
      </c>
      <c r="B893">
        <v>974</v>
      </c>
      <c r="C893">
        <v>47</v>
      </c>
      <c r="D893">
        <v>27</v>
      </c>
      <c r="E893">
        <v>712</v>
      </c>
      <c r="G893">
        <f t="shared" si="52"/>
        <v>-2.1221039163389079</v>
      </c>
      <c r="H893">
        <f t="shared" si="53"/>
        <v>-2.2835215112564797</v>
      </c>
      <c r="I893">
        <f t="shared" si="54"/>
        <v>-1.6044477215678792</v>
      </c>
      <c r="K893">
        <f t="shared" si="55"/>
        <v>-2.0033577163877556</v>
      </c>
      <c r="M893">
        <v>892</v>
      </c>
      <c r="N893">
        <v>-2.0033577163877556</v>
      </c>
    </row>
    <row r="894" spans="1:14">
      <c r="A894">
        <v>893</v>
      </c>
      <c r="B894">
        <v>1343</v>
      </c>
      <c r="C894">
        <v>174</v>
      </c>
      <c r="D894">
        <v>55</v>
      </c>
      <c r="E894">
        <v>831</v>
      </c>
      <c r="G894">
        <f t="shared" si="52"/>
        <v>-1.6931695817821257</v>
      </c>
      <c r="H894">
        <f t="shared" si="53"/>
        <v>-2.1140396417113232</v>
      </c>
      <c r="I894">
        <f t="shared" si="54"/>
        <v>-1.6768437472107243</v>
      </c>
      <c r="K894">
        <f t="shared" si="55"/>
        <v>-1.8280176569013911</v>
      </c>
      <c r="M894">
        <v>893</v>
      </c>
      <c r="N894">
        <v>-1.8280176569013911</v>
      </c>
    </row>
    <row r="895" spans="1:14">
      <c r="A895">
        <v>894</v>
      </c>
      <c r="B895">
        <v>1216</v>
      </c>
      <c r="C895">
        <v>146</v>
      </c>
      <c r="D895">
        <v>391</v>
      </c>
      <c r="E895">
        <v>196</v>
      </c>
      <c r="G895">
        <f t="shared" si="52"/>
        <v>-1.726223536548289</v>
      </c>
      <c r="H895">
        <f t="shared" si="53"/>
        <v>-1.219083136077701</v>
      </c>
      <c r="I895">
        <f t="shared" si="54"/>
        <v>-2.26104626190636</v>
      </c>
      <c r="K895">
        <f t="shared" si="55"/>
        <v>-1.7354509781774501</v>
      </c>
      <c r="M895">
        <v>894</v>
      </c>
      <c r="N895">
        <v>-1.7354509781774501</v>
      </c>
    </row>
    <row r="896" spans="1:14">
      <c r="A896">
        <v>895</v>
      </c>
      <c r="B896">
        <v>1290</v>
      </c>
      <c r="C896">
        <v>162</v>
      </c>
      <c r="D896">
        <v>212</v>
      </c>
      <c r="E896">
        <v>247</v>
      </c>
      <c r="G896">
        <f t="shared" si="52"/>
        <v>-1.706717513152628</v>
      </c>
      <c r="H896">
        <f t="shared" si="53"/>
        <v>-1.5105801679073494</v>
      </c>
      <c r="I896">
        <f t="shared" si="54"/>
        <v>-2.186261515365703</v>
      </c>
      <c r="K896">
        <f t="shared" si="55"/>
        <v>-1.8011863988085601</v>
      </c>
      <c r="M896">
        <v>895</v>
      </c>
      <c r="N896">
        <v>-1.8011863988085601</v>
      </c>
    </row>
    <row r="897" spans="1:14">
      <c r="A897">
        <v>896</v>
      </c>
      <c r="B897">
        <v>1516</v>
      </c>
      <c r="C897">
        <v>184</v>
      </c>
      <c r="D897">
        <v>238</v>
      </c>
      <c r="E897">
        <v>157</v>
      </c>
      <c r="G897">
        <f t="shared" si="52"/>
        <v>-1.7215241956825083</v>
      </c>
      <c r="H897">
        <f t="shared" si="53"/>
        <v>-1.5304485627763746</v>
      </c>
      <c r="I897">
        <f t="shared" si="54"/>
        <v>-2.4531683072129211</v>
      </c>
      <c r="K897">
        <f t="shared" si="55"/>
        <v>-1.9017136885572679</v>
      </c>
      <c r="M897">
        <v>896</v>
      </c>
      <c r="N897">
        <v>-1.9017136885572679</v>
      </c>
    </row>
    <row r="898" spans="1:14">
      <c r="A898">
        <v>897</v>
      </c>
      <c r="B898">
        <v>986</v>
      </c>
      <c r="C898">
        <v>343</v>
      </c>
      <c r="D898">
        <v>1157</v>
      </c>
      <c r="E898">
        <v>230</v>
      </c>
      <c r="G898">
        <f t="shared" si="52"/>
        <v>-1.2642256122944506</v>
      </c>
      <c r="H898">
        <f t="shared" si="53"/>
        <v>-0.6568698745263134</v>
      </c>
      <c r="I898">
        <f t="shared" si="54"/>
        <v>-2.1005178372497384</v>
      </c>
      <c r="K898">
        <f t="shared" si="55"/>
        <v>-1.3405377746901674</v>
      </c>
      <c r="M898">
        <v>897</v>
      </c>
      <c r="N898">
        <v>-1.3405377746901674</v>
      </c>
    </row>
    <row r="899" spans="1:14">
      <c r="A899">
        <v>898</v>
      </c>
      <c r="B899">
        <v>1327</v>
      </c>
      <c r="C899">
        <v>3273</v>
      </c>
      <c r="D899">
        <v>196</v>
      </c>
      <c r="E899">
        <v>1126</v>
      </c>
      <c r="G899">
        <f t="shared" ref="G899:G909" si="56">LOG10(C899/B899)-LOG10(151582/23714)</f>
        <v>-0.41356773495244115</v>
      </c>
      <c r="H899">
        <f t="shared" ref="H899:H909" si="57">LOG10(D899/B899)-LOG10(126279/23714)</f>
        <v>-1.5569411700448113</v>
      </c>
      <c r="I899">
        <f t="shared" ref="I899:I909" si="58">LOG10(E899/B899)-LOG10(697226/23714)</f>
        <v>-1.5397012906752281</v>
      </c>
      <c r="K899">
        <f t="shared" ref="K899:K909" si="59">AVERAGE(G899:I899)</f>
        <v>-1.1700700652241602</v>
      </c>
      <c r="M899">
        <v>898</v>
      </c>
      <c r="N899">
        <v>-1.1700700652241602</v>
      </c>
    </row>
    <row r="900" spans="1:14">
      <c r="A900">
        <v>899</v>
      </c>
      <c r="B900">
        <v>1324</v>
      </c>
      <c r="C900">
        <v>3524</v>
      </c>
      <c r="D900">
        <v>105</v>
      </c>
      <c r="E900">
        <v>270</v>
      </c>
      <c r="G900">
        <f t="shared" si="56"/>
        <v>-0.38049490275968079</v>
      </c>
      <c r="H900">
        <f t="shared" si="57"/>
        <v>-1.8270250045705949</v>
      </c>
      <c r="I900">
        <f t="shared" si="58"/>
        <v>-2.1588929792708136</v>
      </c>
      <c r="K900">
        <f t="shared" si="59"/>
        <v>-1.4554709622003632</v>
      </c>
      <c r="M900">
        <v>899</v>
      </c>
      <c r="N900">
        <v>-1.4554709622003632</v>
      </c>
    </row>
    <row r="901" spans="1:14">
      <c r="A901">
        <v>900</v>
      </c>
      <c r="B901">
        <v>1414</v>
      </c>
      <c r="C901">
        <v>92</v>
      </c>
      <c r="D901">
        <v>36</v>
      </c>
      <c r="E901">
        <v>1298</v>
      </c>
      <c r="G901">
        <f t="shared" si="56"/>
        <v>-1.9923043995113352</v>
      </c>
      <c r="H901">
        <f t="shared" si="57"/>
        <v>-2.3204732272304449</v>
      </c>
      <c r="I901">
        <f t="shared" si="58"/>
        <v>-1.5055434753226502</v>
      </c>
      <c r="K901">
        <f t="shared" si="59"/>
        <v>-1.93944036735481</v>
      </c>
      <c r="M901">
        <v>900</v>
      </c>
      <c r="N901">
        <v>-1.93944036735481</v>
      </c>
    </row>
    <row r="902" spans="1:14">
      <c r="A902">
        <v>901</v>
      </c>
      <c r="B902">
        <v>566</v>
      </c>
      <c r="C902">
        <v>39</v>
      </c>
      <c r="D902">
        <v>320</v>
      </c>
      <c r="E902">
        <v>86</v>
      </c>
      <c r="G902">
        <f t="shared" si="56"/>
        <v>-1.9673946415577821</v>
      </c>
      <c r="H902">
        <f t="shared" si="57"/>
        <v>-0.97399277140521712</v>
      </c>
      <c r="I902">
        <f t="shared" si="58"/>
        <v>-2.2866867382708236</v>
      </c>
      <c r="K902">
        <f t="shared" si="59"/>
        <v>-1.7426913837446076</v>
      </c>
      <c r="M902">
        <v>901</v>
      </c>
      <c r="N902">
        <v>-1.7426913837446076</v>
      </c>
    </row>
    <row r="903" spans="1:14">
      <c r="A903">
        <v>902</v>
      </c>
      <c r="B903">
        <v>664</v>
      </c>
      <c r="C903">
        <v>117</v>
      </c>
      <c r="D903">
        <v>164</v>
      </c>
      <c r="E903">
        <v>747</v>
      </c>
      <c r="G903">
        <f t="shared" si="56"/>
        <v>-1.5596250350178658</v>
      </c>
      <c r="H903">
        <f t="shared" si="57"/>
        <v>-1.3336505498571714</v>
      </c>
      <c r="I903">
        <f t="shared" si="58"/>
        <v>-1.4172162358787388</v>
      </c>
      <c r="K903">
        <f t="shared" si="59"/>
        <v>-1.4368306069179253</v>
      </c>
      <c r="M903">
        <v>902</v>
      </c>
      <c r="N903">
        <v>-1.4368306069179253</v>
      </c>
    </row>
    <row r="904" spans="1:14">
      <c r="A904">
        <v>903</v>
      </c>
      <c r="B904">
        <v>776</v>
      </c>
      <c r="C904">
        <v>142</v>
      </c>
      <c r="D904">
        <v>246</v>
      </c>
      <c r="E904">
        <v>282</v>
      </c>
      <c r="G904">
        <f t="shared" si="56"/>
        <v>-1.543216194271142</v>
      </c>
      <c r="H904">
        <f t="shared" si="57"/>
        <v>-1.225252932691661</v>
      </c>
      <c r="I904">
        <f t="shared" si="58"/>
        <v>-1.9079813712649474</v>
      </c>
      <c r="K904">
        <f t="shared" si="59"/>
        <v>-1.5588168327425835</v>
      </c>
      <c r="M904">
        <v>903</v>
      </c>
      <c r="N904">
        <v>-1.5588168327425835</v>
      </c>
    </row>
    <row r="905" spans="1:14">
      <c r="A905">
        <v>904</v>
      </c>
      <c r="B905">
        <v>1270</v>
      </c>
      <c r="C905">
        <v>1306</v>
      </c>
      <c r="D905">
        <v>1927</v>
      </c>
      <c r="E905">
        <v>402</v>
      </c>
      <c r="G905">
        <f t="shared" si="56"/>
        <v>-0.79350336141291167</v>
      </c>
      <c r="H905">
        <f t="shared" si="57"/>
        <v>-0.54524832483735564</v>
      </c>
      <c r="I905">
        <f t="shared" si="58"/>
        <v>-1.967946426197607</v>
      </c>
      <c r="K905">
        <f t="shared" si="59"/>
        <v>-1.1022327041492914</v>
      </c>
      <c r="M905">
        <v>904</v>
      </c>
      <c r="N905">
        <v>-1.1022327041492914</v>
      </c>
    </row>
    <row r="906" spans="1:14">
      <c r="A906">
        <v>905</v>
      </c>
      <c r="B906">
        <v>943</v>
      </c>
      <c r="C906">
        <v>65</v>
      </c>
      <c r="D906">
        <v>122</v>
      </c>
      <c r="E906">
        <v>397</v>
      </c>
      <c r="G906">
        <f t="shared" si="56"/>
        <v>-1.9672411534904828</v>
      </c>
      <c r="H906">
        <f t="shared" si="57"/>
        <v>-1.6144781805994319</v>
      </c>
      <c r="I906">
        <f t="shared" si="58"/>
        <v>-1.8440899443003334</v>
      </c>
      <c r="K906">
        <f t="shared" si="59"/>
        <v>-1.8086030927967494</v>
      </c>
      <c r="M906">
        <v>905</v>
      </c>
      <c r="N906">
        <v>-1.8086030927967494</v>
      </c>
    </row>
    <row r="907" spans="1:14">
      <c r="A907">
        <v>906</v>
      </c>
      <c r="B907">
        <v>655</v>
      </c>
      <c r="C907">
        <v>190</v>
      </c>
      <c r="D907">
        <v>681</v>
      </c>
      <c r="E907">
        <v>29</v>
      </c>
      <c r="G907">
        <f t="shared" si="56"/>
        <v>-1.3431305164349641</v>
      </c>
      <c r="H907">
        <f t="shared" si="57"/>
        <v>-0.70942050661584966</v>
      </c>
      <c r="I907">
        <f t="shared" si="58"/>
        <v>-2.8222120604189467</v>
      </c>
      <c r="K907">
        <f t="shared" si="59"/>
        <v>-1.6249210278232535</v>
      </c>
      <c r="M907">
        <v>906</v>
      </c>
      <c r="N907">
        <v>-1.6249210278232535</v>
      </c>
    </row>
    <row r="908" spans="1:14">
      <c r="A908">
        <v>907</v>
      </c>
      <c r="B908">
        <v>1154</v>
      </c>
      <c r="C908">
        <v>104</v>
      </c>
      <c r="D908">
        <v>168</v>
      </c>
      <c r="E908">
        <v>1088</v>
      </c>
      <c r="G908">
        <f t="shared" si="56"/>
        <v>-1.8508152869169423</v>
      </c>
      <c r="H908">
        <f t="shared" si="57"/>
        <v>-1.5632228456307016</v>
      </c>
      <c r="I908">
        <f t="shared" si="58"/>
        <v>-1.4939456717836714</v>
      </c>
      <c r="K908">
        <f t="shared" si="59"/>
        <v>-1.6359946014437716</v>
      </c>
      <c r="M908">
        <v>907</v>
      </c>
      <c r="N908">
        <v>-1.6359946014437716</v>
      </c>
    </row>
    <row r="909" spans="1:14">
      <c r="A909" t="s">
        <v>4</v>
      </c>
      <c r="B909">
        <v>23714</v>
      </c>
      <c r="C909">
        <v>151582</v>
      </c>
      <c r="D909">
        <v>126279</v>
      </c>
      <c r="E909">
        <v>697226</v>
      </c>
      <c r="G909">
        <f t="shared" si="56"/>
        <v>0</v>
      </c>
      <c r="H909">
        <f t="shared" si="57"/>
        <v>0</v>
      </c>
      <c r="I909">
        <f t="shared" si="58"/>
        <v>0</v>
      </c>
      <c r="K909">
        <f t="shared" si="59"/>
        <v>0</v>
      </c>
      <c r="M909" t="s">
        <v>4</v>
      </c>
      <c r="N9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FEB0-F58C-F641-BFC5-66A22C5B2ABE}">
  <dimension ref="A1:N909"/>
  <sheetViews>
    <sheetView workbookViewId="0">
      <selection sqref="A1:A1048576"/>
    </sheetView>
  </sheetViews>
  <sheetFormatPr baseColWidth="10" defaultRowHeight="18"/>
  <sheetData>
    <row r="1" spans="1:14">
      <c r="A1" t="s">
        <v>0</v>
      </c>
      <c r="B1" t="s">
        <v>5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6</v>
      </c>
      <c r="M1" t="s">
        <v>0</v>
      </c>
      <c r="N1" t="s">
        <v>6</v>
      </c>
    </row>
    <row r="2" spans="1:14">
      <c r="A2">
        <v>1</v>
      </c>
      <c r="B2">
        <v>1061</v>
      </c>
      <c r="C2">
        <v>649</v>
      </c>
      <c r="D2">
        <v>1</v>
      </c>
      <c r="E2">
        <v>51</v>
      </c>
      <c r="G2">
        <f>LOG10(C2/B2)-LOG10(28875/37978)</f>
        <v>-9.4460589843307977E-2</v>
      </c>
      <c r="H2">
        <f>LOG10(D2/B2)-LOG10(27085/37978)</f>
        <v>-2.8789121336666983</v>
      </c>
      <c r="I2">
        <f>LOG10(E2/B2)-LOG10(6250/37978)</f>
        <v>-0.53449313498961515</v>
      </c>
      <c r="K2">
        <f>AVERAGE(G2:I2)</f>
        <v>-1.1692886194998737</v>
      </c>
      <c r="M2">
        <v>1</v>
      </c>
      <c r="N2">
        <v>-1.1692886194998737</v>
      </c>
    </row>
    <row r="3" spans="1:14">
      <c r="A3">
        <v>2</v>
      </c>
      <c r="B3">
        <v>521</v>
      </c>
      <c r="C3">
        <v>17</v>
      </c>
      <c r="D3">
        <v>7</v>
      </c>
      <c r="E3">
        <v>1038</v>
      </c>
      <c r="G3">
        <f t="shared" ref="G3:G66" si="0">LOG10(C3/B3)-LOG10(28875/37978)</f>
        <v>-1.367378704663587</v>
      </c>
      <c r="H3">
        <f t="shared" ref="H3:H66" si="1">LOG10(D3/B3)-LOG10(27085/37978)</f>
        <v>-1.7249364330506252</v>
      </c>
      <c r="I3">
        <f t="shared" ref="I3:I66" si="2">LOG10(E3/B3)-LOG10(6250/37978)</f>
        <v>1.0830117030267035</v>
      </c>
      <c r="K3">
        <f t="shared" ref="K3:K66" si="3">AVERAGE(G3:I3)</f>
        <v>-0.66976781156250287</v>
      </c>
      <c r="M3">
        <v>2</v>
      </c>
      <c r="N3">
        <v>-0.66976781156250287</v>
      </c>
    </row>
    <row r="4" spans="1:14">
      <c r="A4">
        <v>3</v>
      </c>
      <c r="B4">
        <v>1990</v>
      </c>
      <c r="C4">
        <v>225</v>
      </c>
      <c r="D4">
        <v>250</v>
      </c>
      <c r="E4">
        <v>586</v>
      </c>
      <c r="G4">
        <f t="shared" si="0"/>
        <v>-0.82766046104068069</v>
      </c>
      <c r="H4">
        <f t="shared" si="1"/>
        <v>-0.75410981750302641</v>
      </c>
      <c r="I4">
        <f t="shared" si="2"/>
        <v>0.25269661242217301</v>
      </c>
      <c r="K4">
        <f t="shared" si="3"/>
        <v>-0.44302455537384472</v>
      </c>
      <c r="M4">
        <v>3</v>
      </c>
      <c r="N4">
        <v>-0.44302455537384472</v>
      </c>
    </row>
    <row r="5" spans="1:14">
      <c r="A5">
        <v>4</v>
      </c>
      <c r="B5">
        <v>1063</v>
      </c>
      <c r="C5">
        <v>6</v>
      </c>
      <c r="D5">
        <v>9</v>
      </c>
      <c r="E5">
        <v>217</v>
      </c>
      <c r="G5">
        <f t="shared" si="0"/>
        <v>-2.1293719168819893</v>
      </c>
      <c r="H5">
        <f t="shared" si="1"/>
        <v>-1.9254875048493294</v>
      </c>
      <c r="I5">
        <f t="shared" si="2"/>
        <v>9.3578542139021836E-2</v>
      </c>
      <c r="K5">
        <f t="shared" si="3"/>
        <v>-1.320426959864099</v>
      </c>
      <c r="M5">
        <v>4</v>
      </c>
      <c r="N5">
        <v>-1.320426959864099</v>
      </c>
    </row>
    <row r="6" spans="1:14">
      <c r="A6">
        <v>5</v>
      </c>
      <c r="B6">
        <v>5341</v>
      </c>
      <c r="C6">
        <v>13053</v>
      </c>
      <c r="D6">
        <v>953</v>
      </c>
      <c r="E6">
        <v>5678</v>
      </c>
      <c r="G6">
        <f t="shared" si="0"/>
        <v>0.50709785730090562</v>
      </c>
      <c r="H6">
        <f t="shared" si="1"/>
        <v>-0.60172642709616819</v>
      </c>
      <c r="I6">
        <f t="shared" si="2"/>
        <v>0.81022488303449014</v>
      </c>
      <c r="K6">
        <f t="shared" si="3"/>
        <v>0.23853210441307585</v>
      </c>
      <c r="M6">
        <v>5</v>
      </c>
      <c r="N6">
        <v>0.23853210441307585</v>
      </c>
    </row>
    <row r="7" spans="1:14">
      <c r="A7">
        <v>6</v>
      </c>
      <c r="B7">
        <v>2972</v>
      </c>
      <c r="C7">
        <v>434</v>
      </c>
      <c r="D7">
        <v>2494</v>
      </c>
      <c r="E7">
        <v>885</v>
      </c>
      <c r="G7">
        <f t="shared" si="0"/>
        <v>-0.71654897831836351</v>
      </c>
      <c r="H7">
        <f t="shared" si="1"/>
        <v>7.0650894288628807E-2</v>
      </c>
      <c r="I7">
        <f t="shared" si="2"/>
        <v>0.25754653842307684</v>
      </c>
      <c r="K7">
        <f t="shared" si="3"/>
        <v>-0.12945051520221929</v>
      </c>
      <c r="M7">
        <v>6</v>
      </c>
      <c r="N7">
        <v>-0.12945051520221929</v>
      </c>
    </row>
    <row r="8" spans="1:14">
      <c r="A8">
        <v>7</v>
      </c>
      <c r="B8">
        <v>743</v>
      </c>
      <c r="C8">
        <v>38947</v>
      </c>
      <c r="D8">
        <v>336</v>
      </c>
      <c r="E8">
        <v>76</v>
      </c>
      <c r="G8">
        <f t="shared" si="0"/>
        <v>1.8384952940647596</v>
      </c>
      <c r="H8">
        <f t="shared" si="1"/>
        <v>-0.19784628613608859</v>
      </c>
      <c r="I8">
        <f t="shared" si="2"/>
        <v>-0.20652314866599497</v>
      </c>
      <c r="K8">
        <f t="shared" si="3"/>
        <v>0.47804195308755865</v>
      </c>
      <c r="M8">
        <v>7</v>
      </c>
      <c r="N8">
        <v>0.47804195308755865</v>
      </c>
    </row>
    <row r="9" spans="1:14">
      <c r="A9">
        <v>8</v>
      </c>
      <c r="B9">
        <v>3239</v>
      </c>
      <c r="C9">
        <v>23002</v>
      </c>
      <c r="D9">
        <v>636</v>
      </c>
      <c r="E9">
        <v>10616</v>
      </c>
      <c r="G9">
        <f t="shared" si="0"/>
        <v>0.97036474836078623</v>
      </c>
      <c r="H9">
        <f t="shared" si="1"/>
        <v>-0.56015058212712032</v>
      </c>
      <c r="I9">
        <f t="shared" si="2"/>
        <v>1.2992020346599911</v>
      </c>
      <c r="K9">
        <f t="shared" si="3"/>
        <v>0.56980540029788562</v>
      </c>
      <c r="M9">
        <v>8</v>
      </c>
      <c r="N9">
        <v>0.56980540029788562</v>
      </c>
    </row>
    <row r="10" spans="1:14">
      <c r="A10">
        <v>9</v>
      </c>
      <c r="B10">
        <v>1664</v>
      </c>
      <c r="C10">
        <v>12542</v>
      </c>
      <c r="D10">
        <v>156</v>
      </c>
      <c r="E10">
        <v>689</v>
      </c>
      <c r="G10">
        <f t="shared" si="0"/>
        <v>0.99622357174228926</v>
      </c>
      <c r="H10">
        <f t="shared" si="1"/>
        <v>-0.88122547336560075</v>
      </c>
      <c r="I10">
        <f t="shared" si="2"/>
        <v>0.40071797276670967</v>
      </c>
      <c r="K10">
        <f t="shared" si="3"/>
        <v>0.17190535704779938</v>
      </c>
      <c r="M10">
        <v>9</v>
      </c>
      <c r="N10">
        <v>0.17190535704779938</v>
      </c>
    </row>
    <row r="11" spans="1:14">
      <c r="A11">
        <v>10</v>
      </c>
      <c r="B11">
        <v>1259</v>
      </c>
      <c r="C11">
        <v>572</v>
      </c>
      <c r="D11">
        <v>6</v>
      </c>
      <c r="E11">
        <v>36</v>
      </c>
      <c r="G11">
        <f t="shared" si="0"/>
        <v>-0.22361960405717496</v>
      </c>
      <c r="H11">
        <f t="shared" si="1"/>
        <v>-2.1750712294895762</v>
      </c>
      <c r="I11">
        <f t="shared" si="2"/>
        <v>-0.76007115652678636</v>
      </c>
      <c r="K11">
        <f t="shared" si="3"/>
        <v>-1.0529206633578456</v>
      </c>
      <c r="M11">
        <v>10</v>
      </c>
      <c r="N11">
        <v>-1.0529206633578456</v>
      </c>
    </row>
    <row r="12" spans="1:14">
      <c r="A12">
        <v>11</v>
      </c>
      <c r="B12">
        <v>2393</v>
      </c>
      <c r="C12">
        <v>1184</v>
      </c>
      <c r="D12">
        <v>36</v>
      </c>
      <c r="E12">
        <v>588</v>
      </c>
      <c r="G12">
        <f t="shared" si="0"/>
        <v>-0.18658089896887287</v>
      </c>
      <c r="H12">
        <f t="shared" si="1"/>
        <v>-1.6758369476115076</v>
      </c>
      <c r="I12">
        <f t="shared" si="2"/>
        <v>0.1740867002764902</v>
      </c>
      <c r="K12">
        <f t="shared" si="3"/>
        <v>-0.56277704876796342</v>
      </c>
      <c r="M12">
        <v>11</v>
      </c>
      <c r="N12">
        <v>-0.56277704876796342</v>
      </c>
    </row>
    <row r="13" spans="1:14">
      <c r="A13">
        <v>12</v>
      </c>
      <c r="B13">
        <v>936</v>
      </c>
      <c r="C13">
        <v>619</v>
      </c>
      <c r="D13">
        <v>64</v>
      </c>
      <c r="E13">
        <v>135</v>
      </c>
      <c r="G13">
        <f t="shared" si="0"/>
        <v>-6.0575102460323785E-2</v>
      </c>
      <c r="H13">
        <f t="shared" si="1"/>
        <v>-1.0182926245195754</v>
      </c>
      <c r="I13">
        <f t="shared" si="2"/>
        <v>-5.7290007429310119E-2</v>
      </c>
      <c r="K13">
        <f t="shared" si="3"/>
        <v>-0.37871924480306979</v>
      </c>
      <c r="M13">
        <v>12</v>
      </c>
      <c r="N13">
        <v>-0.37871924480306979</v>
      </c>
    </row>
    <row r="14" spans="1:14">
      <c r="A14">
        <v>13</v>
      </c>
      <c r="B14">
        <v>1362</v>
      </c>
      <c r="C14">
        <v>126</v>
      </c>
      <c r="D14">
        <v>183</v>
      </c>
      <c r="E14">
        <v>127</v>
      </c>
      <c r="G14">
        <f t="shared" si="0"/>
        <v>-0.91479646520154001</v>
      </c>
      <c r="H14">
        <f t="shared" si="1"/>
        <v>-0.72492276761169427</v>
      </c>
      <c r="I14">
        <f t="shared" si="2"/>
        <v>-0.24672131380702056</v>
      </c>
      <c r="K14">
        <f t="shared" si="3"/>
        <v>-0.62881351554008502</v>
      </c>
      <c r="M14">
        <v>13</v>
      </c>
      <c r="N14">
        <v>-0.62881351554008502</v>
      </c>
    </row>
    <row r="15" spans="1:14">
      <c r="A15">
        <v>14</v>
      </c>
      <c r="B15">
        <v>1826</v>
      </c>
      <c r="C15">
        <v>1461</v>
      </c>
      <c r="D15">
        <v>1210</v>
      </c>
      <c r="E15">
        <v>5656</v>
      </c>
      <c r="G15">
        <f t="shared" si="0"/>
        <v>2.215953999368013E-2</v>
      </c>
      <c r="H15">
        <f t="shared" si="1"/>
        <v>-3.1912152647187386E-2</v>
      </c>
      <c r="I15">
        <f t="shared" si="2"/>
        <v>1.2746607004043518</v>
      </c>
      <c r="K15">
        <f t="shared" si="3"/>
        <v>0.42163602925028149</v>
      </c>
      <c r="M15">
        <v>14</v>
      </c>
      <c r="N15">
        <v>0.42163602925028149</v>
      </c>
    </row>
    <row r="16" spans="1:14">
      <c r="A16">
        <v>15</v>
      </c>
      <c r="B16">
        <v>1850</v>
      </c>
      <c r="C16">
        <v>3351</v>
      </c>
      <c r="D16">
        <v>42</v>
      </c>
      <c r="E16">
        <v>242</v>
      </c>
      <c r="G16">
        <f t="shared" si="0"/>
        <v>0.37701279668992116</v>
      </c>
      <c r="H16">
        <f t="shared" si="1"/>
        <v>-1.4971191877704708</v>
      </c>
      <c r="I16">
        <f t="shared" si="2"/>
        <v>-9.9704289608793517E-2</v>
      </c>
      <c r="K16">
        <f t="shared" si="3"/>
        <v>-0.406603560229781</v>
      </c>
      <c r="M16">
        <v>15</v>
      </c>
      <c r="N16">
        <v>-0.406603560229781</v>
      </c>
    </row>
    <row r="17" spans="1:14">
      <c r="A17">
        <v>16</v>
      </c>
      <c r="B17">
        <v>2714</v>
      </c>
      <c r="C17">
        <v>531</v>
      </c>
      <c r="D17">
        <v>97</v>
      </c>
      <c r="E17">
        <v>3518</v>
      </c>
      <c r="G17">
        <f t="shared" si="0"/>
        <v>-0.5895052249845858</v>
      </c>
      <c r="H17">
        <f t="shared" si="1"/>
        <v>-1.3000348588228308</v>
      </c>
      <c r="I17">
        <f t="shared" si="2"/>
        <v>0.89633806461151322</v>
      </c>
      <c r="K17">
        <f t="shared" si="3"/>
        <v>-0.33106733973196778</v>
      </c>
      <c r="M17">
        <v>16</v>
      </c>
      <c r="N17">
        <v>-0.33106733973196778</v>
      </c>
    </row>
    <row r="18" spans="1:14">
      <c r="A18">
        <v>17</v>
      </c>
      <c r="B18">
        <v>1054</v>
      </c>
      <c r="C18">
        <v>44</v>
      </c>
      <c r="D18">
        <v>148</v>
      </c>
      <c r="E18">
        <v>1452</v>
      </c>
      <c r="G18">
        <f t="shared" si="0"/>
        <v>-1.2603778371326768</v>
      </c>
      <c r="H18">
        <f t="shared" si="1"/>
        <v>-0.70577564524692771</v>
      </c>
      <c r="I18">
        <f t="shared" si="2"/>
        <v>0.92277807830133618</v>
      </c>
      <c r="K18">
        <f t="shared" si="3"/>
        <v>-0.34779180135942278</v>
      </c>
      <c r="M18">
        <v>17</v>
      </c>
      <c r="N18">
        <v>-0.34779180135942278</v>
      </c>
    </row>
    <row r="19" spans="1:14">
      <c r="A19">
        <v>18</v>
      </c>
      <c r="B19">
        <v>1090</v>
      </c>
      <c r="C19">
        <v>9</v>
      </c>
      <c r="D19">
        <v>207</v>
      </c>
      <c r="E19">
        <v>545</v>
      </c>
      <c r="G19">
        <f t="shared" si="0"/>
        <v>-1.9641738912436351</v>
      </c>
      <c r="H19">
        <f t="shared" si="1"/>
        <v>-0.57465290224906318</v>
      </c>
      <c r="I19">
        <f t="shared" si="2"/>
        <v>0.48262207714980782</v>
      </c>
      <c r="K19">
        <f t="shared" si="3"/>
        <v>-0.68540157211429686</v>
      </c>
      <c r="M19">
        <v>18</v>
      </c>
      <c r="N19">
        <v>-0.68540157211429686</v>
      </c>
    </row>
    <row r="20" spans="1:14">
      <c r="A20">
        <v>19</v>
      </c>
      <c r="B20">
        <v>1617</v>
      </c>
      <c r="C20">
        <v>2318</v>
      </c>
      <c r="D20">
        <v>100</v>
      </c>
      <c r="E20">
        <v>1277</v>
      </c>
      <c r="G20">
        <f t="shared" si="0"/>
        <v>0.27541350897883948</v>
      </c>
      <c r="H20">
        <f t="shared" si="1"/>
        <v>-1.0619067696717586</v>
      </c>
      <c r="I20">
        <f t="shared" si="2"/>
        <v>0.68113295017080322</v>
      </c>
      <c r="K20">
        <f t="shared" si="3"/>
        <v>-3.5120103507371971E-2</v>
      </c>
      <c r="M20">
        <v>19</v>
      </c>
      <c r="N20">
        <v>-3.5120103507371971E-2</v>
      </c>
    </row>
    <row r="21" spans="1:14">
      <c r="A21">
        <v>20</v>
      </c>
      <c r="B21">
        <v>1006</v>
      </c>
      <c r="C21">
        <v>28678</v>
      </c>
      <c r="D21">
        <v>499</v>
      </c>
      <c r="E21">
        <v>2477</v>
      </c>
      <c r="G21">
        <f t="shared" si="0"/>
        <v>1.5739609769487635</v>
      </c>
      <c r="H21">
        <f t="shared" si="1"/>
        <v>-0.157694184861876</v>
      </c>
      <c r="I21">
        <f t="shared" si="2"/>
        <v>1.1749800986797174</v>
      </c>
      <c r="K21">
        <f t="shared" si="3"/>
        <v>0.86374896358886832</v>
      </c>
      <c r="M21">
        <v>20</v>
      </c>
      <c r="N21">
        <v>0.86374896358886832</v>
      </c>
    </row>
    <row r="22" spans="1:14">
      <c r="A22">
        <v>21</v>
      </c>
      <c r="B22">
        <v>2042</v>
      </c>
      <c r="C22">
        <v>574</v>
      </c>
      <c r="D22">
        <v>95</v>
      </c>
      <c r="E22">
        <v>2489</v>
      </c>
      <c r="G22">
        <f t="shared" si="0"/>
        <v>-0.43213374809525446</v>
      </c>
      <c r="H22">
        <f t="shared" si="1"/>
        <v>-1.185528882227401</v>
      </c>
      <c r="I22">
        <f t="shared" si="2"/>
        <v>0.86962123167149086</v>
      </c>
      <c r="K22">
        <f t="shared" si="3"/>
        <v>-0.24934713288372157</v>
      </c>
      <c r="M22">
        <v>21</v>
      </c>
      <c r="N22">
        <v>-0.24934713288372157</v>
      </c>
    </row>
    <row r="23" spans="1:14">
      <c r="A23">
        <v>22</v>
      </c>
      <c r="B23">
        <v>1850</v>
      </c>
      <c r="C23">
        <v>1551</v>
      </c>
      <c r="D23">
        <v>47</v>
      </c>
      <c r="E23">
        <v>332</v>
      </c>
      <c r="G23">
        <f t="shared" si="0"/>
        <v>4.2450166668254602E-2</v>
      </c>
      <c r="H23">
        <f t="shared" si="1"/>
        <v>-1.4482706202326538</v>
      </c>
      <c r="I23">
        <f t="shared" si="2"/>
        <v>3.7618428114811531E-2</v>
      </c>
      <c r="K23">
        <f t="shared" si="3"/>
        <v>-0.45606734181652925</v>
      </c>
      <c r="M23">
        <v>22</v>
      </c>
      <c r="N23">
        <v>-0.45606734181652925</v>
      </c>
    </row>
    <row r="24" spans="1:14">
      <c r="A24">
        <v>23</v>
      </c>
      <c r="B24">
        <v>1119</v>
      </c>
      <c r="C24">
        <v>2217</v>
      </c>
      <c r="D24">
        <v>407</v>
      </c>
      <c r="E24">
        <v>1940</v>
      </c>
      <c r="G24">
        <f t="shared" si="0"/>
        <v>0.41594570384380158</v>
      </c>
      <c r="H24">
        <f t="shared" si="1"/>
        <v>-0.29243242706848738</v>
      </c>
      <c r="I24">
        <f t="shared" si="2"/>
        <v>1.0226237162156651</v>
      </c>
      <c r="K24">
        <f t="shared" si="3"/>
        <v>0.38204566433032644</v>
      </c>
      <c r="M24">
        <v>23</v>
      </c>
      <c r="N24">
        <v>0.38204566433032644</v>
      </c>
    </row>
    <row r="25" spans="1:14">
      <c r="A25">
        <v>24</v>
      </c>
      <c r="B25">
        <v>1448</v>
      </c>
      <c r="C25">
        <v>734</v>
      </c>
      <c r="D25">
        <v>1088</v>
      </c>
      <c r="E25">
        <v>427</v>
      </c>
      <c r="G25">
        <f t="shared" si="0"/>
        <v>-0.17606240468739409</v>
      </c>
      <c r="H25">
        <f t="shared" si="1"/>
        <v>2.2663583735675646E-2</v>
      </c>
      <c r="I25">
        <f t="shared" si="2"/>
        <v>0.25331138597768477</v>
      </c>
      <c r="K25">
        <f t="shared" si="3"/>
        <v>3.3304188341988776E-2</v>
      </c>
      <c r="M25">
        <v>24</v>
      </c>
      <c r="N25">
        <v>3.3304188341988776E-2</v>
      </c>
    </row>
    <row r="26" spans="1:14">
      <c r="A26">
        <v>25</v>
      </c>
      <c r="B26">
        <v>480</v>
      </c>
      <c r="C26">
        <v>7</v>
      </c>
      <c r="D26">
        <v>0</v>
      </c>
      <c r="E26">
        <v>1892</v>
      </c>
      <c r="G26">
        <f t="shared" si="0"/>
        <v>-1.7171331001036669</v>
      </c>
      <c r="H26" t="e">
        <f t="shared" si="1"/>
        <v>#NUM!</v>
      </c>
      <c r="I26">
        <f t="shared" si="2"/>
        <v>1.3793319675039757</v>
      </c>
      <c r="K26" t="e">
        <f t="shared" si="3"/>
        <v>#NUM!</v>
      </c>
      <c r="M26">
        <v>25</v>
      </c>
      <c r="N26">
        <v>-3</v>
      </c>
    </row>
    <row r="27" spans="1:14">
      <c r="A27">
        <v>26</v>
      </c>
      <c r="B27">
        <v>1407</v>
      </c>
      <c r="C27">
        <v>159</v>
      </c>
      <c r="D27">
        <v>49</v>
      </c>
      <c r="E27">
        <v>1275</v>
      </c>
      <c r="G27">
        <f t="shared" si="0"/>
        <v>-0.82788687585663079</v>
      </c>
      <c r="H27">
        <f t="shared" si="1"/>
        <v>-1.3112947671715895</v>
      </c>
      <c r="I27">
        <f t="shared" si="2"/>
        <v>0.74086816014901724</v>
      </c>
      <c r="K27">
        <f t="shared" si="3"/>
        <v>-0.46610449429306766</v>
      </c>
      <c r="M27">
        <v>26</v>
      </c>
      <c r="N27">
        <v>-0.46610449429306766</v>
      </c>
    </row>
    <row r="28" spans="1:14">
      <c r="A28">
        <v>27</v>
      </c>
      <c r="B28">
        <v>1829</v>
      </c>
      <c r="C28">
        <v>51</v>
      </c>
      <c r="D28">
        <v>38</v>
      </c>
      <c r="E28">
        <v>213</v>
      </c>
      <c r="G28">
        <f t="shared" si="0"/>
        <v>-1.4356334321208171</v>
      </c>
      <c r="H28">
        <f t="shared" si="1"/>
        <v>-1.5356268586249642</v>
      </c>
      <c r="I28">
        <f t="shared" si="2"/>
        <v>-0.15018202922389012</v>
      </c>
      <c r="K28">
        <f t="shared" si="3"/>
        <v>-1.0404807733232238</v>
      </c>
      <c r="M28">
        <v>27</v>
      </c>
      <c r="N28">
        <v>-1.0404807733232238</v>
      </c>
    </row>
    <row r="29" spans="1:14">
      <c r="A29">
        <v>28</v>
      </c>
      <c r="B29">
        <v>4124</v>
      </c>
      <c r="C29">
        <v>546</v>
      </c>
      <c r="D29">
        <v>676</v>
      </c>
      <c r="E29">
        <v>10517</v>
      </c>
      <c r="G29">
        <f t="shared" si="0"/>
        <v>-0.75911591664907829</v>
      </c>
      <c r="H29">
        <f t="shared" si="1"/>
        <v>-0.63856871043520025</v>
      </c>
      <c r="I29">
        <f t="shared" si="2"/>
        <v>1.1902252901214192</v>
      </c>
      <c r="K29">
        <f t="shared" si="3"/>
        <v>-6.9153112320953156E-2</v>
      </c>
      <c r="M29">
        <v>28</v>
      </c>
      <c r="N29">
        <v>-6.9153112320953156E-2</v>
      </c>
    </row>
    <row r="30" spans="1:14">
      <c r="A30">
        <v>29</v>
      </c>
      <c r="B30">
        <v>1030</v>
      </c>
      <c r="C30">
        <v>2040</v>
      </c>
      <c r="D30">
        <v>139</v>
      </c>
      <c r="E30">
        <v>225</v>
      </c>
      <c r="G30">
        <f t="shared" si="0"/>
        <v>0.41580303997839002</v>
      </c>
      <c r="H30">
        <f t="shared" si="1"/>
        <v>-0.72301917421643447</v>
      </c>
      <c r="I30">
        <f t="shared" si="2"/>
        <v>0.12299736621997925</v>
      </c>
      <c r="K30">
        <f t="shared" si="3"/>
        <v>-6.1406256006021731E-2</v>
      </c>
      <c r="M30">
        <v>29</v>
      </c>
      <c r="N30">
        <v>-6.1406256006021731E-2</v>
      </c>
    </row>
    <row r="31" spans="1:14">
      <c r="A31">
        <v>30</v>
      </c>
      <c r="B31">
        <v>5378</v>
      </c>
      <c r="C31">
        <v>7509</v>
      </c>
      <c r="D31">
        <v>1665</v>
      </c>
      <c r="E31">
        <v>5786</v>
      </c>
      <c r="G31">
        <f t="shared" si="0"/>
        <v>0.26397140369826638</v>
      </c>
      <c r="H31">
        <f t="shared" si="1"/>
        <v>-0.36240330981030144</v>
      </c>
      <c r="I31">
        <f t="shared" si="2"/>
        <v>0.81540970423847026</v>
      </c>
      <c r="K31">
        <f t="shared" si="3"/>
        <v>0.23899259937547837</v>
      </c>
      <c r="M31">
        <v>30</v>
      </c>
      <c r="N31">
        <v>0.23899259937547837</v>
      </c>
    </row>
    <row r="32" spans="1:14">
      <c r="A32">
        <v>31</v>
      </c>
      <c r="B32">
        <v>759</v>
      </c>
      <c r="C32">
        <v>116</v>
      </c>
      <c r="D32">
        <v>2</v>
      </c>
      <c r="E32">
        <v>689</v>
      </c>
      <c r="G32">
        <f t="shared" si="0"/>
        <v>-0.69677368941089846</v>
      </c>
      <c r="H32">
        <f t="shared" si="1"/>
        <v>-2.4324085299968567</v>
      </c>
      <c r="I32">
        <f t="shared" si="2"/>
        <v>0.74162951882593453</v>
      </c>
      <c r="K32">
        <f t="shared" si="3"/>
        <v>-0.79585090019394011</v>
      </c>
      <c r="M32">
        <v>31</v>
      </c>
      <c r="N32">
        <v>-0.79585090019394011</v>
      </c>
    </row>
    <row r="33" spans="1:14">
      <c r="A33">
        <v>32</v>
      </c>
      <c r="B33">
        <v>689</v>
      </c>
      <c r="C33">
        <v>394</v>
      </c>
      <c r="D33">
        <v>198</v>
      </c>
      <c r="E33">
        <v>0</v>
      </c>
      <c r="G33">
        <f t="shared" si="0"/>
        <v>-0.12371290282438825</v>
      </c>
      <c r="H33">
        <f t="shared" si="1"/>
        <v>-0.39475078141145203</v>
      </c>
      <c r="I33" t="e">
        <f t="shared" si="2"/>
        <v>#NUM!</v>
      </c>
      <c r="K33" t="e">
        <f t="shared" si="3"/>
        <v>#NUM!</v>
      </c>
      <c r="M33">
        <v>32</v>
      </c>
      <c r="N33">
        <v>-3</v>
      </c>
    </row>
    <row r="34" spans="1:14">
      <c r="A34">
        <v>33</v>
      </c>
      <c r="B34">
        <v>1188</v>
      </c>
      <c r="C34">
        <v>1536</v>
      </c>
      <c r="D34">
        <v>847</v>
      </c>
      <c r="E34">
        <v>1016</v>
      </c>
      <c r="G34">
        <f t="shared" si="0"/>
        <v>0.23058487230798197</v>
      </c>
      <c r="H34">
        <f t="shared" si="1"/>
        <v>-1.2978007982519801E-4</v>
      </c>
      <c r="I34">
        <f t="shared" si="2"/>
        <v>0.71572934011651468</v>
      </c>
      <c r="K34">
        <f t="shared" si="3"/>
        <v>0.31539481078155712</v>
      </c>
      <c r="M34">
        <v>33</v>
      </c>
      <c r="N34">
        <v>0.31539481078155712</v>
      </c>
    </row>
    <row r="35" spans="1:14">
      <c r="A35">
        <v>34</v>
      </c>
      <c r="B35">
        <v>919</v>
      </c>
      <c r="C35">
        <v>2561</v>
      </c>
      <c r="D35">
        <v>574</v>
      </c>
      <c r="E35">
        <v>233</v>
      </c>
      <c r="G35">
        <f t="shared" si="0"/>
        <v>0.5641041643399819</v>
      </c>
      <c r="H35">
        <f t="shared" si="1"/>
        <v>-5.7600368753495085E-2</v>
      </c>
      <c r="I35">
        <f t="shared" si="2"/>
        <v>0.18769248245369663</v>
      </c>
      <c r="K35">
        <f t="shared" si="3"/>
        <v>0.23139875934672782</v>
      </c>
      <c r="M35">
        <v>34</v>
      </c>
      <c r="N35">
        <v>0.23139875934672782</v>
      </c>
    </row>
    <row r="36" spans="1:14">
      <c r="A36">
        <v>35</v>
      </c>
      <c r="B36">
        <v>1419</v>
      </c>
      <c r="C36">
        <v>678</v>
      </c>
      <c r="D36">
        <v>1</v>
      </c>
      <c r="E36">
        <v>37</v>
      </c>
      <c r="G36">
        <f t="shared" si="0"/>
        <v>-0.20174260433274716</v>
      </c>
      <c r="H36">
        <f t="shared" si="1"/>
        <v>-3.0051791452228316</v>
      </c>
      <c r="I36">
        <f t="shared" si="2"/>
        <v>-0.80012859857668994</v>
      </c>
      <c r="K36">
        <f t="shared" si="3"/>
        <v>-1.335683449377423</v>
      </c>
      <c r="M36">
        <v>35</v>
      </c>
      <c r="N36">
        <v>-1.335683449377423</v>
      </c>
    </row>
    <row r="37" spans="1:14">
      <c r="A37">
        <v>36</v>
      </c>
      <c r="B37">
        <v>3970</v>
      </c>
      <c r="C37">
        <v>672</v>
      </c>
      <c r="D37">
        <v>133</v>
      </c>
      <c r="E37">
        <v>772</v>
      </c>
      <c r="G37">
        <f t="shared" si="0"/>
        <v>-0.65241113645162641</v>
      </c>
      <c r="H37">
        <f t="shared" si="1"/>
        <v>-1.3281356155613868</v>
      </c>
      <c r="I37">
        <f t="shared" si="2"/>
        <v>7.2478866386410101E-2</v>
      </c>
      <c r="K37">
        <f t="shared" si="3"/>
        <v>-0.63602262854220104</v>
      </c>
      <c r="M37">
        <v>36</v>
      </c>
      <c r="N37">
        <v>-0.63602262854220104</v>
      </c>
    </row>
    <row r="38" spans="1:14">
      <c r="A38">
        <v>37</v>
      </c>
      <c r="B38">
        <v>508</v>
      </c>
      <c r="C38">
        <v>13</v>
      </c>
      <c r="D38">
        <v>18</v>
      </c>
      <c r="E38">
        <v>401</v>
      </c>
      <c r="G38">
        <f t="shared" si="0"/>
        <v>-1.4729102627194191</v>
      </c>
      <c r="H38">
        <f t="shared" si="1"/>
        <v>-1.3037879569459707</v>
      </c>
      <c r="I38">
        <f t="shared" si="2"/>
        <v>0.68093273315005209</v>
      </c>
      <c r="K38">
        <f t="shared" si="3"/>
        <v>-0.69858849550511248</v>
      </c>
      <c r="M38">
        <v>37</v>
      </c>
      <c r="N38">
        <v>-0.69858849550511248</v>
      </c>
    </row>
    <row r="39" spans="1:14">
      <c r="A39">
        <v>38</v>
      </c>
      <c r="B39">
        <v>404</v>
      </c>
      <c r="C39">
        <v>415</v>
      </c>
      <c r="D39">
        <v>1</v>
      </c>
      <c r="E39">
        <v>172</v>
      </c>
      <c r="G39">
        <f t="shared" si="0"/>
        <v>0.13067682885915122</v>
      </c>
      <c r="H39">
        <f t="shared" si="1"/>
        <v>-2.4595781148759626</v>
      </c>
      <c r="I39">
        <f t="shared" si="2"/>
        <v>0.41279915461073297</v>
      </c>
      <c r="K39">
        <f t="shared" si="3"/>
        <v>-0.6387007104686927</v>
      </c>
      <c r="M39">
        <v>38</v>
      </c>
      <c r="N39">
        <v>-0.6387007104686927</v>
      </c>
    </row>
    <row r="40" spans="1:14">
      <c r="A40">
        <v>39</v>
      </c>
      <c r="B40">
        <v>1785</v>
      </c>
      <c r="C40">
        <v>134</v>
      </c>
      <c r="D40">
        <v>1303</v>
      </c>
      <c r="E40">
        <v>10</v>
      </c>
      <c r="G40">
        <f t="shared" si="0"/>
        <v>-1.0055233248257409</v>
      </c>
      <c r="H40">
        <f t="shared" si="1"/>
        <v>1.0109445499015324E-2</v>
      </c>
      <c r="I40">
        <f t="shared" si="2"/>
        <v>-1.4679861476344229</v>
      </c>
      <c r="K40">
        <f t="shared" si="3"/>
        <v>-0.82113334232038282</v>
      </c>
      <c r="M40">
        <v>39</v>
      </c>
      <c r="N40">
        <v>-0.82113334232038282</v>
      </c>
    </row>
    <row r="41" spans="1:14">
      <c r="A41">
        <v>40</v>
      </c>
      <c r="B41">
        <v>1149</v>
      </c>
      <c r="C41">
        <v>55</v>
      </c>
      <c r="D41">
        <v>17</v>
      </c>
      <c r="E41">
        <v>102</v>
      </c>
      <c r="G41">
        <f t="shared" si="0"/>
        <v>-1.2009472419363778</v>
      </c>
      <c r="H41">
        <f t="shared" si="1"/>
        <v>-1.6830678570753688</v>
      </c>
      <c r="I41">
        <f t="shared" si="2"/>
        <v>-0.2680677841125787</v>
      </c>
      <c r="K41">
        <f t="shared" si="3"/>
        <v>-1.050694294374775</v>
      </c>
      <c r="M41">
        <v>40</v>
      </c>
      <c r="N41">
        <v>-1.050694294374775</v>
      </c>
    </row>
    <row r="42" spans="1:14">
      <c r="A42">
        <v>41</v>
      </c>
      <c r="B42">
        <v>2249</v>
      </c>
      <c r="C42">
        <v>182</v>
      </c>
      <c r="D42">
        <v>14</v>
      </c>
      <c r="E42">
        <v>48</v>
      </c>
      <c r="G42">
        <f t="shared" si="0"/>
        <v>-0.97290797019289388</v>
      </c>
      <c r="H42">
        <f t="shared" si="1"/>
        <v>-2.0590581695227517</v>
      </c>
      <c r="I42">
        <f t="shared" si="2"/>
        <v>-0.88709614524625602</v>
      </c>
      <c r="K42">
        <f t="shared" si="3"/>
        <v>-1.3063540949873005</v>
      </c>
      <c r="M42">
        <v>41</v>
      </c>
      <c r="N42">
        <v>-1.3063540949873005</v>
      </c>
    </row>
    <row r="43" spans="1:14">
      <c r="A43">
        <v>42</v>
      </c>
      <c r="B43">
        <v>1258</v>
      </c>
      <c r="C43">
        <v>413</v>
      </c>
      <c r="D43">
        <v>98</v>
      </c>
      <c r="E43">
        <v>85</v>
      </c>
      <c r="G43">
        <f t="shared" si="0"/>
        <v>-0.3647204921951856</v>
      </c>
      <c r="H43">
        <f t="shared" si="1"/>
        <v>-0.96165131518211255</v>
      </c>
      <c r="I43">
        <f t="shared" si="2"/>
        <v>-0.38660964258116826</v>
      </c>
      <c r="K43">
        <f t="shared" si="3"/>
        <v>-0.57099381665282212</v>
      </c>
      <c r="M43">
        <v>42</v>
      </c>
      <c r="N43">
        <v>-0.57099381665282212</v>
      </c>
    </row>
    <row r="44" spans="1:14">
      <c r="A44">
        <v>43</v>
      </c>
      <c r="B44">
        <v>458</v>
      </c>
      <c r="C44">
        <v>1655</v>
      </c>
      <c r="D44">
        <v>356</v>
      </c>
      <c r="E44">
        <v>3703</v>
      </c>
      <c r="G44">
        <f t="shared" si="0"/>
        <v>0.67694261736553174</v>
      </c>
      <c r="H44">
        <f t="shared" si="1"/>
        <v>3.7387770203648668E-2</v>
      </c>
      <c r="I44">
        <f t="shared" si="2"/>
        <v>1.6913403068593624</v>
      </c>
      <c r="K44">
        <f t="shared" si="3"/>
        <v>0.80189023147618099</v>
      </c>
      <c r="M44">
        <v>43</v>
      </c>
      <c r="N44">
        <v>0.80189023147618099</v>
      </c>
    </row>
    <row r="45" spans="1:14">
      <c r="A45">
        <v>44</v>
      </c>
      <c r="B45">
        <v>1146</v>
      </c>
      <c r="C45">
        <v>484</v>
      </c>
      <c r="D45">
        <v>18</v>
      </c>
      <c r="E45">
        <v>137</v>
      </c>
      <c r="G45">
        <f t="shared" si="0"/>
        <v>-0.25532915872929518</v>
      </c>
      <c r="H45">
        <f t="shared" si="1"/>
        <v>-1.6571088622934225</v>
      </c>
      <c r="I45">
        <f t="shared" si="2"/>
        <v>-0.13881197766117537</v>
      </c>
      <c r="K45">
        <f t="shared" si="3"/>
        <v>-0.68374999956129778</v>
      </c>
      <c r="M45">
        <v>44</v>
      </c>
      <c r="N45">
        <v>-0.68374999956129778</v>
      </c>
    </row>
    <row r="46" spans="1:14">
      <c r="A46">
        <v>45</v>
      </c>
      <c r="B46">
        <v>2984</v>
      </c>
      <c r="C46">
        <v>6285</v>
      </c>
      <c r="D46">
        <v>284</v>
      </c>
      <c r="E46">
        <v>1816</v>
      </c>
      <c r="G46">
        <f t="shared" si="0"/>
        <v>0.44251656047900889</v>
      </c>
      <c r="H46">
        <f t="shared" si="1"/>
        <v>-0.87467722851895091</v>
      </c>
      <c r="I46">
        <f t="shared" si="2"/>
        <v>0.56796909819822416</v>
      </c>
      <c r="K46">
        <f t="shared" si="3"/>
        <v>4.5269476719427382E-2</v>
      </c>
      <c r="M46">
        <v>45</v>
      </c>
      <c r="N46">
        <v>4.5269476719427382E-2</v>
      </c>
    </row>
    <row r="47" spans="1:14">
      <c r="A47">
        <v>46</v>
      </c>
      <c r="B47">
        <v>1908</v>
      </c>
      <c r="C47">
        <v>3042</v>
      </c>
      <c r="D47">
        <v>1613965</v>
      </c>
      <c r="E47">
        <v>3007</v>
      </c>
      <c r="G47">
        <f t="shared" si="0"/>
        <v>0.32159093660656674</v>
      </c>
      <c r="H47">
        <f t="shared" si="1"/>
        <v>3.0741189923643404</v>
      </c>
      <c r="I47">
        <f t="shared" si="2"/>
        <v>0.98120713054623021</v>
      </c>
      <c r="K47">
        <f t="shared" si="3"/>
        <v>1.4589723531723788</v>
      </c>
      <c r="M47">
        <v>46</v>
      </c>
      <c r="N47">
        <v>1.4589723531723788</v>
      </c>
    </row>
    <row r="48" spans="1:14">
      <c r="A48">
        <v>47</v>
      </c>
      <c r="B48">
        <v>2080</v>
      </c>
      <c r="C48">
        <v>839</v>
      </c>
      <c r="D48">
        <v>856</v>
      </c>
      <c r="E48">
        <v>1610</v>
      </c>
      <c r="G48">
        <f t="shared" si="0"/>
        <v>-0.27529127687639776</v>
      </c>
      <c r="H48">
        <f t="shared" si="1"/>
        <v>-0.2387863200509657</v>
      </c>
      <c r="I48">
        <f t="shared" si="2"/>
        <v>0.67241461388287715</v>
      </c>
      <c r="K48">
        <f t="shared" si="3"/>
        <v>5.2779005651837907E-2</v>
      </c>
      <c r="M48">
        <v>47</v>
      </c>
      <c r="N48">
        <v>5.2779005651837907E-2</v>
      </c>
    </row>
    <row r="49" spans="1:14">
      <c r="A49">
        <v>48</v>
      </c>
      <c r="B49">
        <v>3300</v>
      </c>
      <c r="C49">
        <v>1194</v>
      </c>
      <c r="D49">
        <v>871</v>
      </c>
      <c r="E49">
        <v>3715</v>
      </c>
      <c r="G49">
        <f t="shared" si="0"/>
        <v>-0.3224995158268737</v>
      </c>
      <c r="H49">
        <f t="shared" si="1"/>
        <v>-0.43169253463558166</v>
      </c>
      <c r="I49">
        <f t="shared" si="2"/>
        <v>0.83509695103249559</v>
      </c>
      <c r="K49">
        <f t="shared" si="3"/>
        <v>2.6968300190013433E-2</v>
      </c>
      <c r="M49">
        <v>48</v>
      </c>
      <c r="N49">
        <v>2.6968300190013433E-2</v>
      </c>
    </row>
    <row r="50" spans="1:14">
      <c r="A50">
        <v>49</v>
      </c>
      <c r="B50">
        <v>3673</v>
      </c>
      <c r="C50">
        <v>15958</v>
      </c>
      <c r="D50">
        <v>353</v>
      </c>
      <c r="E50">
        <v>6074</v>
      </c>
      <c r="G50">
        <f t="shared" si="0"/>
        <v>0.75696762964943487</v>
      </c>
      <c r="H50">
        <f t="shared" si="1"/>
        <v>-0.87044297272282856</v>
      </c>
      <c r="I50">
        <f t="shared" si="2"/>
        <v>1.0021059320507417</v>
      </c>
      <c r="K50">
        <f t="shared" si="3"/>
        <v>0.29621019632578266</v>
      </c>
      <c r="M50">
        <v>49</v>
      </c>
      <c r="N50">
        <v>0.29621019632578266</v>
      </c>
    </row>
    <row r="51" spans="1:14">
      <c r="A51">
        <v>50</v>
      </c>
      <c r="B51">
        <v>1218</v>
      </c>
      <c r="C51">
        <v>1159</v>
      </c>
      <c r="D51">
        <v>85</v>
      </c>
      <c r="E51">
        <v>3234</v>
      </c>
      <c r="G51">
        <f t="shared" si="0"/>
        <v>9.7446244924402917E-2</v>
      </c>
      <c r="H51">
        <f t="shared" si="1"/>
        <v>-1.0094251123479212</v>
      </c>
      <c r="I51">
        <f t="shared" si="2"/>
        <v>1.2077448000873148</v>
      </c>
      <c r="K51">
        <f t="shared" si="3"/>
        <v>9.8588644221265495E-2</v>
      </c>
      <c r="M51">
        <v>50</v>
      </c>
      <c r="N51">
        <v>9.8588644221265495E-2</v>
      </c>
    </row>
    <row r="52" spans="1:14">
      <c r="A52">
        <v>51</v>
      </c>
      <c r="B52">
        <v>2604</v>
      </c>
      <c r="C52">
        <v>3074</v>
      </c>
      <c r="D52">
        <v>204</v>
      </c>
      <c r="E52">
        <v>4205</v>
      </c>
      <c r="G52">
        <f t="shared" si="0"/>
        <v>0.19107298052523541</v>
      </c>
      <c r="H52">
        <f t="shared" si="1"/>
        <v>-0.95920756223561299</v>
      </c>
      <c r="I52">
        <f t="shared" si="2"/>
        <v>0.99177709305156569</v>
      </c>
      <c r="K52">
        <f t="shared" si="3"/>
        <v>7.4547503780396054E-2</v>
      </c>
      <c r="M52">
        <v>51</v>
      </c>
      <c r="N52">
        <v>7.4547503780396054E-2</v>
      </c>
    </row>
    <row r="53" spans="1:14">
      <c r="A53">
        <v>52</v>
      </c>
      <c r="B53">
        <v>3167</v>
      </c>
      <c r="C53">
        <v>289</v>
      </c>
      <c r="D53">
        <v>3078</v>
      </c>
      <c r="E53">
        <v>740</v>
      </c>
      <c r="G53">
        <f t="shared" si="0"/>
        <v>-0.92074012335770072</v>
      </c>
      <c r="H53">
        <f t="shared" si="1"/>
        <v>0.13442380235819062</v>
      </c>
      <c r="I53">
        <f t="shared" si="2"/>
        <v>0.15223572917285333</v>
      </c>
      <c r="K53">
        <f t="shared" si="3"/>
        <v>-0.21136019727555225</v>
      </c>
      <c r="M53">
        <v>52</v>
      </c>
      <c r="N53">
        <v>-0.21136019727555225</v>
      </c>
    </row>
    <row r="54" spans="1:14">
      <c r="A54">
        <v>53</v>
      </c>
      <c r="B54">
        <v>2126</v>
      </c>
      <c r="C54">
        <v>1111</v>
      </c>
      <c r="D54">
        <v>38</v>
      </c>
      <c r="E54">
        <v>1095</v>
      </c>
      <c r="G54">
        <f t="shared" si="0"/>
        <v>-0.1628391039887469</v>
      </c>
      <c r="H54">
        <f t="shared" si="1"/>
        <v>-1.6009764133358253</v>
      </c>
      <c r="I54">
        <f t="shared" si="2"/>
        <v>0.49550293180264821</v>
      </c>
      <c r="K54">
        <f t="shared" si="3"/>
        <v>-0.42277086184064133</v>
      </c>
      <c r="M54">
        <v>53</v>
      </c>
      <c r="N54">
        <v>-0.42277086184064133</v>
      </c>
    </row>
    <row r="55" spans="1:14">
      <c r="A55">
        <v>54</v>
      </c>
      <c r="B55">
        <v>1615</v>
      </c>
      <c r="C55">
        <v>2522</v>
      </c>
      <c r="D55">
        <v>4037</v>
      </c>
      <c r="E55">
        <v>1702</v>
      </c>
      <c r="G55">
        <f t="shared" si="0"/>
        <v>0.31258265282760456</v>
      </c>
      <c r="H55">
        <f t="shared" si="1"/>
        <v>0.54468947297783532</v>
      </c>
      <c r="I55">
        <f t="shared" si="2"/>
        <v>0.80643910189523638</v>
      </c>
      <c r="K55">
        <f t="shared" si="3"/>
        <v>0.55457040923355871</v>
      </c>
      <c r="M55">
        <v>54</v>
      </c>
      <c r="N55">
        <v>0.55457040923355871</v>
      </c>
    </row>
    <row r="56" spans="1:14">
      <c r="A56">
        <v>55</v>
      </c>
      <c r="B56">
        <v>658</v>
      </c>
      <c r="C56">
        <v>113</v>
      </c>
      <c r="D56">
        <v>87</v>
      </c>
      <c r="E56">
        <v>763</v>
      </c>
      <c r="G56">
        <f t="shared" si="0"/>
        <v>-0.64613735287287233</v>
      </c>
      <c r="H56">
        <f t="shared" si="1"/>
        <v>-0.73190339076069422</v>
      </c>
      <c r="I56">
        <f t="shared" si="2"/>
        <v>0.84795071715471393</v>
      </c>
      <c r="K56">
        <f t="shared" si="3"/>
        <v>-0.1766966754929509</v>
      </c>
      <c r="M56">
        <v>55</v>
      </c>
      <c r="N56">
        <v>-0.1766966754929509</v>
      </c>
    </row>
    <row r="57" spans="1:14">
      <c r="A57">
        <v>56</v>
      </c>
      <c r="B57">
        <v>1422</v>
      </c>
      <c r="C57">
        <v>29</v>
      </c>
      <c r="D57">
        <v>59</v>
      </c>
      <c r="E57">
        <v>96</v>
      </c>
      <c r="G57">
        <f t="shared" si="0"/>
        <v>-1.571491501237128</v>
      </c>
      <c r="H57">
        <f t="shared" si="1"/>
        <v>-1.2352443345169608</v>
      </c>
      <c r="I57">
        <f t="shared" si="2"/>
        <v>-0.38697629054039018</v>
      </c>
      <c r="K57">
        <f t="shared" si="3"/>
        <v>-1.0645707087648264</v>
      </c>
      <c r="M57">
        <v>56</v>
      </c>
      <c r="N57">
        <v>-1.0645707087648264</v>
      </c>
    </row>
    <row r="58" spans="1:14">
      <c r="A58">
        <v>57</v>
      </c>
      <c r="B58">
        <v>948</v>
      </c>
      <c r="C58">
        <v>13</v>
      </c>
      <c r="D58">
        <v>619</v>
      </c>
      <c r="E58">
        <v>85</v>
      </c>
      <c r="G58">
        <f t="shared" si="0"/>
        <v>-1.743854887773566</v>
      </c>
      <c r="H58">
        <f t="shared" si="1"/>
        <v>-3.8314438083305646E-2</v>
      </c>
      <c r="I58">
        <f t="shared" si="2"/>
        <v>-0.2637373388099844</v>
      </c>
      <c r="K58">
        <f t="shared" si="3"/>
        <v>-0.68196888822228541</v>
      </c>
      <c r="M58">
        <v>57</v>
      </c>
      <c r="N58">
        <v>-0.68196888822228541</v>
      </c>
    </row>
    <row r="59" spans="1:14">
      <c r="A59">
        <v>58</v>
      </c>
      <c r="B59">
        <v>3173</v>
      </c>
      <c r="C59">
        <v>3568</v>
      </c>
      <c r="D59">
        <v>33</v>
      </c>
      <c r="E59">
        <v>704</v>
      </c>
      <c r="G59">
        <f t="shared" si="0"/>
        <v>0.16996487086133671</v>
      </c>
      <c r="H59">
        <f t="shared" si="1"/>
        <v>-1.8361528819878821</v>
      </c>
      <c r="I59">
        <f t="shared" si="2"/>
        <v>0.12975465985548895</v>
      </c>
      <c r="K59">
        <f t="shared" si="3"/>
        <v>-0.5121444504236855</v>
      </c>
      <c r="M59">
        <v>58</v>
      </c>
      <c r="N59">
        <v>-0.5121444504236855</v>
      </c>
    </row>
    <row r="60" spans="1:14">
      <c r="A60">
        <v>59</v>
      </c>
      <c r="B60">
        <v>5005</v>
      </c>
      <c r="C60">
        <v>76134</v>
      </c>
      <c r="D60">
        <v>2830</v>
      </c>
      <c r="E60">
        <v>15858</v>
      </c>
      <c r="G60">
        <f t="shared" si="0"/>
        <v>1.3011846632087372</v>
      </c>
      <c r="H60">
        <f t="shared" si="1"/>
        <v>-0.10081439605640458</v>
      </c>
      <c r="I60">
        <f t="shared" si="2"/>
        <v>1.2844964045138054</v>
      </c>
      <c r="K60">
        <f t="shared" si="3"/>
        <v>0.82828889055537935</v>
      </c>
      <c r="M60">
        <v>59</v>
      </c>
      <c r="N60">
        <v>0.82828889055537935</v>
      </c>
    </row>
    <row r="61" spans="1:14">
      <c r="A61">
        <v>60</v>
      </c>
      <c r="B61">
        <v>2217</v>
      </c>
      <c r="C61">
        <v>4480</v>
      </c>
      <c r="D61">
        <v>26</v>
      </c>
      <c r="E61">
        <v>4298</v>
      </c>
      <c r="G61">
        <f t="shared" si="0"/>
        <v>0.4245224181413193</v>
      </c>
      <c r="H61">
        <f t="shared" si="1"/>
        <v>-1.7839890949090276</v>
      </c>
      <c r="I61">
        <f t="shared" si="2"/>
        <v>1.0711527908547254</v>
      </c>
      <c r="K61">
        <f t="shared" si="3"/>
        <v>-9.6104628637661005E-2</v>
      </c>
      <c r="M61">
        <v>60</v>
      </c>
      <c r="N61">
        <v>-9.6104628637661005E-2</v>
      </c>
    </row>
    <row r="62" spans="1:14">
      <c r="A62">
        <v>61</v>
      </c>
      <c r="B62">
        <v>437</v>
      </c>
      <c r="C62">
        <v>2418</v>
      </c>
      <c r="D62">
        <v>119</v>
      </c>
      <c r="E62">
        <v>28</v>
      </c>
      <c r="G62">
        <f t="shared" si="0"/>
        <v>0.86198495681199472</v>
      </c>
      <c r="H62">
        <f t="shared" si="1"/>
        <v>-0.41813122534324842</v>
      </c>
      <c r="I62">
        <f t="shared" si="2"/>
        <v>-0.4096713328144137</v>
      </c>
      <c r="K62">
        <f t="shared" si="3"/>
        <v>1.139413288477753E-2</v>
      </c>
      <c r="M62">
        <v>61</v>
      </c>
      <c r="N62">
        <v>1.139413288477753E-2</v>
      </c>
    </row>
    <row r="63" spans="1:14">
      <c r="A63">
        <v>62</v>
      </c>
      <c r="B63">
        <v>2050</v>
      </c>
      <c r="C63">
        <v>368</v>
      </c>
      <c r="D63">
        <v>123</v>
      </c>
      <c r="E63">
        <v>752</v>
      </c>
      <c r="G63">
        <f t="shared" si="0"/>
        <v>-0.62689594512457325</v>
      </c>
      <c r="H63">
        <f t="shared" si="1"/>
        <v>-1.0750454993817138</v>
      </c>
      <c r="I63">
        <f t="shared" si="2"/>
        <v>0.34811605234967696</v>
      </c>
      <c r="K63">
        <f t="shared" si="3"/>
        <v>-0.45127513071887004</v>
      </c>
      <c r="M63">
        <v>62</v>
      </c>
      <c r="N63">
        <v>-0.45127513071887004</v>
      </c>
    </row>
    <row r="64" spans="1:14">
      <c r="A64">
        <v>63</v>
      </c>
      <c r="B64">
        <v>2162</v>
      </c>
      <c r="C64">
        <v>6049</v>
      </c>
      <c r="D64">
        <v>127</v>
      </c>
      <c r="E64">
        <v>32754</v>
      </c>
      <c r="G64">
        <f t="shared" si="0"/>
        <v>0.56583799214772268</v>
      </c>
      <c r="H64">
        <f t="shared" si="1"/>
        <v>-1.084248718426692</v>
      </c>
      <c r="I64">
        <f t="shared" si="2"/>
        <v>1.9640607278861024</v>
      </c>
      <c r="K64">
        <f t="shared" si="3"/>
        <v>0.48188333386904442</v>
      </c>
      <c r="M64">
        <v>63</v>
      </c>
      <c r="N64">
        <v>0.48188333386904442</v>
      </c>
    </row>
    <row r="65" spans="1:14">
      <c r="A65">
        <v>64</v>
      </c>
      <c r="B65">
        <v>2084</v>
      </c>
      <c r="C65">
        <v>1696</v>
      </c>
      <c r="D65">
        <v>20</v>
      </c>
      <c r="E65">
        <v>957</v>
      </c>
      <c r="G65">
        <f t="shared" si="0"/>
        <v>2.9538230550871653E-2</v>
      </c>
      <c r="H65">
        <f t="shared" si="1"/>
        <v>-1.8710644687288633</v>
      </c>
      <c r="I65">
        <f t="shared" si="2"/>
        <v>0.44566629596314572</v>
      </c>
      <c r="K65">
        <f t="shared" si="3"/>
        <v>-0.46528664740494868</v>
      </c>
      <c r="M65">
        <v>64</v>
      </c>
      <c r="N65">
        <v>-0.46528664740494868</v>
      </c>
    </row>
    <row r="66" spans="1:14">
      <c r="A66">
        <v>65</v>
      </c>
      <c r="B66">
        <v>2335</v>
      </c>
      <c r="C66">
        <v>884</v>
      </c>
      <c r="D66">
        <v>21</v>
      </c>
      <c r="E66">
        <v>128</v>
      </c>
      <c r="G66">
        <f t="shared" si="0"/>
        <v>-0.30282452263139437</v>
      </c>
      <c r="H66">
        <f t="shared" si="1"/>
        <v>-1.8992643399335689</v>
      </c>
      <c r="I66">
        <f t="shared" si="2"/>
        <v>-0.47742484244047367</v>
      </c>
      <c r="K66">
        <f t="shared" si="3"/>
        <v>-0.89317123500181239</v>
      </c>
      <c r="M66">
        <v>65</v>
      </c>
      <c r="N66">
        <v>-0.89317123500181239</v>
      </c>
    </row>
    <row r="67" spans="1:14">
      <c r="A67">
        <v>66</v>
      </c>
      <c r="B67">
        <v>1295</v>
      </c>
      <c r="C67">
        <v>261</v>
      </c>
      <c r="D67">
        <v>39</v>
      </c>
      <c r="E67">
        <v>464</v>
      </c>
      <c r="G67">
        <f t="shared" ref="G67:G130" si="4">LOG10(C67/B67)-LOG10(28875/37978)</f>
        <v>-0.57661916382132627</v>
      </c>
      <c r="H67">
        <f t="shared" ref="H67:H130" si="5">LOG10(D67/B67)-LOG10(27085/37978)</f>
        <v>-1.3744019111561288</v>
      </c>
      <c r="I67">
        <f t="shared" ref="I67:I130" si="6">LOG10(E67/B67)-LOG10(6250/37978)</f>
        <v>0.33790028495139923</v>
      </c>
      <c r="K67">
        <f t="shared" ref="K67:K130" si="7">AVERAGE(G67:I67)</f>
        <v>-0.5377069300086853</v>
      </c>
      <c r="M67">
        <v>66</v>
      </c>
      <c r="N67">
        <v>-0.5377069300086853</v>
      </c>
    </row>
    <row r="68" spans="1:14">
      <c r="A68">
        <v>67</v>
      </c>
      <c r="B68">
        <v>2327</v>
      </c>
      <c r="C68">
        <v>1289</v>
      </c>
      <c r="D68">
        <v>147</v>
      </c>
      <c r="E68">
        <v>512</v>
      </c>
      <c r="G68">
        <f t="shared" si="4"/>
        <v>-0.1375333686756634</v>
      </c>
      <c r="H68">
        <f t="shared" si="5"/>
        <v>-1.0526757983039112</v>
      </c>
      <c r="I68">
        <f t="shared" si="6"/>
        <v>0.12612565050288982</v>
      </c>
      <c r="K68">
        <f t="shared" si="7"/>
        <v>-0.35469450549222831</v>
      </c>
      <c r="M68">
        <v>67</v>
      </c>
      <c r="N68">
        <v>-0.35469450549222831</v>
      </c>
    </row>
    <row r="69" spans="1:14">
      <c r="A69">
        <v>68</v>
      </c>
      <c r="B69">
        <v>2592</v>
      </c>
      <c r="C69">
        <v>1006</v>
      </c>
      <c r="D69">
        <v>556</v>
      </c>
      <c r="E69">
        <v>739</v>
      </c>
      <c r="G69">
        <f t="shared" si="4"/>
        <v>-0.29202691922098367</v>
      </c>
      <c r="H69">
        <f t="shared" si="5"/>
        <v>-0.52175695538185551</v>
      </c>
      <c r="I69">
        <f t="shared" si="6"/>
        <v>0.23866151401005908</v>
      </c>
      <c r="K69">
        <f t="shared" si="7"/>
        <v>-0.19170745353092669</v>
      </c>
      <c r="M69">
        <v>68</v>
      </c>
      <c r="N69">
        <v>-0.19170745353092669</v>
      </c>
    </row>
    <row r="70" spans="1:14">
      <c r="A70">
        <v>69</v>
      </c>
      <c r="B70">
        <v>1739</v>
      </c>
      <c r="C70">
        <v>401</v>
      </c>
      <c r="D70">
        <v>34</v>
      </c>
      <c r="E70">
        <v>317</v>
      </c>
      <c r="G70">
        <f t="shared" si="4"/>
        <v>-0.51814511212486669</v>
      </c>
      <c r="H70">
        <f t="shared" si="5"/>
        <v>-1.5620174147258148</v>
      </c>
      <c r="I70">
        <f t="shared" si="6"/>
        <v>4.4411753028828049E-2</v>
      </c>
      <c r="K70">
        <f t="shared" si="7"/>
        <v>-0.67858359127395118</v>
      </c>
      <c r="M70">
        <v>69</v>
      </c>
      <c r="N70">
        <v>-0.67858359127395118</v>
      </c>
    </row>
    <row r="71" spans="1:14">
      <c r="A71">
        <v>70</v>
      </c>
      <c r="B71">
        <v>1539</v>
      </c>
      <c r="C71">
        <v>344</v>
      </c>
      <c r="D71">
        <v>28</v>
      </c>
      <c r="E71">
        <v>989</v>
      </c>
      <c r="G71">
        <f t="shared" si="4"/>
        <v>-0.53167008000228522</v>
      </c>
      <c r="H71">
        <f t="shared" si="5"/>
        <v>-1.593277338254617</v>
      </c>
      <c r="I71">
        <f t="shared" si="6"/>
        <v>0.59160974457948967</v>
      </c>
      <c r="K71">
        <f t="shared" si="7"/>
        <v>-0.51111255789247079</v>
      </c>
      <c r="M71">
        <v>70</v>
      </c>
      <c r="N71">
        <v>-0.51111255789247079</v>
      </c>
    </row>
    <row r="72" spans="1:14">
      <c r="A72">
        <v>71</v>
      </c>
      <c r="B72">
        <v>3645</v>
      </c>
      <c r="C72">
        <v>882</v>
      </c>
      <c r="D72">
        <v>432</v>
      </c>
      <c r="E72">
        <v>3708</v>
      </c>
      <c r="G72">
        <f t="shared" si="4"/>
        <v>-0.49721885026451024</v>
      </c>
      <c r="H72">
        <f t="shared" si="5"/>
        <v>-0.77941053560443863</v>
      </c>
      <c r="I72">
        <f t="shared" si="6"/>
        <v>0.79109426563225504</v>
      </c>
      <c r="K72">
        <f t="shared" si="7"/>
        <v>-0.16184504007889791</v>
      </c>
      <c r="M72">
        <v>71</v>
      </c>
      <c r="N72">
        <v>-0.16184504007889791</v>
      </c>
    </row>
    <row r="73" spans="1:14">
      <c r="A73">
        <v>72</v>
      </c>
      <c r="B73">
        <v>985</v>
      </c>
      <c r="C73">
        <v>4</v>
      </c>
      <c r="D73">
        <v>6</v>
      </c>
      <c r="E73">
        <v>29</v>
      </c>
      <c r="G73">
        <f t="shared" si="4"/>
        <v>-2.2723661419119856</v>
      </c>
      <c r="H73">
        <f t="shared" si="5"/>
        <v>-2.0684817298793257</v>
      </c>
      <c r="I73">
        <f t="shared" si="6"/>
        <v>-0.74738615978486656</v>
      </c>
      <c r="K73">
        <f t="shared" si="7"/>
        <v>-1.6960780105253928</v>
      </c>
      <c r="M73">
        <v>72</v>
      </c>
      <c r="N73">
        <v>-1.6960780105253928</v>
      </c>
    </row>
    <row r="74" spans="1:14">
      <c r="A74">
        <v>73</v>
      </c>
      <c r="B74">
        <v>622</v>
      </c>
      <c r="C74">
        <v>256</v>
      </c>
      <c r="D74">
        <v>224</v>
      </c>
      <c r="E74">
        <v>589</v>
      </c>
      <c r="G74">
        <f t="shared" si="4"/>
        <v>-0.26654032212130568</v>
      </c>
      <c r="H74">
        <f t="shared" si="5"/>
        <v>-0.2967391161220132</v>
      </c>
      <c r="I74">
        <f t="shared" si="6"/>
        <v>0.75997698291007199</v>
      </c>
      <c r="K74">
        <f t="shared" si="7"/>
        <v>6.5565848222251047E-2</v>
      </c>
      <c r="M74">
        <v>73</v>
      </c>
      <c r="N74">
        <v>6.5565848222251047E-2</v>
      </c>
    </row>
    <row r="75" spans="1:14">
      <c r="A75">
        <v>74</v>
      </c>
      <c r="B75">
        <v>649</v>
      </c>
      <c r="C75">
        <v>175</v>
      </c>
      <c r="D75">
        <v>39</v>
      </c>
      <c r="E75">
        <v>92</v>
      </c>
      <c r="G75">
        <f t="shared" si="4"/>
        <v>-0.45019655085641125</v>
      </c>
      <c r="H75">
        <f t="shared" si="5"/>
        <v>-1.0743768395392275</v>
      </c>
      <c r="I75">
        <f t="shared" si="6"/>
        <v>-6.4804796641024898E-2</v>
      </c>
      <c r="K75">
        <f t="shared" si="7"/>
        <v>-0.52979272901222119</v>
      </c>
      <c r="M75">
        <v>74</v>
      </c>
      <c r="N75">
        <v>-0.52979272901222119</v>
      </c>
    </row>
    <row r="76" spans="1:14">
      <c r="A76">
        <v>75</v>
      </c>
      <c r="B76">
        <v>2086</v>
      </c>
      <c r="C76">
        <v>2271</v>
      </c>
      <c r="D76">
        <v>1058</v>
      </c>
      <c r="E76">
        <v>3384</v>
      </c>
      <c r="G76">
        <f t="shared" si="4"/>
        <v>0.15591292738688661</v>
      </c>
      <c r="H76">
        <f t="shared" si="5"/>
        <v>-0.14802538615670244</v>
      </c>
      <c r="I76">
        <f t="shared" si="6"/>
        <v>0.99376812309026286</v>
      </c>
      <c r="K76">
        <f t="shared" si="7"/>
        <v>0.33388522144014904</v>
      </c>
      <c r="M76">
        <v>75</v>
      </c>
      <c r="N76">
        <v>0.33388522144014904</v>
      </c>
    </row>
    <row r="77" spans="1:14">
      <c r="A77">
        <v>76</v>
      </c>
      <c r="B77">
        <v>1621</v>
      </c>
      <c r="C77">
        <v>198</v>
      </c>
      <c r="D77">
        <v>1985</v>
      </c>
      <c r="E77">
        <v>1154</v>
      </c>
      <c r="G77">
        <f t="shared" si="4"/>
        <v>-0.79410772732932045</v>
      </c>
      <c r="H77">
        <f t="shared" si="5"/>
        <v>0.23478074648526159</v>
      </c>
      <c r="I77">
        <f t="shared" si="6"/>
        <v>0.6360748667849867</v>
      </c>
      <c r="K77">
        <f t="shared" si="7"/>
        <v>2.5582628646975952E-2</v>
      </c>
      <c r="M77">
        <v>76</v>
      </c>
      <c r="N77">
        <v>2.5582628646975952E-2</v>
      </c>
    </row>
    <row r="78" spans="1:14">
      <c r="A78">
        <v>77</v>
      </c>
      <c r="B78">
        <v>1690</v>
      </c>
      <c r="C78">
        <v>6959</v>
      </c>
      <c r="D78">
        <v>892</v>
      </c>
      <c r="E78">
        <v>198</v>
      </c>
      <c r="G78">
        <f t="shared" si="4"/>
        <v>0.73367022913900493</v>
      </c>
      <c r="H78">
        <f t="shared" si="5"/>
        <v>-0.13071860000290783</v>
      </c>
      <c r="I78">
        <f t="shared" si="6"/>
        <v>-0.14756944153835339</v>
      </c>
      <c r="K78">
        <f t="shared" si="7"/>
        <v>0.15179406253258124</v>
      </c>
      <c r="M78">
        <v>77</v>
      </c>
      <c r="N78">
        <v>0.15179406253258124</v>
      </c>
    </row>
    <row r="79" spans="1:14">
      <c r="A79">
        <v>78</v>
      </c>
      <c r="B79">
        <v>1443</v>
      </c>
      <c r="C79">
        <v>363</v>
      </c>
      <c r="D79">
        <v>502</v>
      </c>
      <c r="E79">
        <v>407</v>
      </c>
      <c r="G79">
        <f t="shared" si="4"/>
        <v>-0.48034960879971816</v>
      </c>
      <c r="H79">
        <f t="shared" si="5"/>
        <v>-0.31175936371383228</v>
      </c>
      <c r="I79">
        <f t="shared" si="6"/>
        <v>0.23398015094551483</v>
      </c>
      <c r="K79">
        <f t="shared" si="7"/>
        <v>-0.18604294052267853</v>
      </c>
      <c r="M79">
        <v>78</v>
      </c>
      <c r="N79">
        <v>-0.18604294052267853</v>
      </c>
    </row>
    <row r="80" spans="1:14">
      <c r="A80">
        <v>79</v>
      </c>
      <c r="B80">
        <v>3225</v>
      </c>
      <c r="C80">
        <v>4869</v>
      </c>
      <c r="D80">
        <v>91</v>
      </c>
      <c r="E80">
        <v>2616</v>
      </c>
      <c r="G80">
        <f t="shared" si="4"/>
        <v>0.29792015283227125</v>
      </c>
      <c r="H80">
        <f t="shared" si="5"/>
        <v>-1.4026850764155503</v>
      </c>
      <c r="I80">
        <f t="shared" si="6"/>
        <v>0.69276009349473211</v>
      </c>
      <c r="K80">
        <f t="shared" si="7"/>
        <v>-0.13733494336284899</v>
      </c>
      <c r="M80">
        <v>79</v>
      </c>
      <c r="N80">
        <v>-0.13733494336284899</v>
      </c>
    </row>
    <row r="81" spans="1:14">
      <c r="A81">
        <v>80</v>
      </c>
      <c r="B81">
        <v>1809</v>
      </c>
      <c r="C81">
        <v>1087</v>
      </c>
      <c r="D81">
        <v>1079</v>
      </c>
      <c r="E81">
        <v>1100</v>
      </c>
      <c r="G81">
        <f t="shared" si="4"/>
        <v>-0.1021989255158557</v>
      </c>
      <c r="H81">
        <f t="shared" si="5"/>
        <v>-7.7613871942260437E-2</v>
      </c>
      <c r="I81">
        <f t="shared" si="6"/>
        <v>0.56760619111220034</v>
      </c>
      <c r="K81">
        <f t="shared" si="7"/>
        <v>0.1292644645513614</v>
      </c>
      <c r="M81">
        <v>80</v>
      </c>
      <c r="N81">
        <v>0.1292644645513614</v>
      </c>
    </row>
    <row r="82" spans="1:14">
      <c r="A82">
        <v>81</v>
      </c>
      <c r="B82">
        <v>1576</v>
      </c>
      <c r="C82">
        <v>5083</v>
      </c>
      <c r="D82">
        <v>92</v>
      </c>
      <c r="E82">
        <v>2735</v>
      </c>
      <c r="G82">
        <f t="shared" si="4"/>
        <v>0.62757399380683043</v>
      </c>
      <c r="H82">
        <f t="shared" si="5"/>
        <v>-1.0869651355733387</v>
      </c>
      <c r="I82">
        <f t="shared" si="6"/>
        <v>1.0230531903297022</v>
      </c>
      <c r="K82">
        <f t="shared" si="7"/>
        <v>0.18788734952106464</v>
      </c>
      <c r="M82">
        <v>81</v>
      </c>
      <c r="N82">
        <v>0.18788734952106464</v>
      </c>
    </row>
    <row r="83" spans="1:14">
      <c r="A83">
        <v>82</v>
      </c>
      <c r="B83">
        <v>3111</v>
      </c>
      <c r="C83">
        <v>2065</v>
      </c>
      <c r="D83">
        <v>3112</v>
      </c>
      <c r="E83">
        <v>3290</v>
      </c>
      <c r="G83">
        <f t="shared" si="4"/>
        <v>-5.8969857858620148E-2</v>
      </c>
      <c r="H83">
        <f t="shared" si="5"/>
        <v>0.14694282744359058</v>
      </c>
      <c r="I83">
        <f t="shared" si="6"/>
        <v>0.80794795965505994</v>
      </c>
      <c r="K83">
        <f t="shared" si="7"/>
        <v>0.29864030974667682</v>
      </c>
      <c r="M83">
        <v>82</v>
      </c>
      <c r="N83">
        <v>0.29864030974667682</v>
      </c>
    </row>
    <row r="84" spans="1:14">
      <c r="A84">
        <v>83</v>
      </c>
      <c r="B84">
        <v>4443</v>
      </c>
      <c r="C84">
        <v>18690</v>
      </c>
      <c r="D84">
        <v>271</v>
      </c>
      <c r="E84">
        <v>2685</v>
      </c>
      <c r="G84">
        <f t="shared" si="4"/>
        <v>0.74294308539562459</v>
      </c>
      <c r="H84">
        <f t="shared" si="5"/>
        <v>-1.0679037721318225</v>
      </c>
      <c r="I84">
        <f t="shared" si="6"/>
        <v>0.56492004960849251</v>
      </c>
      <c r="K84">
        <f t="shared" si="7"/>
        <v>7.9986454290764855E-2</v>
      </c>
      <c r="M84">
        <v>83</v>
      </c>
      <c r="N84">
        <v>7.9986454290764855E-2</v>
      </c>
    </row>
    <row r="85" spans="1:14">
      <c r="A85">
        <v>84</v>
      </c>
      <c r="B85">
        <v>2152</v>
      </c>
      <c r="C85">
        <v>1196</v>
      </c>
      <c r="D85">
        <v>270</v>
      </c>
      <c r="E85">
        <v>542</v>
      </c>
      <c r="G85">
        <f t="shared" si="4"/>
        <v>-0.1361009900842961</v>
      </c>
      <c r="H85">
        <f t="shared" si="5"/>
        <v>-0.75467525260072166</v>
      </c>
      <c r="I85">
        <f t="shared" si="6"/>
        <v>0.18480909235782439</v>
      </c>
      <c r="K85">
        <f t="shared" si="7"/>
        <v>-0.23532238344239778</v>
      </c>
      <c r="M85">
        <v>84</v>
      </c>
      <c r="N85">
        <v>-0.23532238344239778</v>
      </c>
    </row>
    <row r="86" spans="1:14">
      <c r="A86">
        <v>85</v>
      </c>
      <c r="B86">
        <v>2902</v>
      </c>
      <c r="C86">
        <v>1037</v>
      </c>
      <c r="D86">
        <v>4129</v>
      </c>
      <c r="E86">
        <v>4352</v>
      </c>
      <c r="G86">
        <f t="shared" si="4"/>
        <v>-0.3279085544550126</v>
      </c>
      <c r="H86">
        <f t="shared" si="5"/>
        <v>0.29995072500762776</v>
      </c>
      <c r="I86">
        <f t="shared" si="6"/>
        <v>0.95964355140219548</v>
      </c>
      <c r="K86">
        <f t="shared" si="7"/>
        <v>0.31056190731827021</v>
      </c>
      <c r="M86">
        <v>85</v>
      </c>
      <c r="N86">
        <v>0.31056190731827021</v>
      </c>
    </row>
    <row r="87" spans="1:14">
      <c r="A87">
        <v>86</v>
      </c>
      <c r="B87">
        <v>1705</v>
      </c>
      <c r="C87">
        <v>393</v>
      </c>
      <c r="D87">
        <v>2</v>
      </c>
      <c r="E87">
        <v>91</v>
      </c>
      <c r="G87">
        <f t="shared" si="4"/>
        <v>-0.51832173569542639</v>
      </c>
      <c r="H87">
        <f t="shared" si="5"/>
        <v>-2.7838911374298929</v>
      </c>
      <c r="I87">
        <f t="shared" si="6"/>
        <v>-0.48903091819363387</v>
      </c>
      <c r="K87">
        <f t="shared" si="7"/>
        <v>-1.2637479304396511</v>
      </c>
      <c r="M87">
        <v>86</v>
      </c>
      <c r="N87">
        <v>-1.2637479304396511</v>
      </c>
    </row>
    <row r="88" spans="1:14">
      <c r="A88">
        <v>87</v>
      </c>
      <c r="B88">
        <v>2980</v>
      </c>
      <c r="C88">
        <v>682</v>
      </c>
      <c r="D88">
        <v>152</v>
      </c>
      <c r="E88">
        <v>8971</v>
      </c>
      <c r="G88">
        <f t="shared" si="4"/>
        <v>-0.52142179216211293</v>
      </c>
      <c r="H88">
        <f t="shared" si="5"/>
        <v>-1.1455694258968401</v>
      </c>
      <c r="I88">
        <f t="shared" si="6"/>
        <v>1.2622766654132354</v>
      </c>
      <c r="K88">
        <f t="shared" si="7"/>
        <v>-0.13490485088190587</v>
      </c>
      <c r="M88">
        <v>87</v>
      </c>
      <c r="N88">
        <v>-0.13490485088190587</v>
      </c>
    </row>
    <row r="89" spans="1:14">
      <c r="A89">
        <v>88</v>
      </c>
      <c r="B89">
        <v>1071</v>
      </c>
      <c r="C89">
        <v>188</v>
      </c>
      <c r="D89">
        <v>54</v>
      </c>
      <c r="E89">
        <v>200</v>
      </c>
      <c r="G89">
        <f t="shared" si="4"/>
        <v>-0.63662152431051233</v>
      </c>
      <c r="H89">
        <f t="shared" si="5"/>
        <v>-1.1505924607742446</v>
      </c>
      <c r="I89">
        <f t="shared" si="6"/>
        <v>5.4892597645914587E-2</v>
      </c>
      <c r="K89">
        <f t="shared" si="7"/>
        <v>-0.577440462479614</v>
      </c>
      <c r="M89">
        <v>88</v>
      </c>
      <c r="N89">
        <v>-0.577440462479614</v>
      </c>
    </row>
    <row r="90" spans="1:14">
      <c r="A90">
        <v>89</v>
      </c>
      <c r="B90">
        <v>513</v>
      </c>
      <c r="C90">
        <v>47</v>
      </c>
      <c r="D90">
        <v>19</v>
      </c>
      <c r="E90">
        <v>172</v>
      </c>
      <c r="G90">
        <f t="shared" si="4"/>
        <v>-0.91900940991843549</v>
      </c>
      <c r="H90">
        <f t="shared" si="5"/>
        <v>-1.2845605139243448</v>
      </c>
      <c r="I90">
        <f t="shared" si="6"/>
        <v>0.30906315460952161</v>
      </c>
      <c r="K90">
        <f t="shared" si="7"/>
        <v>-0.63150225641108626</v>
      </c>
      <c r="M90">
        <v>89</v>
      </c>
      <c r="N90">
        <v>-0.63150225641108626</v>
      </c>
    </row>
    <row r="91" spans="1:14">
      <c r="A91">
        <v>90</v>
      </c>
      <c r="B91">
        <v>1195</v>
      </c>
      <c r="C91">
        <v>107</v>
      </c>
      <c r="D91">
        <v>42</v>
      </c>
      <c r="E91">
        <v>600</v>
      </c>
      <c r="G91">
        <f t="shared" si="4"/>
        <v>-0.92897403034128334</v>
      </c>
      <c r="H91">
        <f t="shared" si="5"/>
        <v>-1.3073153646516134</v>
      </c>
      <c r="I91">
        <f t="shared" si="6"/>
        <v>0.48443541791327616</v>
      </c>
      <c r="K91">
        <f t="shared" si="7"/>
        <v>-0.58395132569320685</v>
      </c>
      <c r="M91">
        <v>90</v>
      </c>
      <c r="N91">
        <v>-0.58395132569320685</v>
      </c>
    </row>
    <row r="92" spans="1:14">
      <c r="A92">
        <v>91</v>
      </c>
      <c r="B92">
        <v>2091</v>
      </c>
      <c r="C92">
        <v>620</v>
      </c>
      <c r="D92">
        <v>36</v>
      </c>
      <c r="E92">
        <v>61</v>
      </c>
      <c r="G92">
        <f t="shared" si="4"/>
        <v>-0.40895224606175445</v>
      </c>
      <c r="H92">
        <f t="shared" si="5"/>
        <v>-1.6172482818157421</v>
      </c>
      <c r="I92">
        <f t="shared" si="6"/>
        <v>-0.75137212499311579</v>
      </c>
      <c r="K92">
        <f t="shared" si="7"/>
        <v>-0.92585755095687083</v>
      </c>
      <c r="M92">
        <v>91</v>
      </c>
      <c r="N92">
        <v>-0.92585755095687083</v>
      </c>
    </row>
    <row r="93" spans="1:14">
      <c r="A93">
        <v>92</v>
      </c>
      <c r="B93">
        <v>2249</v>
      </c>
      <c r="C93">
        <v>7042</v>
      </c>
      <c r="D93">
        <v>209</v>
      </c>
      <c r="E93">
        <v>3696</v>
      </c>
      <c r="G93">
        <f t="shared" si="4"/>
        <v>0.61471666255619672</v>
      </c>
      <c r="H93">
        <f t="shared" si="5"/>
        <v>-0.88503991908993551</v>
      </c>
      <c r="I93">
        <f t="shared" si="6"/>
        <v>0.99939457992622593</v>
      </c>
      <c r="K93">
        <f t="shared" si="7"/>
        <v>0.24302377446416237</v>
      </c>
      <c r="M93">
        <v>92</v>
      </c>
      <c r="N93">
        <v>0.24302377446416237</v>
      </c>
    </row>
    <row r="94" spans="1:14">
      <c r="A94">
        <v>93</v>
      </c>
      <c r="B94">
        <v>2180</v>
      </c>
      <c r="C94">
        <v>15979</v>
      </c>
      <c r="D94">
        <v>477</v>
      </c>
      <c r="E94">
        <v>7072</v>
      </c>
      <c r="G94">
        <f t="shared" si="4"/>
        <v>0.98410320040379973</v>
      </c>
      <c r="H94">
        <f t="shared" si="5"/>
        <v>-0.51313486432984823</v>
      </c>
      <c r="I94">
        <f t="shared" si="6"/>
        <v>1.2947378312142008</v>
      </c>
      <c r="K94">
        <f t="shared" si="7"/>
        <v>0.58856872242938418</v>
      </c>
      <c r="M94">
        <v>93</v>
      </c>
      <c r="N94">
        <v>0.58856872242938418</v>
      </c>
    </row>
    <row r="95" spans="1:14">
      <c r="A95">
        <v>94</v>
      </c>
      <c r="B95">
        <v>2787</v>
      </c>
      <c r="C95">
        <v>16452</v>
      </c>
      <c r="D95">
        <v>319</v>
      </c>
      <c r="E95">
        <v>19</v>
      </c>
      <c r="G95">
        <f t="shared" si="4"/>
        <v>0.89009182938149667</v>
      </c>
      <c r="H95">
        <f t="shared" si="5"/>
        <v>-0.7945430354214803</v>
      </c>
      <c r="I95">
        <f t="shared" si="6"/>
        <v>-1.3827312949466861</v>
      </c>
      <c r="K95">
        <f t="shared" si="7"/>
        <v>-0.42906083366222325</v>
      </c>
      <c r="M95">
        <v>94</v>
      </c>
      <c r="N95">
        <v>-0.42906083366222325</v>
      </c>
    </row>
    <row r="96" spans="1:14">
      <c r="A96">
        <v>95</v>
      </c>
      <c r="B96">
        <v>3871</v>
      </c>
      <c r="C96">
        <v>1636</v>
      </c>
      <c r="D96">
        <v>82</v>
      </c>
      <c r="E96">
        <v>4816</v>
      </c>
      <c r="G96">
        <f t="shared" si="4"/>
        <v>-0.25502977472598742</v>
      </c>
      <c r="H96">
        <f t="shared" si="5"/>
        <v>-1.5272060687005959</v>
      </c>
      <c r="I96">
        <f t="shared" si="6"/>
        <v>0.87851537974460203</v>
      </c>
      <c r="K96">
        <f t="shared" si="7"/>
        <v>-0.30124015456066039</v>
      </c>
      <c r="M96">
        <v>95</v>
      </c>
      <c r="N96">
        <v>-0.30124015456066039</v>
      </c>
    </row>
    <row r="97" spans="1:14">
      <c r="A97">
        <v>96</v>
      </c>
      <c r="B97">
        <v>4257</v>
      </c>
      <c r="C97">
        <v>121</v>
      </c>
      <c r="D97">
        <v>163</v>
      </c>
      <c r="E97">
        <v>1482</v>
      </c>
      <c r="G97">
        <f t="shared" si="4"/>
        <v>-1.4273081826030227</v>
      </c>
      <c r="H97">
        <f t="shared" si="5"/>
        <v>-1.2701127955385361</v>
      </c>
      <c r="I97">
        <f t="shared" si="6"/>
        <v>0.32539662627996191</v>
      </c>
      <c r="K97">
        <f t="shared" si="7"/>
        <v>-0.79067478395386581</v>
      </c>
      <c r="M97">
        <v>96</v>
      </c>
      <c r="N97">
        <v>-0.79067478395386581</v>
      </c>
    </row>
    <row r="98" spans="1:14">
      <c r="A98">
        <v>97</v>
      </c>
      <c r="B98">
        <v>1492</v>
      </c>
      <c r="C98">
        <v>179</v>
      </c>
      <c r="D98">
        <v>8</v>
      </c>
      <c r="E98">
        <v>187</v>
      </c>
      <c r="G98">
        <f t="shared" si="4"/>
        <v>-0.80190569489909336</v>
      </c>
      <c r="H98">
        <f t="shared" si="5"/>
        <v>-2.123875585910064</v>
      </c>
      <c r="I98">
        <f t="shared" si="6"/>
        <v>-0.11827514378636206</v>
      </c>
      <c r="K98">
        <f t="shared" si="7"/>
        <v>-1.0146854748651732</v>
      </c>
      <c r="M98">
        <v>97</v>
      </c>
      <c r="N98">
        <v>-1.0146854748651732</v>
      </c>
    </row>
    <row r="99" spans="1:14">
      <c r="A99">
        <v>98</v>
      </c>
      <c r="B99">
        <v>1040</v>
      </c>
      <c r="C99">
        <v>2000</v>
      </c>
      <c r="D99">
        <v>75</v>
      </c>
      <c r="E99">
        <v>7895</v>
      </c>
      <c r="G99">
        <f t="shared" si="4"/>
        <v>0.40300675362286431</v>
      </c>
      <c r="H99">
        <f t="shared" si="5"/>
        <v>-0.9951688256724377</v>
      </c>
      <c r="I99">
        <f t="shared" si="6"/>
        <v>1.6639708678593217</v>
      </c>
      <c r="K99">
        <f t="shared" si="7"/>
        <v>0.35726959860324942</v>
      </c>
      <c r="M99">
        <v>98</v>
      </c>
      <c r="N99">
        <v>0.35726959860324942</v>
      </c>
    </row>
    <row r="100" spans="1:14">
      <c r="A100">
        <v>99</v>
      </c>
      <c r="B100">
        <v>642</v>
      </c>
      <c r="C100">
        <v>40</v>
      </c>
      <c r="D100">
        <v>584</v>
      </c>
      <c r="E100">
        <v>13090</v>
      </c>
      <c r="G100">
        <f t="shared" si="4"/>
        <v>-1.0864649394832273</v>
      </c>
      <c r="H100">
        <f t="shared" si="5"/>
        <v>0.10568106927818888</v>
      </c>
      <c r="I100">
        <f t="shared" si="6"/>
        <v>2.0930566912956916</v>
      </c>
      <c r="K100">
        <f t="shared" si="7"/>
        <v>0.37075760703021771</v>
      </c>
      <c r="M100">
        <v>99</v>
      </c>
      <c r="N100">
        <v>0.37075760703021771</v>
      </c>
    </row>
    <row r="101" spans="1:14">
      <c r="A101">
        <v>100</v>
      </c>
      <c r="B101">
        <v>1149</v>
      </c>
      <c r="C101">
        <v>29007</v>
      </c>
      <c r="D101">
        <v>1177</v>
      </c>
      <c r="E101">
        <v>9618</v>
      </c>
      <c r="G101">
        <f t="shared" si="4"/>
        <v>1.5211928835210378</v>
      </c>
      <c r="H101">
        <f t="shared" si="5"/>
        <v>0.15725968438979215</v>
      </c>
      <c r="I101">
        <f t="shared" si="6"/>
        <v>1.7064168168632925</v>
      </c>
      <c r="K101">
        <f t="shared" si="7"/>
        <v>1.1282897949247075</v>
      </c>
      <c r="M101">
        <v>100</v>
      </c>
      <c r="N101">
        <v>1.1282897949247075</v>
      </c>
    </row>
    <row r="102" spans="1:14">
      <c r="A102">
        <v>101</v>
      </c>
      <c r="B102">
        <v>1112</v>
      </c>
      <c r="C102">
        <v>525</v>
      </c>
      <c r="D102">
        <v>69</v>
      </c>
      <c r="E102">
        <v>235</v>
      </c>
      <c r="G102">
        <f t="shared" si="4"/>
        <v>-0.20693538658241828</v>
      </c>
      <c r="H102">
        <f t="shared" si="5"/>
        <v>-1.0604524462741407</v>
      </c>
      <c r="I102">
        <f t="shared" si="6"/>
        <v>0.10861514783948656</v>
      </c>
      <c r="K102">
        <f t="shared" si="7"/>
        <v>-0.38625756167235753</v>
      </c>
      <c r="M102">
        <v>101</v>
      </c>
      <c r="N102">
        <v>-0.38625756167235753</v>
      </c>
    </row>
    <row r="103" spans="1:14">
      <c r="A103">
        <v>102</v>
      </c>
      <c r="B103">
        <v>1121</v>
      </c>
      <c r="C103">
        <v>731</v>
      </c>
      <c r="D103">
        <v>12</v>
      </c>
      <c r="E103">
        <v>387</v>
      </c>
      <c r="G103">
        <f t="shared" si="4"/>
        <v>-6.6678138379449262E-2</v>
      </c>
      <c r="H103">
        <f t="shared" si="5"/>
        <v>-1.8236211163127058</v>
      </c>
      <c r="I103">
        <f t="shared" si="6"/>
        <v>0.32175742523772721</v>
      </c>
      <c r="K103">
        <f t="shared" si="7"/>
        <v>-0.52284727648480933</v>
      </c>
      <c r="M103">
        <v>102</v>
      </c>
      <c r="N103">
        <v>-0.52284727648480933</v>
      </c>
    </row>
    <row r="104" spans="1:14">
      <c r="A104">
        <v>103</v>
      </c>
      <c r="B104">
        <v>1600</v>
      </c>
      <c r="C104">
        <v>2744</v>
      </c>
      <c r="D104">
        <v>24</v>
      </c>
      <c r="E104">
        <v>6362</v>
      </c>
      <c r="G104">
        <f t="shared" si="4"/>
        <v>0.35327422163645278</v>
      </c>
      <c r="H104">
        <f t="shared" si="5"/>
        <v>-1.6771054907096763</v>
      </c>
      <c r="I104">
        <f t="shared" si="6"/>
        <v>1.3831257549292086</v>
      </c>
      <c r="K104">
        <f t="shared" si="7"/>
        <v>1.9764828618661728E-2</v>
      </c>
      <c r="M104">
        <v>103</v>
      </c>
      <c r="N104">
        <v>1.9764828618661728E-2</v>
      </c>
    </row>
    <row r="105" spans="1:14">
      <c r="A105">
        <v>104</v>
      </c>
      <c r="B105">
        <v>1241</v>
      </c>
      <c r="C105">
        <v>4962</v>
      </c>
      <c r="D105">
        <v>159</v>
      </c>
      <c r="E105">
        <v>819</v>
      </c>
      <c r="G105">
        <f t="shared" si="4"/>
        <v>0.7208950756951239</v>
      </c>
      <c r="H105">
        <f t="shared" si="5"/>
        <v>-0.74557140694363566</v>
      </c>
      <c r="I105">
        <f t="shared" si="6"/>
        <v>0.60316419307547764</v>
      </c>
      <c r="K105">
        <f t="shared" si="7"/>
        <v>0.19282928727565529</v>
      </c>
      <c r="M105">
        <v>104</v>
      </c>
      <c r="N105">
        <v>0.19282928727565529</v>
      </c>
    </row>
    <row r="106" spans="1:14">
      <c r="A106">
        <v>105</v>
      </c>
      <c r="B106">
        <v>3657</v>
      </c>
      <c r="C106">
        <v>6742</v>
      </c>
      <c r="D106">
        <v>9159</v>
      </c>
      <c r="E106">
        <v>3006</v>
      </c>
      <c r="G106">
        <f t="shared" si="4"/>
        <v>0.38467388510457223</v>
      </c>
      <c r="H106">
        <f t="shared" si="5"/>
        <v>0.54552634891492258</v>
      </c>
      <c r="I106">
        <f t="shared" si="6"/>
        <v>0.69851608872663395</v>
      </c>
      <c r="K106">
        <f t="shared" si="7"/>
        <v>0.54290544091537629</v>
      </c>
      <c r="M106">
        <v>105</v>
      </c>
      <c r="N106">
        <v>0.54290544091537629</v>
      </c>
    </row>
    <row r="107" spans="1:14">
      <c r="A107">
        <v>106</v>
      </c>
      <c r="B107">
        <v>1107</v>
      </c>
      <c r="C107">
        <v>73</v>
      </c>
      <c r="D107">
        <v>190</v>
      </c>
      <c r="E107">
        <v>394</v>
      </c>
      <c r="G107">
        <f t="shared" si="4"/>
        <v>-1.0618146635006034</v>
      </c>
      <c r="H107">
        <f t="shared" si="5"/>
        <v>-0.61859076969125115</v>
      </c>
      <c r="I107">
        <f t="shared" si="6"/>
        <v>0.3350006737606403</v>
      </c>
      <c r="K107">
        <f t="shared" si="7"/>
        <v>-0.44846825314373806</v>
      </c>
      <c r="M107">
        <v>106</v>
      </c>
      <c r="N107">
        <v>-0.44846825314373806</v>
      </c>
    </row>
    <row r="108" spans="1:14">
      <c r="A108">
        <v>107</v>
      </c>
      <c r="B108">
        <v>2588</v>
      </c>
      <c r="C108">
        <v>1456</v>
      </c>
      <c r="D108">
        <v>675</v>
      </c>
      <c r="E108">
        <v>1017</v>
      </c>
      <c r="G108">
        <f t="shared" si="4"/>
        <v>-0.13079279976198094</v>
      </c>
      <c r="H108">
        <f t="shared" si="5"/>
        <v>-0.4368572489309952</v>
      </c>
      <c r="I108">
        <f t="shared" si="6"/>
        <v>0.37800875373987086</v>
      </c>
      <c r="K108">
        <f t="shared" si="7"/>
        <v>-6.3213764984368412E-2</v>
      </c>
      <c r="M108">
        <v>107</v>
      </c>
      <c r="N108">
        <v>-6.3213764984368412E-2</v>
      </c>
    </row>
    <row r="109" spans="1:14">
      <c r="A109">
        <v>108</v>
      </c>
      <c r="B109">
        <v>359</v>
      </c>
      <c r="C109">
        <v>3</v>
      </c>
      <c r="D109">
        <v>23</v>
      </c>
      <c r="E109">
        <v>367</v>
      </c>
      <c r="G109">
        <f t="shared" si="4"/>
        <v>-1.9589630966009932</v>
      </c>
      <c r="H109">
        <f t="shared" si="5"/>
        <v>-1.0465633623260837</v>
      </c>
      <c r="I109">
        <f t="shared" si="6"/>
        <v>0.7932236884875592</v>
      </c>
      <c r="K109">
        <f t="shared" si="7"/>
        <v>-0.73743425681317254</v>
      </c>
      <c r="M109">
        <v>108</v>
      </c>
      <c r="N109">
        <v>-0.73743425681317254</v>
      </c>
    </row>
    <row r="110" spans="1:14">
      <c r="A110">
        <v>109</v>
      </c>
      <c r="B110">
        <v>921</v>
      </c>
      <c r="C110">
        <v>143</v>
      </c>
      <c r="D110">
        <v>402</v>
      </c>
      <c r="E110">
        <v>2432</v>
      </c>
      <c r="G110">
        <f t="shared" si="4"/>
        <v>-0.68991349547412362</v>
      </c>
      <c r="H110">
        <f t="shared" si="5"/>
        <v>-0.21323032687773616</v>
      </c>
      <c r="I110">
        <f t="shared" si="6"/>
        <v>1.2053560132176373</v>
      </c>
      <c r="K110">
        <f t="shared" si="7"/>
        <v>0.10073739695525918</v>
      </c>
      <c r="M110">
        <v>109</v>
      </c>
      <c r="N110">
        <v>0.10073739695525918</v>
      </c>
    </row>
    <row r="111" spans="1:14">
      <c r="A111">
        <v>110</v>
      </c>
      <c r="B111">
        <v>2227</v>
      </c>
      <c r="C111">
        <v>176</v>
      </c>
      <c r="D111">
        <v>59</v>
      </c>
      <c r="E111">
        <v>909</v>
      </c>
      <c r="G111">
        <f t="shared" si="4"/>
        <v>-0.98319745196222497</v>
      </c>
      <c r="H111">
        <f t="shared" si="5"/>
        <v>-1.4300649551572515</v>
      </c>
      <c r="I111">
        <f t="shared" si="6"/>
        <v>0.39449573900171825</v>
      </c>
      <c r="K111">
        <f t="shared" si="7"/>
        <v>-0.67292222270591939</v>
      </c>
      <c r="M111">
        <v>110</v>
      </c>
      <c r="N111">
        <v>-0.67292222270591939</v>
      </c>
    </row>
    <row r="112" spans="1:14">
      <c r="A112">
        <v>111</v>
      </c>
      <c r="B112">
        <v>1073</v>
      </c>
      <c r="C112">
        <v>2510</v>
      </c>
      <c r="D112">
        <v>17</v>
      </c>
      <c r="E112">
        <v>1466</v>
      </c>
      <c r="G112">
        <f t="shared" si="4"/>
        <v>0.48808409677275055</v>
      </c>
      <c r="H112">
        <f t="shared" si="5"/>
        <v>-1.6533475503530346</v>
      </c>
      <c r="I112">
        <f t="shared" si="6"/>
        <v>0.91918632115294707</v>
      </c>
      <c r="K112">
        <f t="shared" si="7"/>
        <v>-8.2025710809112293E-2</v>
      </c>
      <c r="M112">
        <v>111</v>
      </c>
      <c r="N112">
        <v>-8.2025710809112293E-2</v>
      </c>
    </row>
    <row r="113" spans="1:14">
      <c r="A113">
        <v>112</v>
      </c>
      <c r="B113">
        <v>773</v>
      </c>
      <c r="C113">
        <v>50</v>
      </c>
      <c r="D113">
        <v>164</v>
      </c>
      <c r="E113">
        <v>5155</v>
      </c>
      <c r="G113">
        <f t="shared" si="4"/>
        <v>-1.0701993923246425</v>
      </c>
      <c r="H113">
        <f t="shared" si="5"/>
        <v>-0.52653239563598431</v>
      </c>
      <c r="I113">
        <f t="shared" si="6"/>
        <v>1.6077012485149993</v>
      </c>
      <c r="K113">
        <f t="shared" si="7"/>
        <v>3.6564868514575486E-3</v>
      </c>
      <c r="M113">
        <v>112</v>
      </c>
      <c r="N113">
        <v>3.6564868514575486E-3</v>
      </c>
    </row>
    <row r="114" spans="1:14">
      <c r="A114">
        <v>113</v>
      </c>
      <c r="B114">
        <v>1699</v>
      </c>
      <c r="C114">
        <v>18</v>
      </c>
      <c r="D114">
        <v>4</v>
      </c>
      <c r="E114">
        <v>33</v>
      </c>
      <c r="G114">
        <f t="shared" si="4"/>
        <v>-1.855910776508076</v>
      </c>
      <c r="H114">
        <f t="shared" si="5"/>
        <v>-2.4813301373064407</v>
      </c>
      <c r="I114">
        <f t="shared" si="6"/>
        <v>-0.92802736617736903</v>
      </c>
      <c r="K114">
        <f t="shared" si="7"/>
        <v>-1.7550894266639621</v>
      </c>
      <c r="M114">
        <v>113</v>
      </c>
      <c r="N114">
        <v>-1.7550894266639621</v>
      </c>
    </row>
    <row r="115" spans="1:14">
      <c r="A115">
        <v>114</v>
      </c>
      <c r="B115">
        <v>2916</v>
      </c>
      <c r="C115">
        <v>4122</v>
      </c>
      <c r="D115">
        <v>418</v>
      </c>
      <c r="E115">
        <v>8271</v>
      </c>
      <c r="G115">
        <f t="shared" si="4"/>
        <v>0.26933056505492053</v>
      </c>
      <c r="H115">
        <f t="shared" si="5"/>
        <v>-0.69680798763625906</v>
      </c>
      <c r="I115">
        <f t="shared" si="6"/>
        <v>1.2364225739932881</v>
      </c>
      <c r="K115">
        <f t="shared" si="7"/>
        <v>0.2696483838039832</v>
      </c>
      <c r="M115">
        <v>114</v>
      </c>
      <c r="N115">
        <v>0.2696483838039832</v>
      </c>
    </row>
    <row r="116" spans="1:14">
      <c r="A116">
        <v>115</v>
      </c>
      <c r="B116">
        <v>475</v>
      </c>
      <c r="C116">
        <v>15</v>
      </c>
      <c r="D116">
        <v>45</v>
      </c>
      <c r="E116">
        <v>0</v>
      </c>
      <c r="G116">
        <f t="shared" si="4"/>
        <v>-1.3815922533115217</v>
      </c>
      <c r="H116">
        <f t="shared" si="5"/>
        <v>-0.87667784561488016</v>
      </c>
      <c r="I116" t="e">
        <f t="shared" si="6"/>
        <v>#NUM!</v>
      </c>
      <c r="K116" t="e">
        <f t="shared" si="7"/>
        <v>#NUM!</v>
      </c>
      <c r="M116">
        <v>115</v>
      </c>
      <c r="N116">
        <v>-3</v>
      </c>
    </row>
    <row r="117" spans="1:14">
      <c r="A117">
        <v>116</v>
      </c>
      <c r="B117">
        <v>2076</v>
      </c>
      <c r="C117">
        <v>8592</v>
      </c>
      <c r="D117">
        <v>67</v>
      </c>
      <c r="E117">
        <v>748</v>
      </c>
      <c r="G117">
        <f t="shared" si="4"/>
        <v>0.73587701643672365</v>
      </c>
      <c r="H117">
        <f t="shared" si="5"/>
        <v>-1.3443492962409511</v>
      </c>
      <c r="I117">
        <f t="shared" si="6"/>
        <v>0.34032632150183012</v>
      </c>
      <c r="K117">
        <f t="shared" si="7"/>
        <v>-8.9381986100799116E-2</v>
      </c>
      <c r="M117">
        <v>116</v>
      </c>
      <c r="N117">
        <v>-8.9381986100799116E-2</v>
      </c>
    </row>
    <row r="118" spans="1:14">
      <c r="A118">
        <v>117</v>
      </c>
      <c r="B118">
        <v>3146</v>
      </c>
      <c r="C118">
        <v>5003</v>
      </c>
      <c r="D118">
        <v>1302</v>
      </c>
      <c r="E118">
        <v>863</v>
      </c>
      <c r="G118">
        <f t="shared" si="4"/>
        <v>0.32048188185380461</v>
      </c>
      <c r="H118">
        <f t="shared" si="5"/>
        <v>-0.23634448382045223</v>
      </c>
      <c r="I118">
        <f t="shared" si="6"/>
        <v>0.2219041502417306</v>
      </c>
      <c r="K118">
        <f t="shared" si="7"/>
        <v>0.10201384942502767</v>
      </c>
      <c r="M118">
        <v>117</v>
      </c>
      <c r="N118">
        <v>0.10201384942502767</v>
      </c>
    </row>
    <row r="119" spans="1:14">
      <c r="A119">
        <v>118</v>
      </c>
      <c r="B119">
        <v>1037</v>
      </c>
      <c r="C119">
        <v>135</v>
      </c>
      <c r="D119">
        <v>269</v>
      </c>
      <c r="E119">
        <v>138</v>
      </c>
      <c r="G119">
        <f t="shared" si="4"/>
        <v>-0.76643489063637149</v>
      </c>
      <c r="H119">
        <f t="shared" si="5"/>
        <v>-0.43922322615199028</v>
      </c>
      <c r="I119">
        <f t="shared" si="6"/>
        <v>-9.2247597174015428E-2</v>
      </c>
      <c r="K119">
        <f t="shared" si="7"/>
        <v>-0.43263523798745912</v>
      </c>
      <c r="M119">
        <v>118</v>
      </c>
      <c r="N119">
        <v>-0.43263523798745912</v>
      </c>
    </row>
    <row r="120" spans="1:14">
      <c r="A120">
        <v>119</v>
      </c>
      <c r="B120">
        <v>3960</v>
      </c>
      <c r="C120">
        <v>8061</v>
      </c>
      <c r="D120">
        <v>1024</v>
      </c>
      <c r="E120">
        <v>1476</v>
      </c>
      <c r="G120">
        <f t="shared" si="4"/>
        <v>0.42770383248498206</v>
      </c>
      <c r="H120">
        <f t="shared" si="5"/>
        <v>-0.44059197905105763</v>
      </c>
      <c r="I120">
        <f t="shared" si="6"/>
        <v>0.35504324437529949</v>
      </c>
      <c r="K120">
        <f t="shared" si="7"/>
        <v>0.11405169926974131</v>
      </c>
      <c r="M120">
        <v>119</v>
      </c>
      <c r="N120">
        <v>0.11405169926974131</v>
      </c>
    </row>
    <row r="121" spans="1:14">
      <c r="A121">
        <v>120</v>
      </c>
      <c r="B121">
        <v>1709</v>
      </c>
      <c r="C121">
        <v>33133</v>
      </c>
      <c r="D121">
        <v>311</v>
      </c>
      <c r="E121">
        <v>10787</v>
      </c>
      <c r="G121">
        <f t="shared" si="4"/>
        <v>1.406528795032822</v>
      </c>
      <c r="H121">
        <f t="shared" si="5"/>
        <v>-0.59317842345925664</v>
      </c>
      <c r="I121">
        <f t="shared" si="6"/>
        <v>1.5838106888257282</v>
      </c>
      <c r="K121">
        <f t="shared" si="7"/>
        <v>0.79905368679976452</v>
      </c>
      <c r="M121">
        <v>120</v>
      </c>
      <c r="N121">
        <v>0.79905368679976452</v>
      </c>
    </row>
    <row r="122" spans="1:14">
      <c r="A122">
        <v>121</v>
      </c>
      <c r="B122">
        <v>3124</v>
      </c>
      <c r="C122">
        <v>4149</v>
      </c>
      <c r="D122">
        <v>44</v>
      </c>
      <c r="E122">
        <v>5252</v>
      </c>
      <c r="G122">
        <f t="shared" si="4"/>
        <v>0.2422425068813738</v>
      </c>
      <c r="H122">
        <f t="shared" si="5"/>
        <v>-1.7044550984844327</v>
      </c>
      <c r="I122">
        <f t="shared" si="6"/>
        <v>1.009265765025968</v>
      </c>
      <c r="K122">
        <f t="shared" si="7"/>
        <v>-0.15098227552569696</v>
      </c>
      <c r="M122">
        <v>121</v>
      </c>
      <c r="N122">
        <v>-0.15098227552569696</v>
      </c>
    </row>
    <row r="123" spans="1:14">
      <c r="A123">
        <v>122</v>
      </c>
      <c r="B123">
        <v>1070</v>
      </c>
      <c r="C123">
        <v>1340</v>
      </c>
      <c r="D123">
        <v>50</v>
      </c>
      <c r="E123">
        <v>899</v>
      </c>
      <c r="G123">
        <f t="shared" si="4"/>
        <v>0.21673111793726141</v>
      </c>
      <c r="H123">
        <f t="shared" si="5"/>
        <v>-1.1836105231145482</v>
      </c>
      <c r="I123">
        <f t="shared" si="6"/>
        <v>0.70802798686180812</v>
      </c>
      <c r="K123">
        <f t="shared" si="7"/>
        <v>-8.6283806105159552E-2</v>
      </c>
      <c r="M123">
        <v>122</v>
      </c>
      <c r="N123">
        <v>-8.6283806105159552E-2</v>
      </c>
    </row>
    <row r="124" spans="1:14">
      <c r="A124">
        <v>123</v>
      </c>
      <c r="B124">
        <v>1222</v>
      </c>
      <c r="C124">
        <v>1623</v>
      </c>
      <c r="D124">
        <v>26</v>
      </c>
      <c r="E124">
        <v>52</v>
      </c>
      <c r="G124">
        <f t="shared" si="4"/>
        <v>0.24225741117735988</v>
      </c>
      <c r="H124">
        <f t="shared" si="5"/>
        <v>-1.5252946077010749</v>
      </c>
      <c r="I124">
        <f t="shared" si="6"/>
        <v>-0.58741578945794726</v>
      </c>
      <c r="K124">
        <f t="shared" si="7"/>
        <v>-0.62348432866055414</v>
      </c>
      <c r="M124">
        <v>123</v>
      </c>
      <c r="N124">
        <v>-0.62348432866055414</v>
      </c>
    </row>
    <row r="125" spans="1:14">
      <c r="A125">
        <v>124</v>
      </c>
      <c r="B125">
        <v>929</v>
      </c>
      <c r="C125">
        <v>75</v>
      </c>
      <c r="D125">
        <v>21</v>
      </c>
      <c r="E125">
        <v>159</v>
      </c>
      <c r="G125">
        <f t="shared" si="4"/>
        <v>-0.97394435334427831</v>
      </c>
      <c r="H125">
        <f t="shared" si="5"/>
        <v>-1.49899316902508</v>
      </c>
      <c r="I125">
        <f t="shared" si="6"/>
        <v>1.7033483140598715E-2</v>
      </c>
      <c r="K125">
        <f t="shared" si="7"/>
        <v>-0.81863467974291992</v>
      </c>
      <c r="M125">
        <v>124</v>
      </c>
      <c r="N125">
        <v>-0.81863467974291992</v>
      </c>
    </row>
    <row r="126" spans="1:14">
      <c r="A126">
        <v>125</v>
      </c>
      <c r="B126">
        <v>1327</v>
      </c>
      <c r="C126">
        <v>1334</v>
      </c>
      <c r="D126">
        <v>5271</v>
      </c>
      <c r="E126">
        <v>858</v>
      </c>
      <c r="G126">
        <f t="shared" si="4"/>
        <v>0.12129500397375813</v>
      </c>
      <c r="H126">
        <f t="shared" si="5"/>
        <v>0.74582534358516461</v>
      </c>
      <c r="I126">
        <f t="shared" si="6"/>
        <v>0.59426843779805893</v>
      </c>
      <c r="K126">
        <f t="shared" si="7"/>
        <v>0.48712959511899384</v>
      </c>
      <c r="M126">
        <v>125</v>
      </c>
      <c r="N126">
        <v>0.48712959511899384</v>
      </c>
    </row>
    <row r="127" spans="1:14">
      <c r="A127">
        <v>126</v>
      </c>
      <c r="B127">
        <v>1061</v>
      </c>
      <c r="C127">
        <v>2645</v>
      </c>
      <c r="D127">
        <v>673</v>
      </c>
      <c r="E127">
        <v>2579</v>
      </c>
      <c r="G127">
        <f t="shared" si="4"/>
        <v>0.51572038972752743</v>
      </c>
      <c r="H127">
        <f t="shared" si="5"/>
        <v>-5.0897069442721127E-2</v>
      </c>
      <c r="I127">
        <f t="shared" si="6"/>
        <v>1.1693880310503859</v>
      </c>
      <c r="K127">
        <f t="shared" si="7"/>
        <v>0.54473711711173067</v>
      </c>
      <c r="M127">
        <v>126</v>
      </c>
      <c r="N127">
        <v>0.54473711711173067</v>
      </c>
    </row>
    <row r="128" spans="1:14">
      <c r="A128">
        <v>127</v>
      </c>
      <c r="B128">
        <v>1657</v>
      </c>
      <c r="C128">
        <v>261</v>
      </c>
      <c r="D128">
        <v>565</v>
      </c>
      <c r="E128">
        <v>3122</v>
      </c>
      <c r="G128">
        <f t="shared" si="4"/>
        <v>-0.68367190382339238</v>
      </c>
      <c r="H128">
        <f t="shared" si="5"/>
        <v>-0.32047081036525549</v>
      </c>
      <c r="I128">
        <f t="shared" si="6"/>
        <v>1.058762463120851</v>
      </c>
      <c r="K128">
        <f t="shared" si="7"/>
        <v>1.8206582977401038E-2</v>
      </c>
      <c r="M128">
        <v>127</v>
      </c>
      <c r="N128">
        <v>1.8206582977401038E-2</v>
      </c>
    </row>
    <row r="129" spans="1:14">
      <c r="A129">
        <v>128</v>
      </c>
      <c r="B129">
        <v>998</v>
      </c>
      <c r="C129">
        <v>49</v>
      </c>
      <c r="D129">
        <v>236</v>
      </c>
      <c r="E129">
        <v>66</v>
      </c>
      <c r="G129">
        <f t="shared" si="4"/>
        <v>-1.1899243640011938</v>
      </c>
      <c r="H129">
        <f t="shared" si="5"/>
        <v>-0.4794152880826219</v>
      </c>
      <c r="I129">
        <f t="shared" si="6"/>
        <v>-0.39593453293171343</v>
      </c>
      <c r="K129">
        <f t="shared" si="7"/>
        <v>-0.68842472833850976</v>
      </c>
      <c r="M129">
        <v>128</v>
      </c>
      <c r="N129">
        <v>-0.68842472833850976</v>
      </c>
    </row>
    <row r="130" spans="1:14">
      <c r="A130">
        <v>129</v>
      </c>
      <c r="B130">
        <v>4321</v>
      </c>
      <c r="C130">
        <v>78059</v>
      </c>
      <c r="D130">
        <v>146</v>
      </c>
      <c r="E130">
        <v>7120</v>
      </c>
      <c r="G130">
        <f t="shared" si="4"/>
        <v>1.3758488142577441</v>
      </c>
      <c r="H130">
        <f t="shared" si="5"/>
        <v>-1.3244281602921504</v>
      </c>
      <c r="I130">
        <f t="shared" si="6"/>
        <v>1.0005478001394152</v>
      </c>
      <c r="K130">
        <f t="shared" si="7"/>
        <v>0.35065615136833633</v>
      </c>
      <c r="M130">
        <v>129</v>
      </c>
      <c r="N130">
        <v>0.35065615136833633</v>
      </c>
    </row>
    <row r="131" spans="1:14">
      <c r="A131">
        <v>130</v>
      </c>
      <c r="B131">
        <v>580</v>
      </c>
      <c r="C131">
        <v>21</v>
      </c>
      <c r="D131">
        <v>748</v>
      </c>
      <c r="E131">
        <v>82</v>
      </c>
      <c r="G131">
        <f t="shared" ref="G131:G194" si="8">LOG10(C131/B131)-LOG10(28875/37978)</f>
        <v>-1.3221986015713545</v>
      </c>
      <c r="H131">
        <f t="shared" ref="H131:H194" si="9">LOG10(D131/B131)-LOG10(27085/37978)</f>
        <v>0.25727685453616672</v>
      </c>
      <c r="I131">
        <f t="shared" ref="I131:I194" si="10">LOG10(E131/B131)-LOG10(6250/37978)</f>
        <v>-6.5962068365431614E-2</v>
      </c>
      <c r="K131">
        <f t="shared" ref="K131:K194" si="11">AVERAGE(G131:I131)</f>
        <v>-0.37696127180020644</v>
      </c>
      <c r="M131">
        <v>130</v>
      </c>
      <c r="N131">
        <v>-0.37696127180020644</v>
      </c>
    </row>
    <row r="132" spans="1:14">
      <c r="A132">
        <v>131</v>
      </c>
      <c r="B132">
        <v>1070</v>
      </c>
      <c r="C132">
        <v>3883</v>
      </c>
      <c r="D132">
        <v>13</v>
      </c>
      <c r="E132">
        <v>126</v>
      </c>
      <c r="G132">
        <f t="shared" si="8"/>
        <v>0.67879371011850143</v>
      </c>
      <c r="H132">
        <f t="shared" si="9"/>
        <v>-1.7686371751437302</v>
      </c>
      <c r="I132">
        <f t="shared" si="10"/>
        <v>-0.14536115975385777</v>
      </c>
      <c r="K132">
        <f t="shared" si="11"/>
        <v>-0.41173487492636213</v>
      </c>
      <c r="M132">
        <v>131</v>
      </c>
      <c r="N132">
        <v>-0.41173487492636213</v>
      </c>
    </row>
    <row r="133" spans="1:14">
      <c r="A133">
        <v>132</v>
      </c>
      <c r="B133">
        <v>988</v>
      </c>
      <c r="C133">
        <v>229</v>
      </c>
      <c r="D133">
        <v>154</v>
      </c>
      <c r="E133">
        <v>2514</v>
      </c>
      <c r="G133">
        <f t="shared" si="8"/>
        <v>-0.51591136499007673</v>
      </c>
      <c r="H133">
        <f t="shared" si="9"/>
        <v>-0.66043297351652241</v>
      </c>
      <c r="I133">
        <f t="shared" si="10"/>
        <v>1.1892604015760999</v>
      </c>
      <c r="K133">
        <f t="shared" si="11"/>
        <v>4.3053543565002945E-3</v>
      </c>
      <c r="M133">
        <v>132</v>
      </c>
      <c r="N133">
        <v>4.3053543565002945E-3</v>
      </c>
    </row>
    <row r="134" spans="1:14">
      <c r="A134">
        <v>133</v>
      </c>
      <c r="B134">
        <v>906</v>
      </c>
      <c r="C134">
        <v>42</v>
      </c>
      <c r="D134">
        <v>17</v>
      </c>
      <c r="E134">
        <v>1452</v>
      </c>
      <c r="G134">
        <f t="shared" si="8"/>
        <v>-1.214868810021249</v>
      </c>
      <c r="H134">
        <f t="shared" si="9"/>
        <v>-1.5798760260638967</v>
      </c>
      <c r="I134">
        <f t="shared" si="10"/>
        <v>0.98849049150105084</v>
      </c>
      <c r="K134">
        <f t="shared" si="11"/>
        <v>-0.60208478152803158</v>
      </c>
      <c r="M134">
        <v>133</v>
      </c>
      <c r="N134">
        <v>-0.60208478152803158</v>
      </c>
    </row>
    <row r="135" spans="1:14">
      <c r="A135">
        <v>134</v>
      </c>
      <c r="B135">
        <v>877</v>
      </c>
      <c r="C135">
        <v>2</v>
      </c>
      <c r="D135">
        <v>0</v>
      </c>
      <c r="E135">
        <v>1</v>
      </c>
      <c r="G135">
        <f t="shared" si="8"/>
        <v>-2.5229595004443959</v>
      </c>
      <c r="H135" t="e">
        <f t="shared" si="9"/>
        <v>#NUM!</v>
      </c>
      <c r="I135">
        <f t="shared" si="10"/>
        <v>-2.1593475205522514</v>
      </c>
      <c r="K135" t="e">
        <f t="shared" si="11"/>
        <v>#NUM!</v>
      </c>
      <c r="M135">
        <v>134</v>
      </c>
      <c r="N135">
        <v>-3</v>
      </c>
    </row>
    <row r="136" spans="1:14">
      <c r="A136">
        <v>135</v>
      </c>
      <c r="B136">
        <v>2410</v>
      </c>
      <c r="C136">
        <v>1888</v>
      </c>
      <c r="D136">
        <v>48</v>
      </c>
      <c r="E136">
        <v>59259</v>
      </c>
      <c r="G136">
        <f t="shared" si="8"/>
        <v>1.2995044644845244E-2</v>
      </c>
      <c r="H136">
        <f t="shared" si="9"/>
        <v>-1.5539725549646386</v>
      </c>
      <c r="I136">
        <f t="shared" si="10"/>
        <v>2.1743893486933432</v>
      </c>
      <c r="K136">
        <f t="shared" si="11"/>
        <v>0.21113727945784996</v>
      </c>
      <c r="M136">
        <v>135</v>
      </c>
      <c r="N136">
        <v>0.21113727945784996</v>
      </c>
    </row>
    <row r="137" spans="1:14">
      <c r="A137">
        <v>136</v>
      </c>
      <c r="B137">
        <v>697</v>
      </c>
      <c r="C137">
        <v>4853</v>
      </c>
      <c r="D137">
        <v>139</v>
      </c>
      <c r="E137">
        <v>240</v>
      </c>
      <c r="G137">
        <f t="shared" si="8"/>
        <v>0.96178761047493955</v>
      </c>
      <c r="H137">
        <f t="shared" si="9"/>
        <v>-0.55341472760927168</v>
      </c>
      <c r="I137">
        <f t="shared" si="10"/>
        <v>0.32063053642738565</v>
      </c>
      <c r="K137">
        <f t="shared" si="11"/>
        <v>0.24300113976435114</v>
      </c>
      <c r="M137">
        <v>136</v>
      </c>
      <c r="N137">
        <v>0.24300113976435114</v>
      </c>
    </row>
    <row r="138" spans="1:14">
      <c r="A138">
        <v>137</v>
      </c>
      <c r="B138">
        <v>1141</v>
      </c>
      <c r="C138">
        <v>1113</v>
      </c>
      <c r="D138">
        <v>62</v>
      </c>
      <c r="E138">
        <v>532</v>
      </c>
      <c r="G138">
        <f t="shared" si="8"/>
        <v>0.10821961717415715</v>
      </c>
      <c r="H138">
        <f t="shared" si="9"/>
        <v>-1.1180907046853181</v>
      </c>
      <c r="I138">
        <f t="shared" si="10"/>
        <v>0.45227806069062254</v>
      </c>
      <c r="K138">
        <f t="shared" si="11"/>
        <v>-0.18586434227351281</v>
      </c>
      <c r="M138">
        <v>137</v>
      </c>
      <c r="N138">
        <v>-0.18586434227351281</v>
      </c>
    </row>
    <row r="139" spans="1:14">
      <c r="A139">
        <v>138</v>
      </c>
      <c r="B139">
        <v>1181</v>
      </c>
      <c r="C139">
        <v>4478</v>
      </c>
      <c r="D139">
        <v>1145</v>
      </c>
      <c r="E139">
        <v>3861</v>
      </c>
      <c r="G139">
        <f t="shared" si="8"/>
        <v>0.6978442888871601</v>
      </c>
      <c r="H139">
        <f t="shared" si="9"/>
        <v>0.13335883929703465</v>
      </c>
      <c r="I139">
        <f t="shared" si="10"/>
        <v>1.2981019768243234</v>
      </c>
      <c r="K139">
        <f t="shared" si="11"/>
        <v>0.70976836833617263</v>
      </c>
      <c r="M139">
        <v>138</v>
      </c>
      <c r="N139">
        <v>0.70976836833617263</v>
      </c>
    </row>
    <row r="140" spans="1:14">
      <c r="A140">
        <v>139</v>
      </c>
      <c r="B140">
        <v>882</v>
      </c>
      <c r="C140">
        <v>9</v>
      </c>
      <c r="D140">
        <v>105</v>
      </c>
      <c r="E140">
        <v>332</v>
      </c>
      <c r="G140">
        <f t="shared" si="8"/>
        <v>-1.8722159784348313</v>
      </c>
      <c r="H140">
        <f t="shared" si="9"/>
        <v>-0.77747603582723901</v>
      </c>
      <c r="I140">
        <f t="shared" si="10"/>
        <v>0.35932157138600557</v>
      </c>
      <c r="K140">
        <f t="shared" si="11"/>
        <v>-0.76345681429202161</v>
      </c>
      <c r="M140">
        <v>139</v>
      </c>
      <c r="N140">
        <v>-0.76345681429202161</v>
      </c>
    </row>
    <row r="141" spans="1:14">
      <c r="A141">
        <v>140</v>
      </c>
      <c r="B141">
        <v>942</v>
      </c>
      <c r="C141">
        <v>1340</v>
      </c>
      <c r="D141">
        <v>343</v>
      </c>
      <c r="E141">
        <v>212</v>
      </c>
      <c r="G141">
        <f t="shared" si="8"/>
        <v>0.2720639928295937</v>
      </c>
      <c r="H141">
        <f t="shared" si="9"/>
        <v>-0.2919535325154643</v>
      </c>
      <c r="I141">
        <f t="shared" si="10"/>
        <v>0.13593703094966314</v>
      </c>
      <c r="K141">
        <f t="shared" si="11"/>
        <v>3.8682497087930846E-2</v>
      </c>
      <c r="M141">
        <v>140</v>
      </c>
      <c r="N141">
        <v>3.8682497087930846E-2</v>
      </c>
    </row>
    <row r="142" spans="1:14">
      <c r="A142">
        <v>141</v>
      </c>
      <c r="B142">
        <v>903</v>
      </c>
      <c r="C142">
        <v>1</v>
      </c>
      <c r="D142">
        <v>0</v>
      </c>
      <c r="E142">
        <v>1</v>
      </c>
      <c r="G142">
        <f t="shared" si="8"/>
        <v>-2.8366776530558422</v>
      </c>
      <c r="H142" t="e">
        <f t="shared" si="9"/>
        <v>#NUM!</v>
      </c>
      <c r="I142">
        <f t="shared" si="10"/>
        <v>-2.1720356774997169</v>
      </c>
      <c r="K142" t="e">
        <f t="shared" si="11"/>
        <v>#NUM!</v>
      </c>
      <c r="M142">
        <v>141</v>
      </c>
      <c r="N142">
        <v>-3</v>
      </c>
    </row>
    <row r="143" spans="1:14">
      <c r="A143">
        <v>142</v>
      </c>
      <c r="B143">
        <v>1804</v>
      </c>
      <c r="C143">
        <v>0</v>
      </c>
      <c r="D143">
        <v>0</v>
      </c>
      <c r="E143">
        <v>0</v>
      </c>
      <c r="G143" t="e">
        <f t="shared" si="8"/>
        <v>#NUM!</v>
      </c>
      <c r="H143" t="e">
        <f t="shared" si="9"/>
        <v>#NUM!</v>
      </c>
      <c r="I143" t="e">
        <f t="shared" si="10"/>
        <v>#NUM!</v>
      </c>
      <c r="K143" t="e">
        <f t="shared" si="11"/>
        <v>#NUM!</v>
      </c>
      <c r="M143">
        <v>142</v>
      </c>
      <c r="N143">
        <v>-3</v>
      </c>
    </row>
    <row r="144" spans="1:14">
      <c r="A144">
        <v>143</v>
      </c>
      <c r="B144">
        <v>833</v>
      </c>
      <c r="C144">
        <v>0</v>
      </c>
      <c r="D144">
        <v>0</v>
      </c>
      <c r="E144">
        <v>1</v>
      </c>
      <c r="G144" t="e">
        <f t="shared" si="8"/>
        <v>#NUM!</v>
      </c>
      <c r="H144" t="e">
        <f t="shared" si="9"/>
        <v>#NUM!</v>
      </c>
      <c r="I144">
        <f t="shared" si="10"/>
        <v>-2.1369929285929983</v>
      </c>
      <c r="K144" t="e">
        <f t="shared" si="11"/>
        <v>#NUM!</v>
      </c>
      <c r="M144">
        <v>143</v>
      </c>
      <c r="N144">
        <v>-3</v>
      </c>
    </row>
    <row r="145" spans="1:14">
      <c r="A145">
        <v>144</v>
      </c>
      <c r="B145">
        <v>1791</v>
      </c>
      <c r="C145">
        <v>0</v>
      </c>
      <c r="D145">
        <v>0</v>
      </c>
      <c r="E145">
        <v>0</v>
      </c>
      <c r="G145" t="e">
        <f t="shared" si="8"/>
        <v>#NUM!</v>
      </c>
      <c r="H145" t="e">
        <f t="shared" si="9"/>
        <v>#NUM!</v>
      </c>
      <c r="I145" t="e">
        <f t="shared" si="10"/>
        <v>#NUM!</v>
      </c>
      <c r="K145" t="e">
        <f t="shared" si="11"/>
        <v>#NUM!</v>
      </c>
      <c r="M145">
        <v>144</v>
      </c>
      <c r="N145">
        <v>-3</v>
      </c>
    </row>
    <row r="146" spans="1:14">
      <c r="A146">
        <v>145</v>
      </c>
      <c r="B146">
        <v>365</v>
      </c>
      <c r="C146">
        <v>0</v>
      </c>
      <c r="D146">
        <v>0</v>
      </c>
      <c r="E146">
        <v>0</v>
      </c>
      <c r="G146" t="e">
        <f t="shared" si="8"/>
        <v>#NUM!</v>
      </c>
      <c r="H146" t="e">
        <f t="shared" si="9"/>
        <v>#NUM!</v>
      </c>
      <c r="I146" t="e">
        <f t="shared" si="10"/>
        <v>#NUM!</v>
      </c>
      <c r="K146" t="e">
        <f t="shared" si="11"/>
        <v>#NUM!</v>
      </c>
      <c r="M146">
        <v>145</v>
      </c>
      <c r="N146">
        <v>-3</v>
      </c>
    </row>
    <row r="147" spans="1:14">
      <c r="A147">
        <v>146</v>
      </c>
      <c r="B147">
        <v>1358</v>
      </c>
      <c r="C147">
        <v>0</v>
      </c>
      <c r="D147">
        <v>205</v>
      </c>
      <c r="E147">
        <v>786</v>
      </c>
      <c r="G147" t="e">
        <f t="shared" si="8"/>
        <v>#NUM!</v>
      </c>
      <c r="H147">
        <f t="shared" si="9"/>
        <v>-0.67434265865408594</v>
      </c>
      <c r="I147">
        <f t="shared" si="10"/>
        <v>0.54617484890871404</v>
      </c>
      <c r="K147" t="e">
        <f t="shared" si="11"/>
        <v>#NUM!</v>
      </c>
      <c r="M147">
        <v>146</v>
      </c>
      <c r="N147">
        <v>-3</v>
      </c>
    </row>
    <row r="148" spans="1:14">
      <c r="A148">
        <v>147</v>
      </c>
      <c r="B148">
        <v>1705</v>
      </c>
      <c r="C148">
        <v>0</v>
      </c>
      <c r="D148">
        <v>1</v>
      </c>
      <c r="E148">
        <v>3</v>
      </c>
      <c r="G148" t="e">
        <f t="shared" si="8"/>
        <v>#NUM!</v>
      </c>
      <c r="H148">
        <f t="shared" si="9"/>
        <v>-3.0849211330938742</v>
      </c>
      <c r="I148">
        <f t="shared" si="10"/>
        <v>-1.9709510557950651</v>
      </c>
      <c r="K148" t="e">
        <f t="shared" si="11"/>
        <v>#NUM!</v>
      </c>
      <c r="M148">
        <v>147</v>
      </c>
      <c r="N148">
        <v>-3</v>
      </c>
    </row>
    <row r="149" spans="1:14">
      <c r="A149">
        <v>148</v>
      </c>
      <c r="B149">
        <v>454</v>
      </c>
      <c r="C149">
        <v>0</v>
      </c>
      <c r="D149">
        <v>0</v>
      </c>
      <c r="E149">
        <v>2</v>
      </c>
      <c r="G149" t="e">
        <f t="shared" si="8"/>
        <v>#NUM!</v>
      </c>
      <c r="H149" t="e">
        <f t="shared" si="9"/>
        <v>#NUM!</v>
      </c>
      <c r="I149">
        <f t="shared" si="10"/>
        <v>-1.5723737843793335</v>
      </c>
      <c r="K149" t="e">
        <f t="shared" si="11"/>
        <v>#NUM!</v>
      </c>
      <c r="M149">
        <v>148</v>
      </c>
      <c r="N149">
        <v>-3</v>
      </c>
    </row>
    <row r="150" spans="1:14">
      <c r="A150">
        <v>149</v>
      </c>
      <c r="B150">
        <v>1595</v>
      </c>
      <c r="C150">
        <v>6</v>
      </c>
      <c r="D150">
        <v>0</v>
      </c>
      <c r="E150">
        <v>1</v>
      </c>
      <c r="G150">
        <f t="shared" si="8"/>
        <v>-2.3055993397518928</v>
      </c>
      <c r="H150" t="e">
        <f t="shared" si="9"/>
        <v>#NUM!</v>
      </c>
      <c r="I150">
        <f t="shared" si="10"/>
        <v>-2.419108614579411</v>
      </c>
      <c r="K150" t="e">
        <f t="shared" si="11"/>
        <v>#NUM!</v>
      </c>
      <c r="M150">
        <v>149</v>
      </c>
      <c r="N150">
        <v>-3</v>
      </c>
    </row>
    <row r="151" spans="1:14">
      <c r="A151">
        <v>150</v>
      </c>
      <c r="B151">
        <v>1418</v>
      </c>
      <c r="C151">
        <v>0</v>
      </c>
      <c r="D151">
        <v>0</v>
      </c>
      <c r="E151">
        <v>0</v>
      </c>
      <c r="G151" t="e">
        <f t="shared" si="8"/>
        <v>#NUM!</v>
      </c>
      <c r="H151" t="e">
        <f t="shared" si="9"/>
        <v>#NUM!</v>
      </c>
      <c r="I151" t="e">
        <f t="shared" si="10"/>
        <v>#NUM!</v>
      </c>
      <c r="K151" t="e">
        <f t="shared" si="11"/>
        <v>#NUM!</v>
      </c>
      <c r="M151">
        <v>150</v>
      </c>
      <c r="N151">
        <v>-3</v>
      </c>
    </row>
    <row r="152" spans="1:14">
      <c r="A152">
        <v>151</v>
      </c>
      <c r="B152">
        <v>615</v>
      </c>
      <c r="C152">
        <v>0</v>
      </c>
      <c r="D152">
        <v>0</v>
      </c>
      <c r="E152">
        <v>1</v>
      </c>
      <c r="G152" t="e">
        <f t="shared" si="8"/>
        <v>#NUM!</v>
      </c>
      <c r="H152" t="e">
        <f t="shared" si="9"/>
        <v>#NUM!</v>
      </c>
      <c r="I152">
        <f t="shared" si="10"/>
        <v>-2.005223042961628</v>
      </c>
      <c r="K152" t="e">
        <f t="shared" si="11"/>
        <v>#NUM!</v>
      </c>
      <c r="M152">
        <v>151</v>
      </c>
      <c r="N152">
        <v>-3</v>
      </c>
    </row>
    <row r="153" spans="1:14">
      <c r="A153">
        <v>152</v>
      </c>
      <c r="B153">
        <v>2050</v>
      </c>
      <c r="C153">
        <v>4</v>
      </c>
      <c r="D153">
        <v>0</v>
      </c>
      <c r="E153">
        <v>1</v>
      </c>
      <c r="G153">
        <f t="shared" si="8"/>
        <v>-2.5906837724701282</v>
      </c>
      <c r="H153" t="e">
        <f t="shared" si="9"/>
        <v>#NUM!</v>
      </c>
      <c r="I153">
        <f t="shared" si="10"/>
        <v>-2.5281017882419654</v>
      </c>
      <c r="K153" t="e">
        <f t="shared" si="11"/>
        <v>#NUM!</v>
      </c>
      <c r="M153">
        <v>152</v>
      </c>
      <c r="N153">
        <v>-3</v>
      </c>
    </row>
    <row r="154" spans="1:14">
      <c r="A154">
        <v>153</v>
      </c>
      <c r="B154">
        <v>981</v>
      </c>
      <c r="C154">
        <v>2</v>
      </c>
      <c r="D154">
        <v>0</v>
      </c>
      <c r="E154">
        <v>29</v>
      </c>
      <c r="G154">
        <f t="shared" si="8"/>
        <v>-2.5716289144583038</v>
      </c>
      <c r="H154" t="e">
        <f t="shared" si="9"/>
        <v>#NUM!</v>
      </c>
      <c r="I154">
        <f t="shared" si="10"/>
        <v>-0.74561893666720347</v>
      </c>
      <c r="K154" t="e">
        <f t="shared" si="11"/>
        <v>#NUM!</v>
      </c>
      <c r="M154">
        <v>153</v>
      </c>
      <c r="N154">
        <v>-3</v>
      </c>
    </row>
    <row r="155" spans="1:14">
      <c r="A155">
        <v>154</v>
      </c>
      <c r="B155">
        <v>436</v>
      </c>
      <c r="C155">
        <v>1</v>
      </c>
      <c r="D155">
        <v>0</v>
      </c>
      <c r="E155">
        <v>0</v>
      </c>
      <c r="G155">
        <f t="shared" si="8"/>
        <v>-2.5204763920109223</v>
      </c>
      <c r="H155" t="e">
        <f t="shared" si="9"/>
        <v>#NUM!</v>
      </c>
      <c r="I155" t="e">
        <f t="shared" si="10"/>
        <v>#NUM!</v>
      </c>
      <c r="K155" t="e">
        <f t="shared" si="11"/>
        <v>#NUM!</v>
      </c>
      <c r="M155">
        <v>154</v>
      </c>
      <c r="N155">
        <v>-3</v>
      </c>
    </row>
    <row r="156" spans="1:14">
      <c r="A156">
        <v>155</v>
      </c>
      <c r="B156">
        <v>795</v>
      </c>
      <c r="C156">
        <v>0</v>
      </c>
      <c r="D156">
        <v>0</v>
      </c>
      <c r="E156">
        <v>4</v>
      </c>
      <c r="G156" t="e">
        <f t="shared" si="8"/>
        <v>#NUM!</v>
      </c>
      <c r="H156" t="e">
        <f t="shared" si="9"/>
        <v>#NUM!</v>
      </c>
      <c r="I156">
        <f t="shared" si="10"/>
        <v>-1.514655064514719</v>
      </c>
      <c r="K156" t="e">
        <f t="shared" si="11"/>
        <v>#NUM!</v>
      </c>
      <c r="M156">
        <v>155</v>
      </c>
      <c r="N156">
        <v>-3</v>
      </c>
    </row>
    <row r="157" spans="1:14">
      <c r="A157">
        <v>156</v>
      </c>
      <c r="B157">
        <v>432</v>
      </c>
      <c r="C157">
        <v>2</v>
      </c>
      <c r="D157">
        <v>1</v>
      </c>
      <c r="E157">
        <v>0</v>
      </c>
      <c r="G157">
        <f t="shared" si="8"/>
        <v>-2.2154436538932676</v>
      </c>
      <c r="H157">
        <f t="shared" si="9"/>
        <v>-2.4886804965802694</v>
      </c>
      <c r="I157" t="e">
        <f t="shared" si="10"/>
        <v>#NUM!</v>
      </c>
      <c r="K157" t="e">
        <f t="shared" si="11"/>
        <v>#NUM!</v>
      </c>
      <c r="M157">
        <v>156</v>
      </c>
      <c r="N157">
        <v>-3</v>
      </c>
    </row>
    <row r="158" spans="1:14">
      <c r="A158">
        <v>157</v>
      </c>
      <c r="B158">
        <v>2115</v>
      </c>
      <c r="C158">
        <v>10</v>
      </c>
      <c r="D158">
        <v>0</v>
      </c>
      <c r="E158">
        <v>5</v>
      </c>
      <c r="G158">
        <f t="shared" si="8"/>
        <v>-2.2063002744533975</v>
      </c>
      <c r="H158" t="e">
        <f t="shared" si="9"/>
        <v>#NUM!</v>
      </c>
      <c r="I158">
        <f t="shared" si="10"/>
        <v>-1.8426882945612533</v>
      </c>
      <c r="K158" t="e">
        <f t="shared" si="11"/>
        <v>#NUM!</v>
      </c>
      <c r="M158">
        <v>157</v>
      </c>
      <c r="N158">
        <v>-3</v>
      </c>
    </row>
    <row r="159" spans="1:14">
      <c r="A159">
        <v>158</v>
      </c>
      <c r="B159">
        <v>2443</v>
      </c>
      <c r="C159">
        <v>13</v>
      </c>
      <c r="D159">
        <v>1</v>
      </c>
      <c r="E159">
        <v>15</v>
      </c>
      <c r="G159">
        <f t="shared" si="8"/>
        <v>-2.1549700174089366</v>
      </c>
      <c r="H159">
        <f t="shared" si="9"/>
        <v>-3.241120216738794</v>
      </c>
      <c r="I159">
        <f t="shared" si="10"/>
        <v>-1.4281801351039667</v>
      </c>
      <c r="K159">
        <f t="shared" si="11"/>
        <v>-2.2747567897505658</v>
      </c>
      <c r="M159">
        <v>158</v>
      </c>
      <c r="N159">
        <v>-2.2747567897505658</v>
      </c>
    </row>
    <row r="160" spans="1:14">
      <c r="A160">
        <v>159</v>
      </c>
      <c r="B160">
        <v>762</v>
      </c>
      <c r="C160">
        <v>0</v>
      </c>
      <c r="D160">
        <v>1</v>
      </c>
      <c r="E160">
        <v>0</v>
      </c>
      <c r="G160" t="e">
        <f t="shared" si="8"/>
        <v>#NUM!</v>
      </c>
      <c r="H160">
        <f t="shared" si="9"/>
        <v>-2.7351517211049581</v>
      </c>
      <c r="I160" t="e">
        <f t="shared" si="10"/>
        <v>#NUM!</v>
      </c>
      <c r="K160" t="e">
        <f t="shared" si="11"/>
        <v>#NUM!</v>
      </c>
      <c r="M160">
        <v>159</v>
      </c>
      <c r="N160">
        <v>-3</v>
      </c>
    </row>
    <row r="161" spans="1:14">
      <c r="A161">
        <v>160</v>
      </c>
      <c r="B161">
        <v>883</v>
      </c>
      <c r="C161">
        <v>1</v>
      </c>
      <c r="D161">
        <v>0</v>
      </c>
      <c r="E161">
        <v>0</v>
      </c>
      <c r="G161">
        <f t="shared" si="8"/>
        <v>-2.826950606319905</v>
      </c>
      <c r="H161" t="e">
        <f t="shared" si="9"/>
        <v>#NUM!</v>
      </c>
      <c r="I161" t="e">
        <f t="shared" si="10"/>
        <v>#NUM!</v>
      </c>
      <c r="K161" t="e">
        <f t="shared" si="11"/>
        <v>#NUM!</v>
      </c>
      <c r="M161">
        <v>160</v>
      </c>
      <c r="N161">
        <v>-3</v>
      </c>
    </row>
    <row r="162" spans="1:14">
      <c r="A162">
        <v>161</v>
      </c>
      <c r="B162">
        <v>1683</v>
      </c>
      <c r="C162">
        <v>76</v>
      </c>
      <c r="D162">
        <v>83</v>
      </c>
      <c r="E162">
        <v>146</v>
      </c>
      <c r="G162">
        <f t="shared" si="8"/>
        <v>-1.2262604264373689</v>
      </c>
      <c r="H162">
        <f t="shared" si="9"/>
        <v>-1.1602027733651072</v>
      </c>
      <c r="I162">
        <f t="shared" si="10"/>
        <v>-0.27807918737759763</v>
      </c>
      <c r="K162">
        <f t="shared" si="11"/>
        <v>-0.88818079572669129</v>
      </c>
      <c r="M162">
        <v>161</v>
      </c>
      <c r="N162">
        <v>-0.88818079572669129</v>
      </c>
    </row>
    <row r="163" spans="1:14">
      <c r="A163">
        <v>162</v>
      </c>
      <c r="B163">
        <v>2406</v>
      </c>
      <c r="C163">
        <v>0</v>
      </c>
      <c r="D163">
        <v>0</v>
      </c>
      <c r="E163">
        <v>5</v>
      </c>
      <c r="G163" t="e">
        <f t="shared" si="8"/>
        <v>#NUM!</v>
      </c>
      <c r="H163" t="e">
        <f t="shared" si="9"/>
        <v>#NUM!</v>
      </c>
      <c r="I163">
        <f t="shared" si="10"/>
        <v>-1.8986735458540183</v>
      </c>
      <c r="K163" t="e">
        <f t="shared" si="11"/>
        <v>#NUM!</v>
      </c>
      <c r="M163">
        <v>162</v>
      </c>
      <c r="N163">
        <v>-3</v>
      </c>
    </row>
    <row r="164" spans="1:14">
      <c r="A164">
        <v>163</v>
      </c>
      <c r="B164">
        <v>707</v>
      </c>
      <c r="C164">
        <v>354</v>
      </c>
      <c r="D164">
        <v>0</v>
      </c>
      <c r="E164">
        <v>180</v>
      </c>
      <c r="G164">
        <f t="shared" si="8"/>
        <v>-0.1814060545134481</v>
      </c>
      <c r="H164" t="e">
        <f t="shared" si="9"/>
        <v>#NUM!</v>
      </c>
      <c r="I164">
        <f t="shared" si="10"/>
        <v>0.18950516412019569</v>
      </c>
      <c r="K164" t="e">
        <f t="shared" si="11"/>
        <v>#NUM!</v>
      </c>
      <c r="M164">
        <v>163</v>
      </c>
      <c r="N164">
        <v>-3</v>
      </c>
    </row>
    <row r="165" spans="1:14">
      <c r="A165">
        <v>164</v>
      </c>
      <c r="B165">
        <v>874</v>
      </c>
      <c r="C165">
        <v>0</v>
      </c>
      <c r="D165">
        <v>0</v>
      </c>
      <c r="E165">
        <v>2</v>
      </c>
      <c r="G165" t="e">
        <f t="shared" si="8"/>
        <v>#NUM!</v>
      </c>
      <c r="H165" t="e">
        <f t="shared" si="9"/>
        <v>#NUM!</v>
      </c>
      <c r="I165">
        <f t="shared" si="10"/>
        <v>-1.8568293641566329</v>
      </c>
      <c r="K165" t="e">
        <f t="shared" si="11"/>
        <v>#NUM!</v>
      </c>
      <c r="M165">
        <v>164</v>
      </c>
      <c r="N165">
        <v>-3</v>
      </c>
    </row>
    <row r="166" spans="1:14">
      <c r="A166">
        <v>165</v>
      </c>
      <c r="B166">
        <v>1465</v>
      </c>
      <c r="C166">
        <v>0</v>
      </c>
      <c r="D166">
        <v>0</v>
      </c>
      <c r="E166">
        <v>0</v>
      </c>
      <c r="G166" t="e">
        <f t="shared" si="8"/>
        <v>#NUM!</v>
      </c>
      <c r="H166" t="e">
        <f t="shared" si="9"/>
        <v>#NUM!</v>
      </c>
      <c r="I166" t="e">
        <f t="shared" si="10"/>
        <v>#NUM!</v>
      </c>
      <c r="K166" t="e">
        <f t="shared" si="11"/>
        <v>#NUM!</v>
      </c>
      <c r="M166">
        <v>165</v>
      </c>
      <c r="N166">
        <v>-3</v>
      </c>
    </row>
    <row r="167" spans="1:14">
      <c r="A167">
        <v>166</v>
      </c>
      <c r="B167">
        <v>2455</v>
      </c>
      <c r="C167">
        <v>0</v>
      </c>
      <c r="D167">
        <v>15</v>
      </c>
      <c r="E167">
        <v>0</v>
      </c>
      <c r="G167" t="e">
        <f t="shared" si="8"/>
        <v>#NUM!</v>
      </c>
      <c r="H167">
        <f t="shared" si="9"/>
        <v>-2.0671569871686635</v>
      </c>
      <c r="I167" t="e">
        <f t="shared" si="10"/>
        <v>#NUM!</v>
      </c>
      <c r="K167" t="e">
        <f t="shared" si="11"/>
        <v>#NUM!</v>
      </c>
      <c r="M167">
        <v>166</v>
      </c>
      <c r="N167">
        <v>-3</v>
      </c>
    </row>
    <row r="168" spans="1:14">
      <c r="A168">
        <v>167</v>
      </c>
      <c r="B168">
        <v>4058</v>
      </c>
      <c r="C168">
        <v>33</v>
      </c>
      <c r="D168">
        <v>57</v>
      </c>
      <c r="E168">
        <v>21</v>
      </c>
      <c r="G168">
        <f t="shared" si="8"/>
        <v>-1.9707880055617761</v>
      </c>
      <c r="H168">
        <f t="shared" si="9"/>
        <v>-1.7056339367901932</v>
      </c>
      <c r="I168">
        <f t="shared" si="10"/>
        <v>-1.5024406751496191</v>
      </c>
      <c r="K168">
        <f t="shared" si="11"/>
        <v>-1.7262875391671961</v>
      </c>
      <c r="M168">
        <v>167</v>
      </c>
      <c r="N168">
        <v>-1.7262875391671961</v>
      </c>
    </row>
    <row r="169" spans="1:14">
      <c r="A169">
        <v>168</v>
      </c>
      <c r="B169">
        <v>1221</v>
      </c>
      <c r="C169">
        <v>1</v>
      </c>
      <c r="D169">
        <v>0</v>
      </c>
      <c r="E169">
        <v>0</v>
      </c>
      <c r="G169">
        <f t="shared" si="8"/>
        <v>-2.967705566687219</v>
      </c>
      <c r="H169" t="e">
        <f t="shared" si="9"/>
        <v>#NUM!</v>
      </c>
      <c r="I169" t="e">
        <f t="shared" si="10"/>
        <v>#NUM!</v>
      </c>
      <c r="K169" t="e">
        <f t="shared" si="11"/>
        <v>#NUM!</v>
      </c>
      <c r="M169">
        <v>168</v>
      </c>
      <c r="N169">
        <v>-3</v>
      </c>
    </row>
    <row r="170" spans="1:14">
      <c r="A170">
        <v>169</v>
      </c>
      <c r="B170">
        <v>211</v>
      </c>
      <c r="C170">
        <v>235</v>
      </c>
      <c r="D170">
        <v>5</v>
      </c>
      <c r="E170">
        <v>1</v>
      </c>
      <c r="G170">
        <f t="shared" si="8"/>
        <v>0.16579550423170711</v>
      </c>
      <c r="H170">
        <f t="shared" si="9"/>
        <v>-1.4785092007270313</v>
      </c>
      <c r="I170">
        <f t="shared" si="10"/>
        <v>-1.5406303824839036</v>
      </c>
      <c r="K170">
        <f t="shared" si="11"/>
        <v>-0.95111469299307583</v>
      </c>
      <c r="M170">
        <v>169</v>
      </c>
      <c r="N170">
        <v>-0.95111469299307583</v>
      </c>
    </row>
    <row r="171" spans="1:14">
      <c r="A171">
        <v>170</v>
      </c>
      <c r="B171">
        <v>2644</v>
      </c>
      <c r="C171">
        <v>4</v>
      </c>
      <c r="D171">
        <v>0</v>
      </c>
      <c r="E171">
        <v>1</v>
      </c>
      <c r="G171">
        <f t="shared" si="8"/>
        <v>-2.7011913622279766</v>
      </c>
      <c r="H171" t="e">
        <f t="shared" si="9"/>
        <v>#NUM!</v>
      </c>
      <c r="I171">
        <f t="shared" si="10"/>
        <v>-2.6386093779998134</v>
      </c>
      <c r="K171" t="e">
        <f t="shared" si="11"/>
        <v>#NUM!</v>
      </c>
      <c r="M171">
        <v>170</v>
      </c>
      <c r="N171">
        <v>-3</v>
      </c>
    </row>
    <row r="172" spans="1:14">
      <c r="A172">
        <v>171</v>
      </c>
      <c r="B172">
        <v>886</v>
      </c>
      <c r="C172">
        <v>1</v>
      </c>
      <c r="D172">
        <v>0</v>
      </c>
      <c r="E172">
        <v>2</v>
      </c>
      <c r="G172">
        <f t="shared" si="8"/>
        <v>-2.8284236246293872</v>
      </c>
      <c r="H172" t="e">
        <f t="shared" si="9"/>
        <v>#NUM!</v>
      </c>
      <c r="I172">
        <f t="shared" si="10"/>
        <v>-1.8627516534092805</v>
      </c>
      <c r="K172" t="e">
        <f t="shared" si="11"/>
        <v>#NUM!</v>
      </c>
      <c r="M172">
        <v>171</v>
      </c>
      <c r="N172">
        <v>-3</v>
      </c>
    </row>
    <row r="173" spans="1:14">
      <c r="A173">
        <v>172</v>
      </c>
      <c r="B173">
        <v>1548</v>
      </c>
      <c r="C173">
        <v>0</v>
      </c>
      <c r="D173">
        <v>0</v>
      </c>
      <c r="E173">
        <v>110</v>
      </c>
      <c r="G173" t="e">
        <f t="shared" si="8"/>
        <v>#NUM!</v>
      </c>
      <c r="H173" t="e">
        <f t="shared" si="9"/>
        <v>#NUM!</v>
      </c>
      <c r="I173">
        <f t="shared" si="10"/>
        <v>-0.36472619837485976</v>
      </c>
      <c r="K173" t="e">
        <f t="shared" si="11"/>
        <v>#NUM!</v>
      </c>
      <c r="M173">
        <v>172</v>
      </c>
      <c r="N173">
        <v>-3</v>
      </c>
    </row>
    <row r="174" spans="1:14">
      <c r="A174">
        <v>173</v>
      </c>
      <c r="B174">
        <v>608</v>
      </c>
      <c r="C174">
        <v>0</v>
      </c>
      <c r="D174">
        <v>0</v>
      </c>
      <c r="E174">
        <v>1</v>
      </c>
      <c r="G174" t="e">
        <f t="shared" si="8"/>
        <v>#NUM!</v>
      </c>
      <c r="H174" t="e">
        <f t="shared" si="9"/>
        <v>#NUM!</v>
      </c>
      <c r="I174">
        <f t="shared" si="10"/>
        <v>-2.0002515064589463</v>
      </c>
      <c r="K174" t="e">
        <f t="shared" si="11"/>
        <v>#NUM!</v>
      </c>
      <c r="M174">
        <v>173</v>
      </c>
      <c r="N174">
        <v>-3</v>
      </c>
    </row>
    <row r="175" spans="1:14">
      <c r="A175">
        <v>174</v>
      </c>
      <c r="B175">
        <v>859</v>
      </c>
      <c r="C175">
        <v>0</v>
      </c>
      <c r="D175">
        <v>0</v>
      </c>
      <c r="E175">
        <v>1</v>
      </c>
      <c r="G175" t="e">
        <f t="shared" si="8"/>
        <v>#NUM!</v>
      </c>
      <c r="H175" t="e">
        <f t="shared" si="9"/>
        <v>#NUM!</v>
      </c>
      <c r="I175">
        <f t="shared" si="10"/>
        <v>-2.1503410910174532</v>
      </c>
      <c r="K175" t="e">
        <f t="shared" si="11"/>
        <v>#NUM!</v>
      </c>
      <c r="M175">
        <v>174</v>
      </c>
      <c r="N175">
        <v>-3</v>
      </c>
    </row>
    <row r="176" spans="1:14">
      <c r="A176">
        <v>175</v>
      </c>
      <c r="B176">
        <v>1187</v>
      </c>
      <c r="C176">
        <v>2</v>
      </c>
      <c r="D176">
        <v>3</v>
      </c>
      <c r="E176">
        <v>1</v>
      </c>
      <c r="G176">
        <f t="shared" si="8"/>
        <v>-2.6544106260329463</v>
      </c>
      <c r="H176">
        <f t="shared" si="9"/>
        <v>-2.4505262140002864</v>
      </c>
      <c r="I176">
        <f t="shared" si="10"/>
        <v>-2.2907986461408019</v>
      </c>
      <c r="K176">
        <f t="shared" si="11"/>
        <v>-2.4652451620580114</v>
      </c>
      <c r="M176">
        <v>175</v>
      </c>
      <c r="N176">
        <v>-2.4652451620580114</v>
      </c>
    </row>
    <row r="177" spans="1:14">
      <c r="A177">
        <v>176</v>
      </c>
      <c r="B177">
        <v>2187</v>
      </c>
      <c r="C177">
        <v>2</v>
      </c>
      <c r="D177">
        <v>0</v>
      </c>
      <c r="E177">
        <v>0</v>
      </c>
      <c r="G177">
        <f t="shared" si="8"/>
        <v>-2.9198086901159925</v>
      </c>
      <c r="H177" t="e">
        <f t="shared" si="9"/>
        <v>#NUM!</v>
      </c>
      <c r="I177" t="e">
        <f t="shared" si="10"/>
        <v>#NUM!</v>
      </c>
      <c r="K177" t="e">
        <f t="shared" si="11"/>
        <v>#NUM!</v>
      </c>
      <c r="M177">
        <v>176</v>
      </c>
      <c r="N177">
        <v>-3</v>
      </c>
    </row>
    <row r="178" spans="1:14">
      <c r="A178">
        <v>177</v>
      </c>
      <c r="B178">
        <v>1149</v>
      </c>
      <c r="C178">
        <v>6</v>
      </c>
      <c r="D178">
        <v>0</v>
      </c>
      <c r="E178">
        <v>15</v>
      </c>
      <c r="G178">
        <f t="shared" si="8"/>
        <v>-2.1631586810469781</v>
      </c>
      <c r="H178" t="e">
        <f t="shared" si="9"/>
        <v>#NUM!</v>
      </c>
      <c r="I178">
        <f t="shared" si="10"/>
        <v>-1.1005766968188149</v>
      </c>
      <c r="K178" t="e">
        <f t="shared" si="11"/>
        <v>#NUM!</v>
      </c>
      <c r="M178">
        <v>177</v>
      </c>
      <c r="N178">
        <v>-3</v>
      </c>
    </row>
    <row r="179" spans="1:14">
      <c r="A179">
        <v>178</v>
      </c>
      <c r="B179">
        <v>518</v>
      </c>
      <c r="C179">
        <v>0</v>
      </c>
      <c r="D179">
        <v>0</v>
      </c>
      <c r="E179">
        <v>0</v>
      </c>
      <c r="G179" t="e">
        <f t="shared" si="8"/>
        <v>#NUM!</v>
      </c>
      <c r="H179" t="e">
        <f t="shared" si="9"/>
        <v>#NUM!</v>
      </c>
      <c r="I179" t="e">
        <f t="shared" si="10"/>
        <v>#NUM!</v>
      </c>
      <c r="K179" t="e">
        <f t="shared" si="11"/>
        <v>#NUM!</v>
      </c>
      <c r="M179">
        <v>178</v>
      </c>
      <c r="N179">
        <v>-3</v>
      </c>
    </row>
    <row r="180" spans="1:14">
      <c r="A180">
        <v>179</v>
      </c>
      <c r="B180">
        <v>649</v>
      </c>
      <c r="C180">
        <v>0</v>
      </c>
      <c r="D180">
        <v>0</v>
      </c>
      <c r="E180">
        <v>2</v>
      </c>
      <c r="G180" t="e">
        <f t="shared" si="8"/>
        <v>#NUM!</v>
      </c>
      <c r="H180" t="e">
        <f t="shared" si="9"/>
        <v>#NUM!</v>
      </c>
      <c r="I180">
        <f t="shared" si="10"/>
        <v>-1.7275626283225989</v>
      </c>
      <c r="K180" t="e">
        <f t="shared" si="11"/>
        <v>#NUM!</v>
      </c>
      <c r="M180">
        <v>179</v>
      </c>
      <c r="N180">
        <v>-3</v>
      </c>
    </row>
    <row r="181" spans="1:14">
      <c r="A181">
        <v>180</v>
      </c>
      <c r="B181">
        <v>960</v>
      </c>
      <c r="C181">
        <v>0</v>
      </c>
      <c r="D181">
        <v>0</v>
      </c>
      <c r="E181">
        <v>0</v>
      </c>
      <c r="G181" t="e">
        <f t="shared" si="8"/>
        <v>#NUM!</v>
      </c>
      <c r="H181" t="e">
        <f t="shared" si="9"/>
        <v>#NUM!</v>
      </c>
      <c r="I181" t="e">
        <f t="shared" si="10"/>
        <v>#NUM!</v>
      </c>
      <c r="K181" t="e">
        <f t="shared" si="11"/>
        <v>#NUM!</v>
      </c>
      <c r="M181">
        <v>180</v>
      </c>
      <c r="N181">
        <v>-3</v>
      </c>
    </row>
    <row r="182" spans="1:14">
      <c r="A182">
        <v>181</v>
      </c>
      <c r="B182">
        <v>1018</v>
      </c>
      <c r="C182">
        <v>13</v>
      </c>
      <c r="D182">
        <v>0</v>
      </c>
      <c r="E182">
        <v>7</v>
      </c>
      <c r="G182">
        <f t="shared" si="8"/>
        <v>-1.7747943284362395</v>
      </c>
      <c r="H182" t="e">
        <f t="shared" si="9"/>
        <v>#NUM!</v>
      </c>
      <c r="I182">
        <f t="shared" si="10"/>
        <v>-1.3789976651726941</v>
      </c>
      <c r="K182" t="e">
        <f t="shared" si="11"/>
        <v>#NUM!</v>
      </c>
      <c r="M182">
        <v>181</v>
      </c>
      <c r="N182">
        <v>-3</v>
      </c>
    </row>
    <row r="183" spans="1:14">
      <c r="A183">
        <v>182</v>
      </c>
      <c r="B183">
        <v>1211</v>
      </c>
      <c r="C183">
        <v>6</v>
      </c>
      <c r="D183">
        <v>3</v>
      </c>
      <c r="E183">
        <v>2</v>
      </c>
      <c r="G183">
        <f t="shared" si="8"/>
        <v>-2.185982795501745</v>
      </c>
      <c r="H183">
        <f t="shared" si="9"/>
        <v>-2.4592196381887472</v>
      </c>
      <c r="I183">
        <f t="shared" si="10"/>
        <v>-1.9984620746652821</v>
      </c>
      <c r="K183">
        <f t="shared" si="11"/>
        <v>-2.2145548361185914</v>
      </c>
      <c r="M183">
        <v>182</v>
      </c>
      <c r="N183">
        <v>-2.2145548361185914</v>
      </c>
    </row>
    <row r="184" spans="1:14">
      <c r="A184">
        <v>183</v>
      </c>
      <c r="B184">
        <v>1697</v>
      </c>
      <c r="C184">
        <v>2</v>
      </c>
      <c r="D184">
        <v>0</v>
      </c>
      <c r="E184">
        <v>0</v>
      </c>
      <c r="G184">
        <f t="shared" si="8"/>
        <v>-2.8096417493960311</v>
      </c>
      <c r="H184" t="e">
        <f t="shared" si="9"/>
        <v>#NUM!</v>
      </c>
      <c r="I184" t="e">
        <f t="shared" si="10"/>
        <v>#NUM!</v>
      </c>
      <c r="K184" t="e">
        <f t="shared" si="11"/>
        <v>#NUM!</v>
      </c>
      <c r="M184">
        <v>183</v>
      </c>
      <c r="N184">
        <v>-3</v>
      </c>
    </row>
    <row r="185" spans="1:14">
      <c r="A185">
        <v>184</v>
      </c>
      <c r="B185">
        <v>3065</v>
      </c>
      <c r="C185">
        <v>0</v>
      </c>
      <c r="D185">
        <v>0</v>
      </c>
      <c r="E185">
        <v>6</v>
      </c>
      <c r="G185" t="e">
        <f t="shared" si="8"/>
        <v>#NUM!</v>
      </c>
      <c r="H185" t="e">
        <f t="shared" si="9"/>
        <v>#NUM!</v>
      </c>
      <c r="I185">
        <f t="shared" si="10"/>
        <v>-1.9246271556570014</v>
      </c>
      <c r="K185" t="e">
        <f t="shared" si="11"/>
        <v>#NUM!</v>
      </c>
      <c r="M185">
        <v>184</v>
      </c>
      <c r="N185">
        <v>-3</v>
      </c>
    </row>
    <row r="186" spans="1:14">
      <c r="A186">
        <v>185</v>
      </c>
      <c r="B186">
        <v>1061</v>
      </c>
      <c r="C186">
        <v>0</v>
      </c>
      <c r="D186">
        <v>0</v>
      </c>
      <c r="E186">
        <v>24</v>
      </c>
      <c r="G186" t="e">
        <f t="shared" si="8"/>
        <v>#NUM!</v>
      </c>
      <c r="H186" t="e">
        <f t="shared" si="9"/>
        <v>#NUM!</v>
      </c>
      <c r="I186">
        <f t="shared" si="10"/>
        <v>-0.86185206937594572</v>
      </c>
      <c r="K186" t="e">
        <f t="shared" si="11"/>
        <v>#NUM!</v>
      </c>
      <c r="M186">
        <v>185</v>
      </c>
      <c r="N186">
        <v>-3</v>
      </c>
    </row>
    <row r="187" spans="1:14">
      <c r="A187">
        <v>186</v>
      </c>
      <c r="B187">
        <v>1606</v>
      </c>
      <c r="C187">
        <v>591</v>
      </c>
      <c r="D187">
        <v>0</v>
      </c>
      <c r="E187">
        <v>4</v>
      </c>
      <c r="G187">
        <f t="shared" si="8"/>
        <v>-0.31514796280374324</v>
      </c>
      <c r="H187" t="e">
        <f t="shared" si="9"/>
        <v>#NUM!</v>
      </c>
      <c r="I187">
        <f t="shared" si="10"/>
        <v>-1.8200334768009105</v>
      </c>
      <c r="K187" t="e">
        <f t="shared" si="11"/>
        <v>#NUM!</v>
      </c>
      <c r="M187">
        <v>186</v>
      </c>
      <c r="N187">
        <v>-3</v>
      </c>
    </row>
    <row r="188" spans="1:14">
      <c r="A188">
        <v>187</v>
      </c>
      <c r="B188">
        <v>994</v>
      </c>
      <c r="C188">
        <v>0</v>
      </c>
      <c r="D188">
        <v>0</v>
      </c>
      <c r="E188">
        <v>0</v>
      </c>
      <c r="G188" t="e">
        <f t="shared" si="8"/>
        <v>#NUM!</v>
      </c>
      <c r="H188" t="e">
        <f t="shared" si="9"/>
        <v>#NUM!</v>
      </c>
      <c r="I188" t="e">
        <f t="shared" si="10"/>
        <v>#NUM!</v>
      </c>
      <c r="K188" t="e">
        <f t="shared" si="11"/>
        <v>#NUM!</v>
      </c>
      <c r="M188">
        <v>187</v>
      </c>
      <c r="N188">
        <v>-3</v>
      </c>
    </row>
    <row r="189" spans="1:14">
      <c r="A189">
        <v>188</v>
      </c>
      <c r="B189">
        <v>1043</v>
      </c>
      <c r="C189">
        <v>502</v>
      </c>
      <c r="D189">
        <v>0</v>
      </c>
      <c r="E189">
        <v>46</v>
      </c>
      <c r="G189">
        <f t="shared" si="8"/>
        <v>-0.19857049402384808</v>
      </c>
      <c r="H189" t="e">
        <f t="shared" si="9"/>
        <v>#NUM!</v>
      </c>
      <c r="I189">
        <f t="shared" si="10"/>
        <v>-0.57187440393116784</v>
      </c>
      <c r="K189" t="e">
        <f t="shared" si="11"/>
        <v>#NUM!</v>
      </c>
      <c r="M189">
        <v>188</v>
      </c>
      <c r="N189">
        <v>-3</v>
      </c>
    </row>
    <row r="190" spans="1:14">
      <c r="A190">
        <v>189</v>
      </c>
      <c r="B190">
        <v>776</v>
      </c>
      <c r="C190">
        <v>0</v>
      </c>
      <c r="D190">
        <v>0</v>
      </c>
      <c r="E190">
        <v>0</v>
      </c>
      <c r="G190" t="e">
        <f t="shared" si="8"/>
        <v>#NUM!</v>
      </c>
      <c r="H190" t="e">
        <f t="shared" si="9"/>
        <v>#NUM!</v>
      </c>
      <c r="I190" t="e">
        <f t="shared" si="10"/>
        <v>#NUM!</v>
      </c>
      <c r="K190" t="e">
        <f t="shared" si="11"/>
        <v>#NUM!</v>
      </c>
      <c r="M190">
        <v>189</v>
      </c>
      <c r="N190">
        <v>-3</v>
      </c>
    </row>
    <row r="191" spans="1:14">
      <c r="A191">
        <v>190</v>
      </c>
      <c r="B191">
        <v>479</v>
      </c>
      <c r="C191">
        <v>0</v>
      </c>
      <c r="D191">
        <v>0</v>
      </c>
      <c r="E191">
        <v>0</v>
      </c>
      <c r="G191" t="e">
        <f t="shared" si="8"/>
        <v>#NUM!</v>
      </c>
      <c r="H191" t="e">
        <f t="shared" si="9"/>
        <v>#NUM!</v>
      </c>
      <c r="I191" t="e">
        <f t="shared" si="10"/>
        <v>#NUM!</v>
      </c>
      <c r="K191" t="e">
        <f t="shared" si="11"/>
        <v>#NUM!</v>
      </c>
      <c r="M191">
        <v>190</v>
      </c>
      <c r="N191">
        <v>-3</v>
      </c>
    </row>
    <row r="192" spans="1:14">
      <c r="A192">
        <v>191</v>
      </c>
      <c r="B192">
        <v>2279</v>
      </c>
      <c r="C192">
        <v>0</v>
      </c>
      <c r="D192">
        <v>0</v>
      </c>
      <c r="E192">
        <v>0</v>
      </c>
      <c r="G192" t="e">
        <f t="shared" si="8"/>
        <v>#NUM!</v>
      </c>
      <c r="H192" t="e">
        <f t="shared" si="9"/>
        <v>#NUM!</v>
      </c>
      <c r="I192" t="e">
        <f t="shared" si="10"/>
        <v>#NUM!</v>
      </c>
      <c r="K192" t="e">
        <f t="shared" si="11"/>
        <v>#NUM!</v>
      </c>
      <c r="M192">
        <v>191</v>
      </c>
      <c r="N192">
        <v>-3</v>
      </c>
    </row>
    <row r="193" spans="1:14">
      <c r="A193">
        <v>192</v>
      </c>
      <c r="B193">
        <v>3500</v>
      </c>
      <c r="C193">
        <v>0</v>
      </c>
      <c r="D193">
        <v>0</v>
      </c>
      <c r="E193">
        <v>0</v>
      </c>
      <c r="G193" t="e">
        <f t="shared" si="8"/>
        <v>#NUM!</v>
      </c>
      <c r="H193" t="e">
        <f t="shared" si="9"/>
        <v>#NUM!</v>
      </c>
      <c r="I193" t="e">
        <f t="shared" si="10"/>
        <v>#NUM!</v>
      </c>
      <c r="K193" t="e">
        <f t="shared" si="11"/>
        <v>#NUM!</v>
      </c>
      <c r="M193">
        <v>192</v>
      </c>
      <c r="N193">
        <v>-3</v>
      </c>
    </row>
    <row r="194" spans="1:14">
      <c r="A194">
        <v>193</v>
      </c>
      <c r="B194">
        <v>1030</v>
      </c>
      <c r="C194">
        <v>0</v>
      </c>
      <c r="D194">
        <v>0</v>
      </c>
      <c r="E194">
        <v>0</v>
      </c>
      <c r="G194" t="e">
        <f t="shared" si="8"/>
        <v>#NUM!</v>
      </c>
      <c r="H194" t="e">
        <f t="shared" si="9"/>
        <v>#NUM!</v>
      </c>
      <c r="I194" t="e">
        <f t="shared" si="10"/>
        <v>#NUM!</v>
      </c>
      <c r="K194" t="e">
        <f t="shared" si="11"/>
        <v>#NUM!</v>
      </c>
      <c r="M194">
        <v>193</v>
      </c>
      <c r="N194">
        <v>-3</v>
      </c>
    </row>
    <row r="195" spans="1:14">
      <c r="A195">
        <v>194</v>
      </c>
      <c r="B195">
        <v>313</v>
      </c>
      <c r="C195">
        <v>0</v>
      </c>
      <c r="D195">
        <v>0</v>
      </c>
      <c r="E195">
        <v>0</v>
      </c>
      <c r="G195" t="e">
        <f t="shared" ref="G195:G258" si="12">LOG10(C195/B195)-LOG10(28875/37978)</f>
        <v>#NUM!</v>
      </c>
      <c r="H195" t="e">
        <f t="shared" ref="H195:H258" si="13">LOG10(D195/B195)-LOG10(27085/37978)</f>
        <v>#NUM!</v>
      </c>
      <c r="I195" t="e">
        <f t="shared" ref="I195:I258" si="14">LOG10(E195/B195)-LOG10(6250/37978)</f>
        <v>#NUM!</v>
      </c>
      <c r="K195" t="e">
        <f t="shared" ref="K195:K258" si="15">AVERAGE(G195:I195)</f>
        <v>#NUM!</v>
      </c>
      <c r="M195">
        <v>194</v>
      </c>
      <c r="N195">
        <v>-3</v>
      </c>
    </row>
    <row r="196" spans="1:14">
      <c r="A196">
        <v>195</v>
      </c>
      <c r="B196">
        <v>2581</v>
      </c>
      <c r="C196">
        <v>14</v>
      </c>
      <c r="D196">
        <v>1</v>
      </c>
      <c r="E196">
        <v>26</v>
      </c>
      <c r="G196">
        <f t="shared" si="12"/>
        <v>-2.1466498716079672</v>
      </c>
      <c r="H196">
        <f t="shared" si="13"/>
        <v>-3.2649847543092263</v>
      </c>
      <c r="I196">
        <f t="shared" si="14"/>
        <v>-1.2131625837592619</v>
      </c>
      <c r="K196">
        <f t="shared" si="15"/>
        <v>-2.2082657365588183</v>
      </c>
      <c r="M196">
        <v>195</v>
      </c>
      <c r="N196">
        <v>-2.2082657365588183</v>
      </c>
    </row>
    <row r="197" spans="1:14">
      <c r="A197">
        <v>196</v>
      </c>
      <c r="B197">
        <v>1026</v>
      </c>
      <c r="C197">
        <v>0</v>
      </c>
      <c r="D197">
        <v>0</v>
      </c>
      <c r="E197">
        <v>1</v>
      </c>
      <c r="G197" t="e">
        <f t="shared" si="12"/>
        <v>#NUM!</v>
      </c>
      <c r="H197" t="e">
        <f t="shared" si="13"/>
        <v>#NUM!</v>
      </c>
      <c r="I197">
        <f t="shared" si="14"/>
        <v>-2.2274952879620082</v>
      </c>
      <c r="K197" t="e">
        <f t="shared" si="15"/>
        <v>#NUM!</v>
      </c>
      <c r="M197">
        <v>196</v>
      </c>
      <c r="N197">
        <v>-3</v>
      </c>
    </row>
    <row r="198" spans="1:14">
      <c r="A198">
        <v>197</v>
      </c>
      <c r="B198">
        <v>1481</v>
      </c>
      <c r="C198">
        <v>257</v>
      </c>
      <c r="D198">
        <v>43</v>
      </c>
      <c r="E198">
        <v>162</v>
      </c>
      <c r="G198">
        <f t="shared" si="12"/>
        <v>-0.64161183793225052</v>
      </c>
      <c r="H198">
        <f t="shared" si="13"/>
        <v>-1.3902833527069793</v>
      </c>
      <c r="I198">
        <f t="shared" si="14"/>
        <v>-0.17738797116478855</v>
      </c>
      <c r="K198">
        <f t="shared" si="15"/>
        <v>-0.73642772060133943</v>
      </c>
      <c r="M198">
        <v>197</v>
      </c>
      <c r="N198">
        <v>-0.73642772060133943</v>
      </c>
    </row>
    <row r="199" spans="1:14">
      <c r="A199">
        <v>198</v>
      </c>
      <c r="B199">
        <v>1283</v>
      </c>
      <c r="C199">
        <v>0</v>
      </c>
      <c r="D199">
        <v>1</v>
      </c>
      <c r="E199">
        <v>0</v>
      </c>
      <c r="G199" t="e">
        <f t="shared" si="12"/>
        <v>#NUM!</v>
      </c>
      <c r="H199">
        <f t="shared" si="13"/>
        <v>-2.9614234061402858</v>
      </c>
      <c r="I199" t="e">
        <f t="shared" si="14"/>
        <v>#NUM!</v>
      </c>
      <c r="K199" t="e">
        <f t="shared" si="15"/>
        <v>#NUM!</v>
      </c>
      <c r="M199">
        <v>198</v>
      </c>
      <c r="N199">
        <v>-3</v>
      </c>
    </row>
    <row r="200" spans="1:14">
      <c r="A200">
        <v>199</v>
      </c>
      <c r="B200">
        <v>507</v>
      </c>
      <c r="C200">
        <v>10</v>
      </c>
      <c r="D200">
        <v>0</v>
      </c>
      <c r="E200">
        <v>0</v>
      </c>
      <c r="G200">
        <f t="shared" si="12"/>
        <v>-1.5859978620756725</v>
      </c>
      <c r="H200" t="e">
        <f t="shared" si="13"/>
        <v>#NUM!</v>
      </c>
      <c r="I200" t="e">
        <f t="shared" si="14"/>
        <v>#NUM!</v>
      </c>
      <c r="K200" t="e">
        <f t="shared" si="15"/>
        <v>#NUM!</v>
      </c>
      <c r="M200">
        <v>199</v>
      </c>
      <c r="N200">
        <v>-3</v>
      </c>
    </row>
    <row r="201" spans="1:14">
      <c r="A201">
        <v>200</v>
      </c>
      <c r="B201">
        <v>1682</v>
      </c>
      <c r="C201">
        <v>5</v>
      </c>
      <c r="D201">
        <v>0</v>
      </c>
      <c r="E201">
        <v>1</v>
      </c>
      <c r="G201">
        <f t="shared" si="12"/>
        <v>-2.4078458898682111</v>
      </c>
      <c r="H201" t="e">
        <f t="shared" si="13"/>
        <v>#NUM!</v>
      </c>
      <c r="I201">
        <f t="shared" si="14"/>
        <v>-2.4421739186481046</v>
      </c>
      <c r="K201" t="e">
        <f t="shared" si="15"/>
        <v>#NUM!</v>
      </c>
      <c r="M201">
        <v>200</v>
      </c>
      <c r="N201">
        <v>-3</v>
      </c>
    </row>
    <row r="202" spans="1:14">
      <c r="A202">
        <v>201</v>
      </c>
      <c r="B202">
        <v>910</v>
      </c>
      <c r="C202">
        <v>0</v>
      </c>
      <c r="D202">
        <v>0</v>
      </c>
      <c r="E202">
        <v>0</v>
      </c>
      <c r="G202" t="e">
        <f t="shared" si="12"/>
        <v>#NUM!</v>
      </c>
      <c r="H202" t="e">
        <f t="shared" si="13"/>
        <v>#NUM!</v>
      </c>
      <c r="I202" t="e">
        <f t="shared" si="14"/>
        <v>#NUM!</v>
      </c>
      <c r="K202" t="e">
        <f t="shared" si="15"/>
        <v>#NUM!</v>
      </c>
      <c r="M202">
        <v>201</v>
      </c>
      <c r="N202">
        <v>-3</v>
      </c>
    </row>
    <row r="203" spans="1:14">
      <c r="A203">
        <v>202</v>
      </c>
      <c r="B203">
        <v>1300</v>
      </c>
      <c r="C203">
        <v>3</v>
      </c>
      <c r="D203">
        <v>0</v>
      </c>
      <c r="E203">
        <v>0</v>
      </c>
      <c r="G203">
        <f t="shared" si="12"/>
        <v>-2.5178120003295108</v>
      </c>
      <c r="H203" t="e">
        <f t="shared" si="13"/>
        <v>#NUM!</v>
      </c>
      <c r="I203" t="e">
        <f t="shared" si="14"/>
        <v>#NUM!</v>
      </c>
      <c r="K203" t="e">
        <f t="shared" si="15"/>
        <v>#NUM!</v>
      </c>
      <c r="M203">
        <v>202</v>
      </c>
      <c r="N203">
        <v>-3</v>
      </c>
    </row>
    <row r="204" spans="1:14">
      <c r="A204">
        <v>203</v>
      </c>
      <c r="B204">
        <v>528</v>
      </c>
      <c r="C204">
        <v>0</v>
      </c>
      <c r="D204">
        <v>0</v>
      </c>
      <c r="E204">
        <v>1</v>
      </c>
      <c r="G204" t="e">
        <f t="shared" si="12"/>
        <v>#NUM!</v>
      </c>
      <c r="H204" t="e">
        <f t="shared" si="13"/>
        <v>#NUM!</v>
      </c>
      <c r="I204">
        <f t="shared" si="14"/>
        <v>-1.9389818497200231</v>
      </c>
      <c r="K204" t="e">
        <f t="shared" si="15"/>
        <v>#NUM!</v>
      </c>
      <c r="M204">
        <v>203</v>
      </c>
      <c r="N204">
        <v>-3</v>
      </c>
    </row>
    <row r="205" spans="1:14">
      <c r="A205">
        <v>204</v>
      </c>
      <c r="B205">
        <v>708</v>
      </c>
      <c r="C205">
        <v>0</v>
      </c>
      <c r="D205">
        <v>2</v>
      </c>
      <c r="E205">
        <v>0</v>
      </c>
      <c r="G205" t="e">
        <f t="shared" si="12"/>
        <v>#NUM!</v>
      </c>
      <c r="H205">
        <f t="shared" si="13"/>
        <v>-2.4022000117911451</v>
      </c>
      <c r="I205" t="e">
        <f t="shared" si="14"/>
        <v>#NUM!</v>
      </c>
      <c r="K205" t="e">
        <f t="shared" si="15"/>
        <v>#NUM!</v>
      </c>
      <c r="M205">
        <v>204</v>
      </c>
      <c r="N205">
        <v>-3</v>
      </c>
    </row>
    <row r="206" spans="1:14">
      <c r="A206">
        <v>205</v>
      </c>
      <c r="B206">
        <v>1089</v>
      </c>
      <c r="C206">
        <v>0</v>
      </c>
      <c r="D206">
        <v>1</v>
      </c>
      <c r="E206">
        <v>0</v>
      </c>
      <c r="G206" t="e">
        <f t="shared" si="12"/>
        <v>#NUM!</v>
      </c>
      <c r="H206">
        <f t="shared" si="13"/>
        <v>-2.8902246295211325</v>
      </c>
      <c r="I206" t="e">
        <f t="shared" si="14"/>
        <v>#NUM!</v>
      </c>
      <c r="K206" t="e">
        <f t="shared" si="15"/>
        <v>#NUM!</v>
      </c>
      <c r="M206">
        <v>205</v>
      </c>
      <c r="N206">
        <v>-3</v>
      </c>
    </row>
    <row r="207" spans="1:14">
      <c r="A207">
        <v>206</v>
      </c>
      <c r="B207">
        <v>2088</v>
      </c>
      <c r="C207">
        <v>2</v>
      </c>
      <c r="D207">
        <v>0</v>
      </c>
      <c r="E207">
        <v>2</v>
      </c>
      <c r="G207">
        <f t="shared" si="12"/>
        <v>-2.8996904014085798</v>
      </c>
      <c r="H207" t="e">
        <f t="shared" si="13"/>
        <v>#NUM!</v>
      </c>
      <c r="I207">
        <f t="shared" si="14"/>
        <v>-2.2350484258524546</v>
      </c>
      <c r="K207" t="e">
        <f t="shared" si="15"/>
        <v>#NUM!</v>
      </c>
      <c r="M207">
        <v>206</v>
      </c>
      <c r="N207">
        <v>-3</v>
      </c>
    </row>
    <row r="208" spans="1:14">
      <c r="A208">
        <v>207</v>
      </c>
      <c r="B208">
        <v>724</v>
      </c>
      <c r="C208">
        <v>0</v>
      </c>
      <c r="D208">
        <v>0</v>
      </c>
      <c r="E208">
        <v>10</v>
      </c>
      <c r="G208" t="e">
        <f t="shared" si="12"/>
        <v>#NUM!</v>
      </c>
      <c r="H208" t="e">
        <f t="shared" si="13"/>
        <v>#NUM!</v>
      </c>
      <c r="I208">
        <f t="shared" si="14"/>
        <v>-1.0760864933833578</v>
      </c>
      <c r="K208" t="e">
        <f t="shared" si="15"/>
        <v>#NUM!</v>
      </c>
      <c r="M208">
        <v>207</v>
      </c>
      <c r="N208">
        <v>-3</v>
      </c>
    </row>
    <row r="209" spans="1:14">
      <c r="A209">
        <v>208</v>
      </c>
      <c r="B209">
        <v>1316</v>
      </c>
      <c r="C209">
        <v>0</v>
      </c>
      <c r="D209">
        <v>1</v>
      </c>
      <c r="E209">
        <v>1</v>
      </c>
      <c r="G209" t="e">
        <f t="shared" si="12"/>
        <v>#NUM!</v>
      </c>
      <c r="H209">
        <f t="shared" si="13"/>
        <v>-2.9724526390432939</v>
      </c>
      <c r="I209">
        <f t="shared" si="14"/>
        <v>-2.3356038164641477</v>
      </c>
      <c r="K209" t="e">
        <f t="shared" si="15"/>
        <v>#NUM!</v>
      </c>
      <c r="M209">
        <v>208</v>
      </c>
      <c r="N209">
        <v>-3</v>
      </c>
    </row>
    <row r="210" spans="1:14">
      <c r="A210">
        <v>209</v>
      </c>
      <c r="B210">
        <v>1355</v>
      </c>
      <c r="C210">
        <v>1</v>
      </c>
      <c r="D210">
        <v>4</v>
      </c>
      <c r="E210">
        <v>109</v>
      </c>
      <c r="G210">
        <f t="shared" si="12"/>
        <v>-3.012929197952761</v>
      </c>
      <c r="H210">
        <f t="shared" si="13"/>
        <v>-2.3830760536478195</v>
      </c>
      <c r="I210">
        <f t="shared" si="14"/>
        <v>-0.31086072445601176</v>
      </c>
      <c r="K210">
        <f t="shared" si="15"/>
        <v>-1.9022886586855308</v>
      </c>
      <c r="M210">
        <v>209</v>
      </c>
      <c r="N210">
        <v>-1.9022886586855308</v>
      </c>
    </row>
    <row r="211" spans="1:14">
      <c r="A211">
        <v>210</v>
      </c>
      <c r="B211">
        <v>1428</v>
      </c>
      <c r="C211">
        <v>5</v>
      </c>
      <c r="D211">
        <v>0</v>
      </c>
      <c r="E211">
        <v>4</v>
      </c>
      <c r="G211">
        <f t="shared" si="12"/>
        <v>-2.3367481058464734</v>
      </c>
      <c r="H211" t="e">
        <f t="shared" si="13"/>
        <v>#NUM!</v>
      </c>
      <c r="I211">
        <f t="shared" si="14"/>
        <v>-1.7690161432984042</v>
      </c>
      <c r="K211" t="e">
        <f t="shared" si="15"/>
        <v>#NUM!</v>
      </c>
      <c r="M211">
        <v>210</v>
      </c>
      <c r="N211">
        <v>-3</v>
      </c>
    </row>
    <row r="212" spans="1:14">
      <c r="A212">
        <v>211</v>
      </c>
      <c r="B212">
        <v>1520</v>
      </c>
      <c r="C212">
        <v>50</v>
      </c>
      <c r="D212">
        <v>0</v>
      </c>
      <c r="E212">
        <v>1</v>
      </c>
      <c r="G212">
        <f t="shared" si="12"/>
        <v>-1.3638634863510903</v>
      </c>
      <c r="H212" t="e">
        <f t="shared" si="13"/>
        <v>#NUM!</v>
      </c>
      <c r="I212">
        <f t="shared" si="14"/>
        <v>-2.3981915151309838</v>
      </c>
      <c r="K212" t="e">
        <f t="shared" si="15"/>
        <v>#NUM!</v>
      </c>
      <c r="M212">
        <v>211</v>
      </c>
      <c r="N212">
        <v>-3</v>
      </c>
    </row>
    <row r="213" spans="1:14">
      <c r="A213">
        <v>212</v>
      </c>
      <c r="B213">
        <v>395</v>
      </c>
      <c r="C213">
        <v>0</v>
      </c>
      <c r="D213">
        <v>0</v>
      </c>
      <c r="E213">
        <v>1</v>
      </c>
      <c r="G213" t="e">
        <f t="shared" si="12"/>
        <v>#NUM!</v>
      </c>
      <c r="H213" t="e">
        <f t="shared" si="13"/>
        <v>#NUM!</v>
      </c>
      <c r="I213">
        <f t="shared" si="14"/>
        <v>-1.8129450228126711</v>
      </c>
      <c r="K213" t="e">
        <f t="shared" si="15"/>
        <v>#NUM!</v>
      </c>
      <c r="M213">
        <v>212</v>
      </c>
      <c r="N213">
        <v>-3</v>
      </c>
    </row>
    <row r="214" spans="1:14">
      <c r="A214">
        <v>213</v>
      </c>
      <c r="B214">
        <v>1564</v>
      </c>
      <c r="C214">
        <v>0</v>
      </c>
      <c r="D214">
        <v>0</v>
      </c>
      <c r="E214">
        <v>0</v>
      </c>
      <c r="G214" t="e">
        <f t="shared" si="12"/>
        <v>#NUM!</v>
      </c>
      <c r="H214" t="e">
        <f t="shared" si="13"/>
        <v>#NUM!</v>
      </c>
      <c r="I214" t="e">
        <f t="shared" si="14"/>
        <v>#NUM!</v>
      </c>
      <c r="K214" t="e">
        <f t="shared" si="15"/>
        <v>#NUM!</v>
      </c>
      <c r="M214">
        <v>213</v>
      </c>
      <c r="N214">
        <v>-3</v>
      </c>
    </row>
    <row r="215" spans="1:14">
      <c r="A215">
        <v>214</v>
      </c>
      <c r="B215">
        <v>675</v>
      </c>
      <c r="C215">
        <v>0</v>
      </c>
      <c r="D215">
        <v>0</v>
      </c>
      <c r="E215">
        <v>1</v>
      </c>
      <c r="G215" t="e">
        <f t="shared" si="12"/>
        <v>#NUM!</v>
      </c>
      <c r="H215" t="e">
        <f t="shared" si="13"/>
        <v>#NUM!</v>
      </c>
      <c r="I215">
        <f t="shared" si="14"/>
        <v>-2.0456517000172356</v>
      </c>
      <c r="K215" t="e">
        <f t="shared" si="15"/>
        <v>#NUM!</v>
      </c>
      <c r="M215">
        <v>214</v>
      </c>
      <c r="N215">
        <v>-3</v>
      </c>
    </row>
    <row r="216" spans="1:14">
      <c r="A216">
        <v>215</v>
      </c>
      <c r="B216">
        <v>1182</v>
      </c>
      <c r="C216">
        <v>0</v>
      </c>
      <c r="D216">
        <v>0</v>
      </c>
      <c r="E216">
        <v>0</v>
      </c>
      <c r="G216" t="e">
        <f t="shared" si="12"/>
        <v>#NUM!</v>
      </c>
      <c r="H216" t="e">
        <f t="shared" si="13"/>
        <v>#NUM!</v>
      </c>
      <c r="I216" t="e">
        <f t="shared" si="14"/>
        <v>#NUM!</v>
      </c>
      <c r="K216" t="e">
        <f t="shared" si="15"/>
        <v>#NUM!</v>
      </c>
      <c r="M216">
        <v>215</v>
      </c>
      <c r="N216">
        <v>-3</v>
      </c>
    </row>
    <row r="217" spans="1:14">
      <c r="A217">
        <v>216</v>
      </c>
      <c r="B217">
        <v>833</v>
      </c>
      <c r="C217">
        <v>1</v>
      </c>
      <c r="D217">
        <v>1</v>
      </c>
      <c r="E217">
        <v>0</v>
      </c>
      <c r="G217">
        <f t="shared" si="12"/>
        <v>-2.801634904149124</v>
      </c>
      <c r="H217">
        <f t="shared" si="13"/>
        <v>-2.7738417511721449</v>
      </c>
      <c r="I217" t="e">
        <f t="shared" si="14"/>
        <v>#NUM!</v>
      </c>
      <c r="K217" t="e">
        <f t="shared" si="15"/>
        <v>#NUM!</v>
      </c>
      <c r="M217">
        <v>216</v>
      </c>
      <c r="N217">
        <v>-3</v>
      </c>
    </row>
    <row r="218" spans="1:14">
      <c r="A218">
        <v>217</v>
      </c>
      <c r="B218">
        <v>767</v>
      </c>
      <c r="C218">
        <v>0</v>
      </c>
      <c r="D218">
        <v>1</v>
      </c>
      <c r="E218">
        <v>0</v>
      </c>
      <c r="G218" t="e">
        <f t="shared" si="12"/>
        <v>#NUM!</v>
      </c>
      <c r="H218">
        <f t="shared" si="13"/>
        <v>-2.7379921137143386</v>
      </c>
      <c r="I218" t="e">
        <f t="shared" si="14"/>
        <v>#NUM!</v>
      </c>
      <c r="K218" t="e">
        <f t="shared" si="15"/>
        <v>#NUM!</v>
      </c>
      <c r="M218">
        <v>217</v>
      </c>
      <c r="N218">
        <v>-3</v>
      </c>
    </row>
    <row r="219" spans="1:14">
      <c r="A219">
        <v>218</v>
      </c>
      <c r="B219">
        <v>751</v>
      </c>
      <c r="C219">
        <v>0</v>
      </c>
      <c r="D219">
        <v>0</v>
      </c>
      <c r="E219">
        <v>0</v>
      </c>
      <c r="G219" t="e">
        <f t="shared" si="12"/>
        <v>#NUM!</v>
      </c>
      <c r="H219" t="e">
        <f t="shared" si="13"/>
        <v>#NUM!</v>
      </c>
      <c r="I219" t="e">
        <f t="shared" si="14"/>
        <v>#NUM!</v>
      </c>
      <c r="K219" t="e">
        <f t="shared" si="15"/>
        <v>#NUM!</v>
      </c>
      <c r="M219">
        <v>218</v>
      </c>
      <c r="N219">
        <v>-3</v>
      </c>
    </row>
    <row r="220" spans="1:14">
      <c r="A220">
        <v>219</v>
      </c>
      <c r="B220">
        <v>783</v>
      </c>
      <c r="C220">
        <v>0</v>
      </c>
      <c r="D220">
        <v>0</v>
      </c>
      <c r="E220">
        <v>0</v>
      </c>
      <c r="G220" t="e">
        <f t="shared" si="12"/>
        <v>#NUM!</v>
      </c>
      <c r="H220" t="e">
        <f t="shared" si="13"/>
        <v>#NUM!</v>
      </c>
      <c r="I220" t="e">
        <f t="shared" si="14"/>
        <v>#NUM!</v>
      </c>
      <c r="K220" t="e">
        <f t="shared" si="15"/>
        <v>#NUM!</v>
      </c>
      <c r="M220">
        <v>219</v>
      </c>
      <c r="N220">
        <v>-3</v>
      </c>
    </row>
    <row r="221" spans="1:14">
      <c r="A221">
        <v>220</v>
      </c>
      <c r="B221">
        <v>864</v>
      </c>
      <c r="C221">
        <v>0</v>
      </c>
      <c r="D221">
        <v>0</v>
      </c>
      <c r="E221">
        <v>0</v>
      </c>
      <c r="G221" t="e">
        <f t="shared" si="12"/>
        <v>#NUM!</v>
      </c>
      <c r="H221" t="e">
        <f t="shared" si="13"/>
        <v>#NUM!</v>
      </c>
      <c r="I221" t="e">
        <f t="shared" si="14"/>
        <v>#NUM!</v>
      </c>
      <c r="K221" t="e">
        <f t="shared" si="15"/>
        <v>#NUM!</v>
      </c>
      <c r="M221">
        <v>220</v>
      </c>
      <c r="N221">
        <v>-3</v>
      </c>
    </row>
    <row r="222" spans="1:14">
      <c r="A222">
        <v>221</v>
      </c>
      <c r="B222">
        <v>412</v>
      </c>
      <c r="C222">
        <v>0</v>
      </c>
      <c r="D222">
        <v>18</v>
      </c>
      <c r="E222">
        <v>0</v>
      </c>
      <c r="G222" t="e">
        <f t="shared" si="12"/>
        <v>#NUM!</v>
      </c>
      <c r="H222">
        <f t="shared" si="13"/>
        <v>-1.2128214606951859</v>
      </c>
      <c r="I222" t="e">
        <f t="shared" si="14"/>
        <v>#NUM!</v>
      </c>
      <c r="K222" t="e">
        <f t="shared" si="15"/>
        <v>#NUM!</v>
      </c>
      <c r="M222">
        <v>221</v>
      </c>
      <c r="N222">
        <v>-3</v>
      </c>
    </row>
    <row r="223" spans="1:14">
      <c r="A223">
        <v>222</v>
      </c>
      <c r="B223">
        <v>582</v>
      </c>
      <c r="C223">
        <v>0</v>
      </c>
      <c r="D223">
        <v>0</v>
      </c>
      <c r="E223">
        <v>0</v>
      </c>
      <c r="G223" t="e">
        <f t="shared" si="12"/>
        <v>#NUM!</v>
      </c>
      <c r="H223" t="e">
        <f t="shared" si="13"/>
        <v>#NUM!</v>
      </c>
      <c r="I223" t="e">
        <f t="shared" si="14"/>
        <v>#NUM!</v>
      </c>
      <c r="K223" t="e">
        <f t="shared" si="15"/>
        <v>#NUM!</v>
      </c>
      <c r="M223">
        <v>222</v>
      </c>
      <c r="N223">
        <v>-3</v>
      </c>
    </row>
    <row r="224" spans="1:14">
      <c r="A224">
        <v>223</v>
      </c>
      <c r="B224">
        <v>1207</v>
      </c>
      <c r="C224">
        <v>0</v>
      </c>
      <c r="D224">
        <v>0</v>
      </c>
      <c r="E224">
        <v>1</v>
      </c>
      <c r="G224" t="e">
        <f t="shared" si="12"/>
        <v>#NUM!</v>
      </c>
      <c r="H224" t="e">
        <f t="shared" si="13"/>
        <v>#NUM!</v>
      </c>
      <c r="I224">
        <f t="shared" si="14"/>
        <v>-2.2980551972835599</v>
      </c>
      <c r="K224" t="e">
        <f t="shared" si="15"/>
        <v>#NUM!</v>
      </c>
      <c r="M224">
        <v>223</v>
      </c>
      <c r="N224">
        <v>-3</v>
      </c>
    </row>
    <row r="225" spans="1:14">
      <c r="A225">
        <v>224</v>
      </c>
      <c r="B225">
        <v>2222</v>
      </c>
      <c r="C225">
        <v>0</v>
      </c>
      <c r="D225">
        <v>1</v>
      </c>
      <c r="E225">
        <v>4</v>
      </c>
      <c r="G225" t="e">
        <f t="shared" si="12"/>
        <v>#NUM!</v>
      </c>
      <c r="H225">
        <f t="shared" si="13"/>
        <v>-3.1999408043702062</v>
      </c>
      <c r="I225">
        <f t="shared" si="14"/>
        <v>-1.9610319904630973</v>
      </c>
      <c r="K225" t="e">
        <f t="shared" si="15"/>
        <v>#NUM!</v>
      </c>
      <c r="M225">
        <v>224</v>
      </c>
      <c r="N225">
        <v>-3</v>
      </c>
    </row>
    <row r="226" spans="1:14">
      <c r="A226">
        <v>225</v>
      </c>
      <c r="B226">
        <v>949</v>
      </c>
      <c r="C226">
        <v>0</v>
      </c>
      <c r="D226">
        <v>0</v>
      </c>
      <c r="E226">
        <v>0</v>
      </c>
      <c r="G226" t="e">
        <f t="shared" si="12"/>
        <v>#NUM!</v>
      </c>
      <c r="H226" t="e">
        <f t="shared" si="13"/>
        <v>#NUM!</v>
      </c>
      <c r="I226" t="e">
        <f t="shared" si="14"/>
        <v>#NUM!</v>
      </c>
      <c r="K226" t="e">
        <f t="shared" si="15"/>
        <v>#NUM!</v>
      </c>
      <c r="M226">
        <v>225</v>
      </c>
      <c r="N226">
        <v>-3</v>
      </c>
    </row>
    <row r="227" spans="1:14">
      <c r="A227">
        <v>226</v>
      </c>
      <c r="B227">
        <v>1681</v>
      </c>
      <c r="C227">
        <v>0</v>
      </c>
      <c r="D227">
        <v>0</v>
      </c>
      <c r="E227">
        <v>1</v>
      </c>
      <c r="G227" t="e">
        <f t="shared" si="12"/>
        <v>#NUM!</v>
      </c>
      <c r="H227" t="e">
        <f t="shared" si="13"/>
        <v>#NUM!</v>
      </c>
      <c r="I227">
        <f t="shared" si="14"/>
        <v>-2.4419156406256821</v>
      </c>
      <c r="K227" t="e">
        <f t="shared" si="15"/>
        <v>#NUM!</v>
      </c>
      <c r="M227">
        <v>226</v>
      </c>
      <c r="N227">
        <v>-3</v>
      </c>
    </row>
    <row r="228" spans="1:14">
      <c r="A228">
        <v>227</v>
      </c>
      <c r="B228">
        <v>280</v>
      </c>
      <c r="C228">
        <v>2</v>
      </c>
      <c r="D228">
        <v>1</v>
      </c>
      <c r="E228">
        <v>0</v>
      </c>
      <c r="G228">
        <f t="shared" si="12"/>
        <v>-2.0271179384205746</v>
      </c>
      <c r="H228">
        <f t="shared" si="13"/>
        <v>-2.3003547811075769</v>
      </c>
      <c r="I228" t="e">
        <f t="shared" si="14"/>
        <v>#NUM!</v>
      </c>
      <c r="K228" t="e">
        <f t="shared" si="15"/>
        <v>#NUM!</v>
      </c>
      <c r="M228">
        <v>227</v>
      </c>
      <c r="N228">
        <v>-3</v>
      </c>
    </row>
    <row r="229" spans="1:14">
      <c r="A229">
        <v>228</v>
      </c>
      <c r="B229">
        <v>959</v>
      </c>
      <c r="C229">
        <v>0</v>
      </c>
      <c r="D229">
        <v>0</v>
      </c>
      <c r="E229">
        <v>13</v>
      </c>
      <c r="G229" t="e">
        <f t="shared" si="12"/>
        <v>#NUM!</v>
      </c>
      <c r="H229" t="e">
        <f t="shared" si="13"/>
        <v>#NUM!</v>
      </c>
      <c r="I229">
        <f t="shared" si="14"/>
        <v>-1.0842231820500379</v>
      </c>
      <c r="K229" t="e">
        <f t="shared" si="15"/>
        <v>#NUM!</v>
      </c>
      <c r="M229">
        <v>228</v>
      </c>
      <c r="N229">
        <v>-3</v>
      </c>
    </row>
    <row r="230" spans="1:14">
      <c r="A230">
        <v>229</v>
      </c>
      <c r="B230">
        <v>1464</v>
      </c>
      <c r="C230">
        <v>1</v>
      </c>
      <c r="D230">
        <v>16</v>
      </c>
      <c r="E230">
        <v>137</v>
      </c>
      <c r="G230">
        <f t="shared" si="12"/>
        <v>-3.0465309794647095</v>
      </c>
      <c r="H230">
        <f t="shared" si="13"/>
        <v>-1.8146178438318057</v>
      </c>
      <c r="I230">
        <f t="shared" si="14"/>
        <v>-0.24516843675217714</v>
      </c>
      <c r="K230">
        <f t="shared" si="15"/>
        <v>-1.7021057533495643</v>
      </c>
      <c r="M230">
        <v>229</v>
      </c>
      <c r="N230">
        <v>-1.7021057533495643</v>
      </c>
    </row>
    <row r="231" spans="1:14">
      <c r="A231">
        <v>230</v>
      </c>
      <c r="B231">
        <v>862</v>
      </c>
      <c r="C231">
        <v>0</v>
      </c>
      <c r="D231">
        <v>0</v>
      </c>
      <c r="E231">
        <v>0</v>
      </c>
      <c r="G231" t="e">
        <f t="shared" si="12"/>
        <v>#NUM!</v>
      </c>
      <c r="H231" t="e">
        <f t="shared" si="13"/>
        <v>#NUM!</v>
      </c>
      <c r="I231" t="e">
        <f t="shared" si="14"/>
        <v>#NUM!</v>
      </c>
      <c r="K231" t="e">
        <f t="shared" si="15"/>
        <v>#NUM!</v>
      </c>
      <c r="M231">
        <v>230</v>
      </c>
      <c r="N231">
        <v>-3</v>
      </c>
    </row>
    <row r="232" spans="1:14">
      <c r="A232">
        <v>231</v>
      </c>
      <c r="B232">
        <v>990</v>
      </c>
      <c r="C232">
        <v>0</v>
      </c>
      <c r="D232">
        <v>0</v>
      </c>
      <c r="E232">
        <v>1</v>
      </c>
      <c r="G232" t="e">
        <f t="shared" si="12"/>
        <v>#NUM!</v>
      </c>
      <c r="H232" t="e">
        <f t="shared" si="13"/>
        <v>#NUM!</v>
      </c>
      <c r="I232">
        <f t="shared" si="14"/>
        <v>-2.2119831217837609</v>
      </c>
      <c r="K232" t="e">
        <f t="shared" si="15"/>
        <v>#NUM!</v>
      </c>
      <c r="M232">
        <v>231</v>
      </c>
      <c r="N232">
        <v>-3</v>
      </c>
    </row>
    <row r="233" spans="1:14">
      <c r="A233">
        <v>232</v>
      </c>
      <c r="B233">
        <v>933</v>
      </c>
      <c r="C233">
        <v>0</v>
      </c>
      <c r="D233">
        <v>1</v>
      </c>
      <c r="E233">
        <v>2</v>
      </c>
      <c r="G233" t="e">
        <f t="shared" si="12"/>
        <v>#NUM!</v>
      </c>
      <c r="H233">
        <f t="shared" si="13"/>
        <v>-2.8230783935118575</v>
      </c>
      <c r="I233">
        <f t="shared" si="14"/>
        <v>-1.8851995752687298</v>
      </c>
      <c r="K233" t="e">
        <f t="shared" si="15"/>
        <v>#NUM!</v>
      </c>
      <c r="M233">
        <v>232</v>
      </c>
      <c r="N233">
        <v>-3</v>
      </c>
    </row>
    <row r="234" spans="1:14">
      <c r="A234">
        <v>233</v>
      </c>
      <c r="B234">
        <v>1477</v>
      </c>
      <c r="C234">
        <v>0</v>
      </c>
      <c r="D234">
        <v>0</v>
      </c>
      <c r="E234">
        <v>1</v>
      </c>
      <c r="G234" t="e">
        <f t="shared" si="12"/>
        <v>#NUM!</v>
      </c>
      <c r="H234" t="e">
        <f t="shared" si="13"/>
        <v>#NUM!</v>
      </c>
      <c r="I234">
        <f t="shared" si="14"/>
        <v>-2.3857284224981603</v>
      </c>
      <c r="K234" t="e">
        <f t="shared" si="15"/>
        <v>#NUM!</v>
      </c>
      <c r="M234">
        <v>233</v>
      </c>
      <c r="N234">
        <v>-3</v>
      </c>
    </row>
    <row r="235" spans="1:14">
      <c r="A235">
        <v>234</v>
      </c>
      <c r="B235">
        <v>1210</v>
      </c>
      <c r="C235">
        <v>26</v>
      </c>
      <c r="D235">
        <v>0</v>
      </c>
      <c r="E235">
        <v>0</v>
      </c>
      <c r="G235">
        <f t="shared" si="12"/>
        <v>-1.5488019250879685</v>
      </c>
      <c r="H235" t="e">
        <f t="shared" si="13"/>
        <v>#NUM!</v>
      </c>
      <c r="I235" t="e">
        <f t="shared" si="14"/>
        <v>#NUM!</v>
      </c>
      <c r="K235" t="e">
        <f t="shared" si="15"/>
        <v>#NUM!</v>
      </c>
      <c r="M235">
        <v>234</v>
      </c>
      <c r="N235">
        <v>-3</v>
      </c>
    </row>
    <row r="236" spans="1:14">
      <c r="A236">
        <v>235</v>
      </c>
      <c r="B236">
        <v>1337</v>
      </c>
      <c r="C236">
        <v>0</v>
      </c>
      <c r="D236">
        <v>1</v>
      </c>
      <c r="E236">
        <v>0</v>
      </c>
      <c r="G236" t="e">
        <f t="shared" si="12"/>
        <v>#NUM!</v>
      </c>
      <c r="H236">
        <f t="shared" si="13"/>
        <v>-2.979328157027342</v>
      </c>
      <c r="I236" t="e">
        <f t="shared" si="14"/>
        <v>#NUM!</v>
      </c>
      <c r="K236" t="e">
        <f t="shared" si="15"/>
        <v>#NUM!</v>
      </c>
      <c r="M236">
        <v>235</v>
      </c>
      <c r="N236">
        <v>-3</v>
      </c>
    </row>
    <row r="237" spans="1:14">
      <c r="A237">
        <v>236</v>
      </c>
      <c r="B237">
        <v>3063</v>
      </c>
      <c r="C237">
        <v>6</v>
      </c>
      <c r="D237">
        <v>8</v>
      </c>
      <c r="E237">
        <v>4</v>
      </c>
      <c r="G237">
        <f t="shared" si="12"/>
        <v>-2.5889856491652656</v>
      </c>
      <c r="H237">
        <f t="shared" si="13"/>
        <v>-2.4362537595799867</v>
      </c>
      <c r="I237">
        <f t="shared" si="14"/>
        <v>-2.1004349326648217</v>
      </c>
      <c r="K237">
        <f t="shared" si="15"/>
        <v>-2.3752247804700244</v>
      </c>
      <c r="M237">
        <v>236</v>
      </c>
      <c r="N237">
        <v>-2.3752247804700244</v>
      </c>
    </row>
    <row r="238" spans="1:14">
      <c r="A238">
        <v>237</v>
      </c>
      <c r="B238">
        <v>663</v>
      </c>
      <c r="C238">
        <v>0</v>
      </c>
      <c r="D238">
        <v>0</v>
      </c>
      <c r="E238">
        <v>0</v>
      </c>
      <c r="G238" t="e">
        <f t="shared" si="12"/>
        <v>#NUM!</v>
      </c>
      <c r="H238" t="e">
        <f t="shared" si="13"/>
        <v>#NUM!</v>
      </c>
      <c r="I238" t="e">
        <f t="shared" si="14"/>
        <v>#NUM!</v>
      </c>
      <c r="K238" t="e">
        <f t="shared" si="15"/>
        <v>#NUM!</v>
      </c>
      <c r="M238">
        <v>237</v>
      </c>
      <c r="N238">
        <v>-3</v>
      </c>
    </row>
    <row r="239" spans="1:14">
      <c r="A239">
        <v>238</v>
      </c>
      <c r="B239">
        <v>1844</v>
      </c>
      <c r="C239">
        <v>9</v>
      </c>
      <c r="D239">
        <v>3</v>
      </c>
      <c r="E239">
        <v>0</v>
      </c>
      <c r="G239">
        <f t="shared" si="12"/>
        <v>-2.1925083100206222</v>
      </c>
      <c r="H239">
        <f t="shared" si="13"/>
        <v>-2.6418364117633057</v>
      </c>
      <c r="I239" t="e">
        <f t="shared" si="14"/>
        <v>#NUM!</v>
      </c>
      <c r="K239" t="e">
        <f t="shared" si="15"/>
        <v>#NUM!</v>
      </c>
      <c r="M239">
        <v>238</v>
      </c>
      <c r="N239">
        <v>-3</v>
      </c>
    </row>
    <row r="240" spans="1:14">
      <c r="A240">
        <v>239</v>
      </c>
      <c r="B240">
        <v>1089</v>
      </c>
      <c r="C240">
        <v>169</v>
      </c>
      <c r="D240">
        <v>1</v>
      </c>
      <c r="E240">
        <v>147</v>
      </c>
      <c r="G240">
        <f t="shared" si="12"/>
        <v>-0.69013107788443795</v>
      </c>
      <c r="H240">
        <f t="shared" si="13"/>
        <v>-2.8902246295211325</v>
      </c>
      <c r="I240">
        <f t="shared" si="14"/>
        <v>-8.6058472193809799E-2</v>
      </c>
      <c r="K240">
        <f t="shared" si="15"/>
        <v>-1.2221380598664602</v>
      </c>
      <c r="M240">
        <v>239</v>
      </c>
      <c r="N240">
        <v>-1.2221380598664602</v>
      </c>
    </row>
    <row r="241" spans="1:14">
      <c r="A241">
        <v>240</v>
      </c>
      <c r="B241">
        <v>1296</v>
      </c>
      <c r="C241">
        <v>35</v>
      </c>
      <c r="D241">
        <v>1</v>
      </c>
      <c r="E241">
        <v>0</v>
      </c>
      <c r="G241">
        <f t="shared" si="12"/>
        <v>-1.4495268599266353</v>
      </c>
      <c r="H241">
        <f t="shared" si="13"/>
        <v>-2.965801751299932</v>
      </c>
      <c r="I241" t="e">
        <f t="shared" si="14"/>
        <v>#NUM!</v>
      </c>
      <c r="K241" t="e">
        <f t="shared" si="15"/>
        <v>#NUM!</v>
      </c>
      <c r="M241">
        <v>240</v>
      </c>
      <c r="N241">
        <v>-3</v>
      </c>
    </row>
    <row r="242" spans="1:14">
      <c r="A242">
        <v>241</v>
      </c>
      <c r="B242">
        <v>1610</v>
      </c>
      <c r="C242">
        <v>0</v>
      </c>
      <c r="D242">
        <v>0</v>
      </c>
      <c r="E242">
        <v>0</v>
      </c>
      <c r="G242" t="e">
        <f t="shared" si="12"/>
        <v>#NUM!</v>
      </c>
      <c r="H242" t="e">
        <f t="shared" si="13"/>
        <v>#NUM!</v>
      </c>
      <c r="I242" t="e">
        <f t="shared" si="14"/>
        <v>#NUM!</v>
      </c>
      <c r="K242" t="e">
        <f t="shared" si="15"/>
        <v>#NUM!</v>
      </c>
      <c r="M242">
        <v>241</v>
      </c>
      <c r="N242">
        <v>-3</v>
      </c>
    </row>
    <row r="243" spans="1:14">
      <c r="A243">
        <v>242</v>
      </c>
      <c r="B243">
        <v>901</v>
      </c>
      <c r="C243">
        <v>0</v>
      </c>
      <c r="D243">
        <v>0</v>
      </c>
      <c r="E243">
        <v>0</v>
      </c>
      <c r="G243" t="e">
        <f t="shared" si="12"/>
        <v>#NUM!</v>
      </c>
      <c r="H243" t="e">
        <f t="shared" si="13"/>
        <v>#NUM!</v>
      </c>
      <c r="I243" t="e">
        <f t="shared" si="14"/>
        <v>#NUM!</v>
      </c>
      <c r="K243" t="e">
        <f t="shared" si="15"/>
        <v>#NUM!</v>
      </c>
      <c r="M243">
        <v>242</v>
      </c>
      <c r="N243">
        <v>-3</v>
      </c>
    </row>
    <row r="244" spans="1:14">
      <c r="A244">
        <v>243</v>
      </c>
      <c r="B244">
        <v>1360</v>
      </c>
      <c r="C244">
        <v>1</v>
      </c>
      <c r="D244">
        <v>0</v>
      </c>
      <c r="E244">
        <v>1</v>
      </c>
      <c r="G244">
        <f t="shared" si="12"/>
        <v>-3.0145288111125539</v>
      </c>
      <c r="H244" t="e">
        <f t="shared" si="13"/>
        <v>#NUM!</v>
      </c>
      <c r="I244">
        <f t="shared" si="14"/>
        <v>-2.3498868355564282</v>
      </c>
      <c r="K244" t="e">
        <f t="shared" si="15"/>
        <v>#NUM!</v>
      </c>
      <c r="M244">
        <v>243</v>
      </c>
      <c r="N244">
        <v>-3</v>
      </c>
    </row>
    <row r="245" spans="1:14">
      <c r="A245">
        <v>244</v>
      </c>
      <c r="B245">
        <v>1363</v>
      </c>
      <c r="C245">
        <v>0</v>
      </c>
      <c r="D245">
        <v>0</v>
      </c>
      <c r="E245">
        <v>0</v>
      </c>
      <c r="G245" t="e">
        <f t="shared" si="12"/>
        <v>#NUM!</v>
      </c>
      <c r="H245" t="e">
        <f t="shared" si="13"/>
        <v>#NUM!</v>
      </c>
      <c r="I245" t="e">
        <f t="shared" si="14"/>
        <v>#NUM!</v>
      </c>
      <c r="K245" t="e">
        <f t="shared" si="15"/>
        <v>#NUM!</v>
      </c>
      <c r="M245">
        <v>244</v>
      </c>
      <c r="N245">
        <v>-3</v>
      </c>
    </row>
    <row r="246" spans="1:14">
      <c r="A246">
        <v>245</v>
      </c>
      <c r="B246">
        <v>2108</v>
      </c>
      <c r="C246">
        <v>0</v>
      </c>
      <c r="D246">
        <v>0</v>
      </c>
      <c r="E246">
        <v>0</v>
      </c>
      <c r="G246" t="e">
        <f t="shared" si="12"/>
        <v>#NUM!</v>
      </c>
      <c r="H246" t="e">
        <f t="shared" si="13"/>
        <v>#NUM!</v>
      </c>
      <c r="I246" t="e">
        <f t="shared" si="14"/>
        <v>#NUM!</v>
      </c>
      <c r="K246" t="e">
        <f t="shared" si="15"/>
        <v>#NUM!</v>
      </c>
      <c r="M246">
        <v>245</v>
      </c>
      <c r="N246">
        <v>-3</v>
      </c>
    </row>
    <row r="247" spans="1:14">
      <c r="A247">
        <v>246</v>
      </c>
      <c r="B247">
        <v>1541</v>
      </c>
      <c r="C247">
        <v>0</v>
      </c>
      <c r="D247">
        <v>0</v>
      </c>
      <c r="E247">
        <v>0</v>
      </c>
      <c r="G247" t="e">
        <f t="shared" si="12"/>
        <v>#NUM!</v>
      </c>
      <c r="H247" t="e">
        <f t="shared" si="13"/>
        <v>#NUM!</v>
      </c>
      <c r="I247" t="e">
        <f t="shared" si="14"/>
        <v>#NUM!</v>
      </c>
      <c r="K247" t="e">
        <f t="shared" si="15"/>
        <v>#NUM!</v>
      </c>
      <c r="M247">
        <v>246</v>
      </c>
      <c r="N247">
        <v>-3</v>
      </c>
    </row>
    <row r="248" spans="1:14">
      <c r="A248">
        <v>247</v>
      </c>
      <c r="B248">
        <v>1095</v>
      </c>
      <c r="C248">
        <v>0</v>
      </c>
      <c r="D248">
        <v>0</v>
      </c>
      <c r="E248">
        <v>84</v>
      </c>
      <c r="G248" t="e">
        <f t="shared" si="12"/>
        <v>#NUM!</v>
      </c>
      <c r="H248" t="e">
        <f t="shared" si="13"/>
        <v>#NUM!</v>
      </c>
      <c r="I248">
        <f t="shared" si="14"/>
        <v>-0.33148276030046642</v>
      </c>
      <c r="K248" t="e">
        <f t="shared" si="15"/>
        <v>#NUM!</v>
      </c>
      <c r="M248">
        <v>247</v>
      </c>
      <c r="N248">
        <v>-3</v>
      </c>
    </row>
    <row r="249" spans="1:14">
      <c r="A249">
        <v>248</v>
      </c>
      <c r="B249">
        <v>1186</v>
      </c>
      <c r="C249">
        <v>1</v>
      </c>
      <c r="D249">
        <v>2</v>
      </c>
      <c r="E249">
        <v>4</v>
      </c>
      <c r="G249">
        <f t="shared" si="12"/>
        <v>-2.9550745917705803</v>
      </c>
      <c r="H249">
        <f t="shared" si="13"/>
        <v>-2.62625144312962</v>
      </c>
      <c r="I249">
        <f t="shared" si="14"/>
        <v>-1.6883726248864923</v>
      </c>
      <c r="K249">
        <f t="shared" si="15"/>
        <v>-2.4232328865955641</v>
      </c>
      <c r="M249">
        <v>248</v>
      </c>
      <c r="N249">
        <v>-2.4232328865955641</v>
      </c>
    </row>
    <row r="250" spans="1:14">
      <c r="A250">
        <v>249</v>
      </c>
      <c r="B250">
        <v>495</v>
      </c>
      <c r="C250">
        <v>0</v>
      </c>
      <c r="D250">
        <v>0</v>
      </c>
      <c r="E250">
        <v>0</v>
      </c>
      <c r="G250" t="e">
        <f t="shared" si="12"/>
        <v>#NUM!</v>
      </c>
      <c r="H250" t="e">
        <f t="shared" si="13"/>
        <v>#NUM!</v>
      </c>
      <c r="I250" t="e">
        <f t="shared" si="14"/>
        <v>#NUM!</v>
      </c>
      <c r="K250" t="e">
        <f t="shared" si="15"/>
        <v>#NUM!</v>
      </c>
      <c r="M250">
        <v>249</v>
      </c>
      <c r="N250">
        <v>-3</v>
      </c>
    </row>
    <row r="251" spans="1:14">
      <c r="A251">
        <v>250</v>
      </c>
      <c r="B251">
        <v>781</v>
      </c>
      <c r="C251">
        <v>0</v>
      </c>
      <c r="D251">
        <v>0</v>
      </c>
      <c r="E251">
        <v>0</v>
      </c>
      <c r="G251" t="e">
        <f t="shared" si="12"/>
        <v>#NUM!</v>
      </c>
      <c r="H251" t="e">
        <f t="shared" si="13"/>
        <v>#NUM!</v>
      </c>
      <c r="I251" t="e">
        <f t="shared" si="14"/>
        <v>#NUM!</v>
      </c>
      <c r="K251" t="e">
        <f t="shared" si="15"/>
        <v>#NUM!</v>
      </c>
      <c r="M251">
        <v>250</v>
      </c>
      <c r="N251">
        <v>-3</v>
      </c>
    </row>
    <row r="252" spans="1:14">
      <c r="A252">
        <v>251</v>
      </c>
      <c r="B252">
        <v>2803</v>
      </c>
      <c r="C252">
        <v>0</v>
      </c>
      <c r="D252">
        <v>0</v>
      </c>
      <c r="E252">
        <v>0</v>
      </c>
      <c r="G252" t="e">
        <f t="shared" si="12"/>
        <v>#NUM!</v>
      </c>
      <c r="H252" t="e">
        <f t="shared" si="13"/>
        <v>#NUM!</v>
      </c>
      <c r="I252" t="e">
        <f t="shared" si="14"/>
        <v>#NUM!</v>
      </c>
      <c r="K252" t="e">
        <f t="shared" si="15"/>
        <v>#NUM!</v>
      </c>
      <c r="M252">
        <v>251</v>
      </c>
      <c r="N252">
        <v>-3</v>
      </c>
    </row>
    <row r="253" spans="1:14">
      <c r="A253">
        <v>252</v>
      </c>
      <c r="B253">
        <v>432</v>
      </c>
      <c r="C253">
        <v>1</v>
      </c>
      <c r="D253">
        <v>0</v>
      </c>
      <c r="E253">
        <v>0</v>
      </c>
      <c r="G253">
        <f t="shared" si="12"/>
        <v>-2.5164736495572484</v>
      </c>
      <c r="H253" t="e">
        <f t="shared" si="13"/>
        <v>#NUM!</v>
      </c>
      <c r="I253" t="e">
        <f t="shared" si="14"/>
        <v>#NUM!</v>
      </c>
      <c r="K253" t="e">
        <f t="shared" si="15"/>
        <v>#NUM!</v>
      </c>
      <c r="M253">
        <v>252</v>
      </c>
      <c r="N253">
        <v>-3</v>
      </c>
    </row>
    <row r="254" spans="1:14">
      <c r="A254">
        <v>253</v>
      </c>
      <c r="B254">
        <v>2185</v>
      </c>
      <c r="C254">
        <v>0</v>
      </c>
      <c r="D254">
        <v>0</v>
      </c>
      <c r="E254">
        <v>0</v>
      </c>
      <c r="G254" t="e">
        <f t="shared" si="12"/>
        <v>#NUM!</v>
      </c>
      <c r="H254" t="e">
        <f t="shared" si="13"/>
        <v>#NUM!</v>
      </c>
      <c r="I254" t="e">
        <f t="shared" si="14"/>
        <v>#NUM!</v>
      </c>
      <c r="K254" t="e">
        <f t="shared" si="15"/>
        <v>#NUM!</v>
      </c>
      <c r="M254">
        <v>253</v>
      </c>
      <c r="N254">
        <v>-3</v>
      </c>
    </row>
    <row r="255" spans="1:14">
      <c r="A255">
        <v>254</v>
      </c>
      <c r="B255">
        <v>1680</v>
      </c>
      <c r="C255">
        <v>6</v>
      </c>
      <c r="D255">
        <v>0</v>
      </c>
      <c r="E255">
        <v>0</v>
      </c>
      <c r="G255">
        <f t="shared" si="12"/>
        <v>-2.3281479340845559</v>
      </c>
      <c r="H255" t="e">
        <f t="shared" si="13"/>
        <v>#NUM!</v>
      </c>
      <c r="I255" t="e">
        <f t="shared" si="14"/>
        <v>#NUM!</v>
      </c>
      <c r="K255" t="e">
        <f t="shared" si="15"/>
        <v>#NUM!</v>
      </c>
      <c r="M255">
        <v>254</v>
      </c>
      <c r="N255">
        <v>-3</v>
      </c>
    </row>
    <row r="256" spans="1:14">
      <c r="A256">
        <v>255</v>
      </c>
      <c r="B256">
        <v>1327</v>
      </c>
      <c r="C256">
        <v>0</v>
      </c>
      <c r="D256">
        <v>0</v>
      </c>
      <c r="E256">
        <v>3</v>
      </c>
      <c r="G256" t="e">
        <f t="shared" si="12"/>
        <v>#NUM!</v>
      </c>
      <c r="H256" t="e">
        <f t="shared" si="13"/>
        <v>#NUM!</v>
      </c>
      <c r="I256">
        <f t="shared" si="14"/>
        <v>-1.8620975953309842</v>
      </c>
      <c r="K256" t="e">
        <f t="shared" si="15"/>
        <v>#NUM!</v>
      </c>
      <c r="M256">
        <v>255</v>
      </c>
      <c r="N256">
        <v>-3</v>
      </c>
    </row>
    <row r="257" spans="1:14">
      <c r="A257">
        <v>256</v>
      </c>
      <c r="B257">
        <v>605</v>
      </c>
      <c r="C257">
        <v>0</v>
      </c>
      <c r="D257">
        <v>0</v>
      </c>
      <c r="E257">
        <v>34</v>
      </c>
      <c r="G257" t="e">
        <f t="shared" si="12"/>
        <v>#NUM!</v>
      </c>
      <c r="H257" t="e">
        <f t="shared" si="13"/>
        <v>#NUM!</v>
      </c>
      <c r="I257">
        <f t="shared" si="14"/>
        <v>-0.46662438479642465</v>
      </c>
      <c r="K257" t="e">
        <f t="shared" si="15"/>
        <v>#NUM!</v>
      </c>
      <c r="M257">
        <v>256</v>
      </c>
      <c r="N257">
        <v>-3</v>
      </c>
    </row>
    <row r="258" spans="1:14">
      <c r="A258">
        <v>257</v>
      </c>
      <c r="B258">
        <v>737</v>
      </c>
      <c r="C258">
        <v>0</v>
      </c>
      <c r="D258">
        <v>0</v>
      </c>
      <c r="E258">
        <v>0</v>
      </c>
      <c r="G258" t="e">
        <f t="shared" si="12"/>
        <v>#NUM!</v>
      </c>
      <c r="H258" t="e">
        <f t="shared" si="13"/>
        <v>#NUM!</v>
      </c>
      <c r="I258" t="e">
        <f t="shared" si="14"/>
        <v>#NUM!</v>
      </c>
      <c r="K258" t="e">
        <f t="shared" si="15"/>
        <v>#NUM!</v>
      </c>
      <c r="M258">
        <v>257</v>
      </c>
      <c r="N258">
        <v>-3</v>
      </c>
    </row>
    <row r="259" spans="1:14">
      <c r="A259">
        <v>258</v>
      </c>
      <c r="B259">
        <v>1004</v>
      </c>
      <c r="C259">
        <v>0</v>
      </c>
      <c r="D259">
        <v>0</v>
      </c>
      <c r="E259">
        <v>0</v>
      </c>
      <c r="G259" t="e">
        <f t="shared" ref="G259:G322" si="16">LOG10(C259/B259)-LOG10(28875/37978)</f>
        <v>#NUM!</v>
      </c>
      <c r="H259" t="e">
        <f t="shared" ref="H259:H322" si="17">LOG10(D259/B259)-LOG10(27085/37978)</f>
        <v>#NUM!</v>
      </c>
      <c r="I259" t="e">
        <f t="shared" ref="I259:I322" si="18">LOG10(E259/B259)-LOG10(6250/37978)</f>
        <v>#NUM!</v>
      </c>
      <c r="K259" t="e">
        <f t="shared" ref="K259:K322" si="19">AVERAGE(G259:I259)</f>
        <v>#NUM!</v>
      </c>
      <c r="M259">
        <v>258</v>
      </c>
      <c r="N259">
        <v>-3</v>
      </c>
    </row>
    <row r="260" spans="1:14">
      <c r="A260">
        <v>259</v>
      </c>
      <c r="B260">
        <v>1565</v>
      </c>
      <c r="C260">
        <v>60</v>
      </c>
      <c r="D260">
        <v>0</v>
      </c>
      <c r="E260">
        <v>11</v>
      </c>
      <c r="G260">
        <f t="shared" si="16"/>
        <v>-1.2973529942411601</v>
      </c>
      <c r="H260" t="e">
        <f t="shared" si="17"/>
        <v>#NUM!</v>
      </c>
      <c r="I260">
        <f t="shared" si="18"/>
        <v>-1.3694695839104531</v>
      </c>
      <c r="K260" t="e">
        <f t="shared" si="19"/>
        <v>#NUM!</v>
      </c>
      <c r="M260">
        <v>259</v>
      </c>
      <c r="N260">
        <v>-3</v>
      </c>
    </row>
    <row r="261" spans="1:14">
      <c r="A261">
        <v>260</v>
      </c>
      <c r="B261">
        <v>538</v>
      </c>
      <c r="C261">
        <v>0</v>
      </c>
      <c r="D261">
        <v>0</v>
      </c>
      <c r="E261">
        <v>1</v>
      </c>
      <c r="G261" t="e">
        <f t="shared" si="16"/>
        <v>#NUM!</v>
      </c>
      <c r="H261" t="e">
        <f t="shared" si="17"/>
        <v>#NUM!</v>
      </c>
      <c r="I261">
        <f t="shared" si="18"/>
        <v>-1.9471302028526003</v>
      </c>
      <c r="K261" t="e">
        <f t="shared" si="19"/>
        <v>#NUM!</v>
      </c>
      <c r="M261">
        <v>260</v>
      </c>
      <c r="N261">
        <v>-3</v>
      </c>
    </row>
    <row r="262" spans="1:14">
      <c r="A262">
        <v>261</v>
      </c>
      <c r="B262">
        <v>675</v>
      </c>
      <c r="C262">
        <v>0</v>
      </c>
      <c r="D262">
        <v>0</v>
      </c>
      <c r="E262">
        <v>0</v>
      </c>
      <c r="G262" t="e">
        <f t="shared" si="16"/>
        <v>#NUM!</v>
      </c>
      <c r="H262" t="e">
        <f t="shared" si="17"/>
        <v>#NUM!</v>
      </c>
      <c r="I262" t="e">
        <f t="shared" si="18"/>
        <v>#NUM!</v>
      </c>
      <c r="K262" t="e">
        <f t="shared" si="19"/>
        <v>#NUM!</v>
      </c>
      <c r="M262">
        <v>261</v>
      </c>
      <c r="N262">
        <v>-3</v>
      </c>
    </row>
    <row r="263" spans="1:14">
      <c r="A263">
        <v>262</v>
      </c>
      <c r="B263">
        <v>1584</v>
      </c>
      <c r="C263">
        <v>3</v>
      </c>
      <c r="D263">
        <v>0</v>
      </c>
      <c r="E263">
        <v>1</v>
      </c>
      <c r="G263">
        <f t="shared" si="16"/>
        <v>-2.6036238252761486</v>
      </c>
      <c r="H263" t="e">
        <f t="shared" si="17"/>
        <v>#NUM!</v>
      </c>
      <c r="I263">
        <f t="shared" si="18"/>
        <v>-2.4161031044396859</v>
      </c>
      <c r="K263" t="e">
        <f t="shared" si="19"/>
        <v>#NUM!</v>
      </c>
      <c r="M263">
        <v>262</v>
      </c>
      <c r="N263">
        <v>-3</v>
      </c>
    </row>
    <row r="264" spans="1:14">
      <c r="A264">
        <v>263</v>
      </c>
      <c r="B264">
        <v>492</v>
      </c>
      <c r="C264">
        <v>3</v>
      </c>
      <c r="D264">
        <v>0</v>
      </c>
      <c r="E264">
        <v>2</v>
      </c>
      <c r="G264">
        <f t="shared" si="16"/>
        <v>-2.0958337507900344</v>
      </c>
      <c r="H264" t="e">
        <f t="shared" si="17"/>
        <v>#NUM!</v>
      </c>
      <c r="I264">
        <f t="shared" si="18"/>
        <v>-1.6072830342895899</v>
      </c>
      <c r="K264" t="e">
        <f t="shared" si="19"/>
        <v>#NUM!</v>
      </c>
      <c r="M264">
        <v>263</v>
      </c>
      <c r="N264">
        <v>-3</v>
      </c>
    </row>
    <row r="265" spans="1:14">
      <c r="A265">
        <v>264</v>
      </c>
      <c r="B265">
        <v>190</v>
      </c>
      <c r="C265">
        <v>0</v>
      </c>
      <c r="D265">
        <v>0</v>
      </c>
      <c r="E265">
        <v>0</v>
      </c>
      <c r="G265" t="e">
        <f t="shared" si="16"/>
        <v>#NUM!</v>
      </c>
      <c r="H265" t="e">
        <f t="shared" si="17"/>
        <v>#NUM!</v>
      </c>
      <c r="I265" t="e">
        <f t="shared" si="18"/>
        <v>#NUM!</v>
      </c>
      <c r="K265" t="e">
        <f t="shared" si="19"/>
        <v>#NUM!</v>
      </c>
      <c r="M265">
        <v>264</v>
      </c>
      <c r="N265">
        <v>-3</v>
      </c>
    </row>
    <row r="266" spans="1:14">
      <c r="A266">
        <v>265</v>
      </c>
      <c r="B266">
        <v>1045</v>
      </c>
      <c r="C266">
        <v>0</v>
      </c>
      <c r="D266">
        <v>0</v>
      </c>
      <c r="E266">
        <v>0</v>
      </c>
      <c r="G266" t="e">
        <f t="shared" si="16"/>
        <v>#NUM!</v>
      </c>
      <c r="H266" t="e">
        <f t="shared" si="17"/>
        <v>#NUM!</v>
      </c>
      <c r="I266" t="e">
        <f t="shared" si="18"/>
        <v>#NUM!</v>
      </c>
      <c r="K266" t="e">
        <f t="shared" si="19"/>
        <v>#NUM!</v>
      </c>
      <c r="M266">
        <v>265</v>
      </c>
      <c r="N266">
        <v>-3</v>
      </c>
    </row>
    <row r="267" spans="1:14">
      <c r="A267">
        <v>266</v>
      </c>
      <c r="B267">
        <v>1384</v>
      </c>
      <c r="C267">
        <v>0</v>
      </c>
      <c r="D267">
        <v>0</v>
      </c>
      <c r="E267">
        <v>1</v>
      </c>
      <c r="G267" t="e">
        <f t="shared" si="16"/>
        <v>#NUM!</v>
      </c>
      <c r="H267" t="e">
        <f t="shared" si="17"/>
        <v>#NUM!</v>
      </c>
      <c r="I267">
        <f t="shared" si="18"/>
        <v>-2.35748401730695</v>
      </c>
      <c r="K267" t="e">
        <f t="shared" si="19"/>
        <v>#NUM!</v>
      </c>
      <c r="M267">
        <v>266</v>
      </c>
      <c r="N267">
        <v>-3</v>
      </c>
    </row>
    <row r="268" spans="1:14">
      <c r="A268">
        <v>267</v>
      </c>
      <c r="B268">
        <v>2460</v>
      </c>
      <c r="C268">
        <v>0</v>
      </c>
      <c r="D268">
        <v>0</v>
      </c>
      <c r="E268">
        <v>12</v>
      </c>
      <c r="G268" t="e">
        <f t="shared" si="16"/>
        <v>#NUM!</v>
      </c>
      <c r="H268" t="e">
        <f t="shared" si="17"/>
        <v>#NUM!</v>
      </c>
      <c r="I268">
        <f t="shared" si="18"/>
        <v>-1.5281017882419652</v>
      </c>
      <c r="K268" t="e">
        <f t="shared" si="19"/>
        <v>#NUM!</v>
      </c>
      <c r="M268">
        <v>267</v>
      </c>
      <c r="N268">
        <v>-3</v>
      </c>
    </row>
    <row r="269" spans="1:14">
      <c r="A269">
        <v>268</v>
      </c>
      <c r="B269">
        <v>1239</v>
      </c>
      <c r="C269">
        <v>0</v>
      </c>
      <c r="D269">
        <v>0</v>
      </c>
      <c r="E269">
        <v>0</v>
      </c>
      <c r="G269" t="e">
        <f t="shared" si="16"/>
        <v>#NUM!</v>
      </c>
      <c r="H269" t="e">
        <f t="shared" si="17"/>
        <v>#NUM!</v>
      </c>
      <c r="I269" t="e">
        <f t="shared" si="18"/>
        <v>#NUM!</v>
      </c>
      <c r="K269" t="e">
        <f t="shared" si="19"/>
        <v>#NUM!</v>
      </c>
      <c r="M269">
        <v>268</v>
      </c>
      <c r="N269">
        <v>-3</v>
      </c>
    </row>
    <row r="270" spans="1:14">
      <c r="A270">
        <v>269</v>
      </c>
      <c r="B270">
        <v>650</v>
      </c>
      <c r="C270">
        <v>0</v>
      </c>
      <c r="D270">
        <v>0</v>
      </c>
      <c r="E270">
        <v>3</v>
      </c>
      <c r="G270" t="e">
        <f t="shared" si="16"/>
        <v>#NUM!</v>
      </c>
      <c r="H270" t="e">
        <f t="shared" si="17"/>
        <v>#NUM!</v>
      </c>
      <c r="I270">
        <f t="shared" si="18"/>
        <v>-1.5521400291094041</v>
      </c>
      <c r="K270" t="e">
        <f t="shared" si="19"/>
        <v>#NUM!</v>
      </c>
      <c r="M270">
        <v>269</v>
      </c>
      <c r="N270">
        <v>-3</v>
      </c>
    </row>
    <row r="271" spans="1:14">
      <c r="A271">
        <v>270</v>
      </c>
      <c r="B271">
        <v>2908</v>
      </c>
      <c r="C271">
        <v>0</v>
      </c>
      <c r="D271">
        <v>0</v>
      </c>
      <c r="E271">
        <v>35</v>
      </c>
      <c r="G271" t="e">
        <f t="shared" si="16"/>
        <v>#NUM!</v>
      </c>
      <c r="H271" t="e">
        <f t="shared" si="17"/>
        <v>#NUM!</v>
      </c>
      <c r="I271">
        <f t="shared" si="18"/>
        <v>-1.1358742850229355</v>
      </c>
      <c r="K271" t="e">
        <f t="shared" si="19"/>
        <v>#NUM!</v>
      </c>
      <c r="M271">
        <v>270</v>
      </c>
      <c r="N271">
        <v>-3</v>
      </c>
    </row>
    <row r="272" spans="1:14">
      <c r="A272">
        <v>271</v>
      </c>
      <c r="B272">
        <v>769</v>
      </c>
      <c r="C272">
        <v>0</v>
      </c>
      <c r="D272">
        <v>0</v>
      </c>
      <c r="E272">
        <v>0</v>
      </c>
      <c r="G272" t="e">
        <f t="shared" si="16"/>
        <v>#NUM!</v>
      </c>
      <c r="H272" t="e">
        <f t="shared" si="17"/>
        <v>#NUM!</v>
      </c>
      <c r="I272" t="e">
        <f t="shared" si="18"/>
        <v>#NUM!</v>
      </c>
      <c r="K272" t="e">
        <f t="shared" si="19"/>
        <v>#NUM!</v>
      </c>
      <c r="M272">
        <v>271</v>
      </c>
      <c r="N272">
        <v>-3</v>
      </c>
    </row>
    <row r="273" spans="1:14">
      <c r="A273">
        <v>272</v>
      </c>
      <c r="B273">
        <v>1408</v>
      </c>
      <c r="C273">
        <v>0</v>
      </c>
      <c r="D273">
        <v>2</v>
      </c>
      <c r="E273">
        <v>2</v>
      </c>
      <c r="G273" t="e">
        <f t="shared" si="16"/>
        <v>#NUM!</v>
      </c>
      <c r="H273">
        <f t="shared" si="17"/>
        <v>-2.7007694089074694</v>
      </c>
      <c r="I273">
        <f t="shared" si="18"/>
        <v>-2.0639205863283232</v>
      </c>
      <c r="K273" t="e">
        <f t="shared" si="19"/>
        <v>#NUM!</v>
      </c>
      <c r="M273">
        <v>272</v>
      </c>
      <c r="N273">
        <v>-3</v>
      </c>
    </row>
    <row r="274" spans="1:14">
      <c r="A274">
        <v>273</v>
      </c>
      <c r="B274">
        <v>1607</v>
      </c>
      <c r="C274">
        <v>0</v>
      </c>
      <c r="D274">
        <v>0</v>
      </c>
      <c r="E274">
        <v>0</v>
      </c>
      <c r="G274" t="e">
        <f t="shared" si="16"/>
        <v>#NUM!</v>
      </c>
      <c r="H274" t="e">
        <f t="shared" si="17"/>
        <v>#NUM!</v>
      </c>
      <c r="I274" t="e">
        <f t="shared" si="18"/>
        <v>#NUM!</v>
      </c>
      <c r="K274" t="e">
        <f t="shared" si="19"/>
        <v>#NUM!</v>
      </c>
      <c r="M274">
        <v>273</v>
      </c>
      <c r="N274">
        <v>-3</v>
      </c>
    </row>
    <row r="275" spans="1:14">
      <c r="A275">
        <v>274</v>
      </c>
      <c r="B275">
        <v>369</v>
      </c>
      <c r="C275">
        <v>0</v>
      </c>
      <c r="D275">
        <v>0</v>
      </c>
      <c r="E275">
        <v>1</v>
      </c>
      <c r="G275" t="e">
        <f t="shared" si="16"/>
        <v>#NUM!</v>
      </c>
      <c r="H275" t="e">
        <f t="shared" si="17"/>
        <v>#NUM!</v>
      </c>
      <c r="I275">
        <f t="shared" si="18"/>
        <v>-1.7833742933452712</v>
      </c>
      <c r="K275" t="e">
        <f t="shared" si="19"/>
        <v>#NUM!</v>
      </c>
      <c r="M275">
        <v>274</v>
      </c>
      <c r="N275">
        <v>-3</v>
      </c>
    </row>
    <row r="276" spans="1:14">
      <c r="A276">
        <v>275</v>
      </c>
      <c r="B276">
        <v>1978</v>
      </c>
      <c r="C276">
        <v>14</v>
      </c>
      <c r="D276">
        <v>0</v>
      </c>
      <c r="E276">
        <v>13</v>
      </c>
      <c r="G276">
        <f t="shared" si="16"/>
        <v>-2.0310881543252592</v>
      </c>
      <c r="H276" t="e">
        <f t="shared" si="17"/>
        <v>#NUM!</v>
      </c>
      <c r="I276">
        <f t="shared" si="18"/>
        <v>-1.398630862140535</v>
      </c>
      <c r="K276" t="e">
        <f t="shared" si="19"/>
        <v>#NUM!</v>
      </c>
      <c r="M276">
        <v>275</v>
      </c>
      <c r="N276">
        <v>-3</v>
      </c>
    </row>
    <row r="277" spans="1:14">
      <c r="A277">
        <v>276</v>
      </c>
      <c r="B277">
        <v>292</v>
      </c>
      <c r="C277">
        <v>7</v>
      </c>
      <c r="D277">
        <v>0</v>
      </c>
      <c r="E277">
        <v>0</v>
      </c>
      <c r="G277">
        <f t="shared" si="16"/>
        <v>-1.5012747141764979</v>
      </c>
      <c r="H277" t="e">
        <f t="shared" si="17"/>
        <v>#NUM!</v>
      </c>
      <c r="I277" t="e">
        <f t="shared" si="18"/>
        <v>#NUM!</v>
      </c>
      <c r="K277" t="e">
        <f t="shared" si="19"/>
        <v>#NUM!</v>
      </c>
      <c r="M277">
        <v>276</v>
      </c>
      <c r="N277">
        <v>-3</v>
      </c>
    </row>
    <row r="278" spans="1:14">
      <c r="A278">
        <v>277</v>
      </c>
      <c r="B278">
        <v>1069</v>
      </c>
      <c r="C278">
        <v>5</v>
      </c>
      <c r="D278">
        <v>0</v>
      </c>
      <c r="E278">
        <v>5</v>
      </c>
      <c r="G278">
        <f t="shared" si="16"/>
        <v>-2.2109976036150956</v>
      </c>
      <c r="H278" t="e">
        <f t="shared" si="17"/>
        <v>#NUM!</v>
      </c>
      <c r="I278">
        <f t="shared" si="18"/>
        <v>-1.5463556280589701</v>
      </c>
      <c r="K278" t="e">
        <f t="shared" si="19"/>
        <v>#NUM!</v>
      </c>
      <c r="M278">
        <v>277</v>
      </c>
      <c r="N278">
        <v>-3</v>
      </c>
    </row>
    <row r="279" spans="1:14">
      <c r="A279">
        <v>278</v>
      </c>
      <c r="B279">
        <v>2672</v>
      </c>
      <c r="C279">
        <v>0</v>
      </c>
      <c r="D279">
        <v>0</v>
      </c>
      <c r="E279">
        <v>1</v>
      </c>
      <c r="G279" t="e">
        <f t="shared" si="16"/>
        <v>#NUM!</v>
      </c>
      <c r="H279" t="e">
        <f t="shared" si="17"/>
        <v>#NUM!</v>
      </c>
      <c r="I279">
        <f t="shared" si="18"/>
        <v>-2.6431843809897186</v>
      </c>
      <c r="K279" t="e">
        <f t="shared" si="19"/>
        <v>#NUM!</v>
      </c>
      <c r="M279">
        <v>278</v>
      </c>
      <c r="N279">
        <v>-3</v>
      </c>
    </row>
    <row r="280" spans="1:14">
      <c r="A280">
        <v>279</v>
      </c>
      <c r="B280">
        <v>2810</v>
      </c>
      <c r="C280">
        <v>0</v>
      </c>
      <c r="D280">
        <v>3</v>
      </c>
      <c r="E280">
        <v>6</v>
      </c>
      <c r="G280" t="e">
        <f t="shared" si="16"/>
        <v>#NUM!</v>
      </c>
      <c r="H280">
        <f t="shared" si="17"/>
        <v>-2.8247818149507746</v>
      </c>
      <c r="I280">
        <f t="shared" si="18"/>
        <v>-1.8869029967076474</v>
      </c>
      <c r="K280" t="e">
        <f t="shared" si="19"/>
        <v>#NUM!</v>
      </c>
      <c r="M280">
        <v>279</v>
      </c>
      <c r="N280">
        <v>-3</v>
      </c>
    </row>
    <row r="281" spans="1:14">
      <c r="A281">
        <v>280</v>
      </c>
      <c r="B281">
        <v>388</v>
      </c>
      <c r="C281">
        <v>1</v>
      </c>
      <c r="D281">
        <v>0</v>
      </c>
      <c r="E281">
        <v>0</v>
      </c>
      <c r="G281">
        <f t="shared" si="16"/>
        <v>-2.4698216283365437</v>
      </c>
      <c r="H281" t="e">
        <f t="shared" si="17"/>
        <v>#NUM!</v>
      </c>
      <c r="I281" t="e">
        <f t="shared" si="18"/>
        <v>#NUM!</v>
      </c>
      <c r="K281" t="e">
        <f t="shared" si="19"/>
        <v>#NUM!</v>
      </c>
      <c r="M281">
        <v>280</v>
      </c>
      <c r="N281">
        <v>-3</v>
      </c>
    </row>
    <row r="282" spans="1:14">
      <c r="A282">
        <v>281</v>
      </c>
      <c r="B282">
        <v>1160</v>
      </c>
      <c r="C282">
        <v>1</v>
      </c>
      <c r="D282">
        <v>0</v>
      </c>
      <c r="E282">
        <v>1</v>
      </c>
      <c r="G282">
        <f t="shared" si="16"/>
        <v>-2.945447891969255</v>
      </c>
      <c r="H282" t="e">
        <f t="shared" si="17"/>
        <v>#NUM!</v>
      </c>
      <c r="I282">
        <f t="shared" si="18"/>
        <v>-2.2808059164131294</v>
      </c>
      <c r="K282" t="e">
        <f t="shared" si="19"/>
        <v>#NUM!</v>
      </c>
      <c r="M282">
        <v>281</v>
      </c>
      <c r="N282">
        <v>-3</v>
      </c>
    </row>
    <row r="283" spans="1:14">
      <c r="A283">
        <v>282</v>
      </c>
      <c r="B283">
        <v>1639</v>
      </c>
      <c r="C283">
        <v>0</v>
      </c>
      <c r="D283">
        <v>0</v>
      </c>
      <c r="E283">
        <v>0</v>
      </c>
      <c r="G283" t="e">
        <f t="shared" si="16"/>
        <v>#NUM!</v>
      </c>
      <c r="H283" t="e">
        <f t="shared" si="17"/>
        <v>#NUM!</v>
      </c>
      <c r="I283" t="e">
        <f t="shared" si="18"/>
        <v>#NUM!</v>
      </c>
      <c r="K283" t="e">
        <f t="shared" si="19"/>
        <v>#NUM!</v>
      </c>
      <c r="M283">
        <v>282</v>
      </c>
      <c r="N283">
        <v>-3</v>
      </c>
    </row>
    <row r="284" spans="1:14">
      <c r="A284">
        <v>283</v>
      </c>
      <c r="B284">
        <v>2260</v>
      </c>
      <c r="C284">
        <v>0</v>
      </c>
      <c r="D284">
        <v>4</v>
      </c>
      <c r="E284">
        <v>60</v>
      </c>
      <c r="G284" t="e">
        <f t="shared" si="16"/>
        <v>#NUM!</v>
      </c>
      <c r="H284">
        <f t="shared" si="17"/>
        <v>-2.6052451975847961</v>
      </c>
      <c r="I284">
        <f t="shared" si="18"/>
        <v>-0.79230511594996833</v>
      </c>
      <c r="K284" t="e">
        <f t="shared" si="19"/>
        <v>#NUM!</v>
      </c>
      <c r="M284">
        <v>283</v>
      </c>
      <c r="N284">
        <v>-3</v>
      </c>
    </row>
    <row r="285" spans="1:14">
      <c r="A285">
        <v>284</v>
      </c>
      <c r="B285">
        <v>646</v>
      </c>
      <c r="C285">
        <v>0</v>
      </c>
      <c r="D285">
        <v>2</v>
      </c>
      <c r="E285">
        <v>0</v>
      </c>
      <c r="G285" t="e">
        <f t="shared" si="16"/>
        <v>#NUM!</v>
      </c>
      <c r="H285">
        <f t="shared" si="17"/>
        <v>-2.3623992720964604</v>
      </c>
      <c r="I285" t="e">
        <f t="shared" si="18"/>
        <v>#NUM!</v>
      </c>
      <c r="K285" t="e">
        <f t="shared" si="19"/>
        <v>#NUM!</v>
      </c>
      <c r="M285">
        <v>284</v>
      </c>
      <c r="N285">
        <v>-3</v>
      </c>
    </row>
    <row r="286" spans="1:14">
      <c r="A286">
        <v>285</v>
      </c>
      <c r="B286">
        <v>896</v>
      </c>
      <c r="C286">
        <v>5</v>
      </c>
      <c r="D286">
        <v>1</v>
      </c>
      <c r="E286">
        <v>6</v>
      </c>
      <c r="G286">
        <f t="shared" si="16"/>
        <v>-2.134327908068443</v>
      </c>
      <c r="H286">
        <f t="shared" si="17"/>
        <v>-2.8055047594274827</v>
      </c>
      <c r="I286">
        <f t="shared" si="18"/>
        <v>-1.3905046864646924</v>
      </c>
      <c r="K286">
        <f t="shared" si="19"/>
        <v>-2.1101124513202061</v>
      </c>
      <c r="M286">
        <v>285</v>
      </c>
      <c r="N286">
        <v>-2.1101124513202061</v>
      </c>
    </row>
    <row r="287" spans="1:14">
      <c r="A287">
        <v>286</v>
      </c>
      <c r="B287">
        <v>1372</v>
      </c>
      <c r="C287">
        <v>0</v>
      </c>
      <c r="D287">
        <v>13</v>
      </c>
      <c r="E287">
        <v>0</v>
      </c>
      <c r="G287" t="e">
        <f t="shared" si="16"/>
        <v>#NUM!</v>
      </c>
      <c r="H287">
        <f t="shared" si="17"/>
        <v>-1.8766075088292533</v>
      </c>
      <c r="I287" t="e">
        <f t="shared" si="18"/>
        <v>#NUM!</v>
      </c>
      <c r="K287" t="e">
        <f t="shared" si="19"/>
        <v>#NUM!</v>
      </c>
      <c r="M287">
        <v>286</v>
      </c>
      <c r="N287">
        <v>-3</v>
      </c>
    </row>
    <row r="288" spans="1:14">
      <c r="A288">
        <v>287</v>
      </c>
      <c r="B288">
        <v>474</v>
      </c>
      <c r="C288">
        <v>0</v>
      </c>
      <c r="D288">
        <v>0</v>
      </c>
      <c r="E288">
        <v>0</v>
      </c>
      <c r="G288" t="e">
        <f t="shared" si="16"/>
        <v>#NUM!</v>
      </c>
      <c r="H288" t="e">
        <f t="shared" si="17"/>
        <v>#NUM!</v>
      </c>
      <c r="I288" t="e">
        <f t="shared" si="18"/>
        <v>#NUM!</v>
      </c>
      <c r="K288" t="e">
        <f t="shared" si="19"/>
        <v>#NUM!</v>
      </c>
      <c r="M288">
        <v>287</v>
      </c>
      <c r="N288">
        <v>-3</v>
      </c>
    </row>
    <row r="289" spans="1:14">
      <c r="A289">
        <v>288</v>
      </c>
      <c r="B289">
        <v>420</v>
      </c>
      <c r="C289">
        <v>0</v>
      </c>
      <c r="D289">
        <v>0</v>
      </c>
      <c r="E289">
        <v>0</v>
      </c>
      <c r="G289" t="e">
        <f t="shared" si="16"/>
        <v>#NUM!</v>
      </c>
      <c r="H289" t="e">
        <f t="shared" si="17"/>
        <v>#NUM!</v>
      </c>
      <c r="I289" t="e">
        <f t="shared" si="18"/>
        <v>#NUM!</v>
      </c>
      <c r="K289" t="e">
        <f t="shared" si="19"/>
        <v>#NUM!</v>
      </c>
      <c r="M289">
        <v>288</v>
      </c>
      <c r="N289">
        <v>-3</v>
      </c>
    </row>
    <row r="290" spans="1:14">
      <c r="A290">
        <v>289</v>
      </c>
      <c r="B290">
        <v>1404</v>
      </c>
      <c r="C290">
        <v>6</v>
      </c>
      <c r="D290">
        <v>7</v>
      </c>
      <c r="E290">
        <v>0</v>
      </c>
      <c r="G290">
        <f t="shared" si="16"/>
        <v>-2.2502057601524794</v>
      </c>
      <c r="H290">
        <f t="shared" si="17"/>
        <v>-2.1554658175448869</v>
      </c>
      <c r="I290" t="e">
        <f t="shared" si="18"/>
        <v>#NUM!</v>
      </c>
      <c r="K290" t="e">
        <f t="shared" si="19"/>
        <v>#NUM!</v>
      </c>
      <c r="M290">
        <v>289</v>
      </c>
      <c r="N290">
        <v>-3</v>
      </c>
    </row>
    <row r="291" spans="1:14">
      <c r="A291">
        <v>290</v>
      </c>
      <c r="B291">
        <v>186</v>
      </c>
      <c r="C291">
        <v>0</v>
      </c>
      <c r="D291">
        <v>0</v>
      </c>
      <c r="E291">
        <v>1</v>
      </c>
      <c r="G291" t="e">
        <f t="shared" si="16"/>
        <v>#NUM!</v>
      </c>
      <c r="H291" t="e">
        <f t="shared" si="17"/>
        <v>#NUM!</v>
      </c>
      <c r="I291">
        <f t="shared" si="18"/>
        <v>-1.4858608714041275</v>
      </c>
      <c r="K291" t="e">
        <f t="shared" si="19"/>
        <v>#NUM!</v>
      </c>
      <c r="M291">
        <v>290</v>
      </c>
      <c r="N291">
        <v>-3</v>
      </c>
    </row>
    <row r="292" spans="1:14">
      <c r="A292">
        <v>291</v>
      </c>
      <c r="B292">
        <v>716</v>
      </c>
      <c r="C292">
        <v>1</v>
      </c>
      <c r="D292">
        <v>0</v>
      </c>
      <c r="E292">
        <v>3</v>
      </c>
      <c r="G292">
        <f t="shared" si="16"/>
        <v>-2.7359029250501918</v>
      </c>
      <c r="H292" t="e">
        <f t="shared" si="17"/>
        <v>#NUM!</v>
      </c>
      <c r="I292">
        <f t="shared" si="18"/>
        <v>-1.5941396947744042</v>
      </c>
      <c r="K292" t="e">
        <f t="shared" si="19"/>
        <v>#NUM!</v>
      </c>
      <c r="M292">
        <v>291</v>
      </c>
      <c r="N292">
        <v>-3</v>
      </c>
    </row>
    <row r="293" spans="1:14">
      <c r="A293">
        <v>292</v>
      </c>
      <c r="B293">
        <v>1271</v>
      </c>
      <c r="C293">
        <v>3</v>
      </c>
      <c r="D293">
        <v>0</v>
      </c>
      <c r="E293">
        <v>2</v>
      </c>
      <c r="G293">
        <f t="shared" si="16"/>
        <v>-2.5080141985766824</v>
      </c>
      <c r="H293" t="e">
        <f t="shared" si="17"/>
        <v>#NUM!</v>
      </c>
      <c r="I293">
        <f t="shared" si="18"/>
        <v>-2.0194634820762376</v>
      </c>
      <c r="K293" t="e">
        <f t="shared" si="19"/>
        <v>#NUM!</v>
      </c>
      <c r="M293">
        <v>292</v>
      </c>
      <c r="N293">
        <v>-3</v>
      </c>
    </row>
    <row r="294" spans="1:14">
      <c r="A294">
        <v>293</v>
      </c>
      <c r="B294">
        <v>440</v>
      </c>
      <c r="C294">
        <v>1</v>
      </c>
      <c r="D294">
        <v>0</v>
      </c>
      <c r="E294">
        <v>0</v>
      </c>
      <c r="G294">
        <f t="shared" si="16"/>
        <v>-2.5244425792285239</v>
      </c>
      <c r="H294" t="e">
        <f t="shared" si="17"/>
        <v>#NUM!</v>
      </c>
      <c r="I294" t="e">
        <f t="shared" si="18"/>
        <v>#NUM!</v>
      </c>
      <c r="K294" t="e">
        <f t="shared" si="19"/>
        <v>#NUM!</v>
      </c>
      <c r="M294">
        <v>293</v>
      </c>
      <c r="N294">
        <v>-3</v>
      </c>
    </row>
    <row r="295" spans="1:14">
      <c r="A295">
        <v>294</v>
      </c>
      <c r="B295">
        <v>775</v>
      </c>
      <c r="C295">
        <v>0</v>
      </c>
      <c r="D295">
        <v>6</v>
      </c>
      <c r="E295">
        <v>1</v>
      </c>
      <c r="G295" t="e">
        <f t="shared" si="16"/>
        <v>#NUM!</v>
      </c>
      <c r="H295">
        <f t="shared" si="17"/>
        <v>-1.9643472018880241</v>
      </c>
      <c r="I295">
        <f t="shared" si="18"/>
        <v>-2.1056496296925209</v>
      </c>
      <c r="K295" t="e">
        <f t="shared" si="19"/>
        <v>#NUM!</v>
      </c>
      <c r="M295">
        <v>294</v>
      </c>
      <c r="N295">
        <v>-3</v>
      </c>
    </row>
    <row r="296" spans="1:14">
      <c r="A296">
        <v>295</v>
      </c>
      <c r="B296">
        <v>473</v>
      </c>
      <c r="C296">
        <v>0</v>
      </c>
      <c r="D296">
        <v>0</v>
      </c>
      <c r="E296">
        <v>0</v>
      </c>
      <c r="G296" t="e">
        <f t="shared" si="16"/>
        <v>#NUM!</v>
      </c>
      <c r="H296" t="e">
        <f t="shared" si="17"/>
        <v>#NUM!</v>
      </c>
      <c r="I296" t="e">
        <f t="shared" si="18"/>
        <v>#NUM!</v>
      </c>
      <c r="K296" t="e">
        <f t="shared" si="19"/>
        <v>#NUM!</v>
      </c>
      <c r="M296">
        <v>295</v>
      </c>
      <c r="N296">
        <v>-3</v>
      </c>
    </row>
    <row r="297" spans="1:14">
      <c r="A297">
        <v>296</v>
      </c>
      <c r="B297">
        <v>547</v>
      </c>
      <c r="C297">
        <v>0</v>
      </c>
      <c r="D297">
        <v>1</v>
      </c>
      <c r="E297">
        <v>0</v>
      </c>
      <c r="G297" t="e">
        <f t="shared" si="16"/>
        <v>#NUM!</v>
      </c>
      <c r="H297">
        <f t="shared" si="17"/>
        <v>-2.5911840760987883</v>
      </c>
      <c r="I297" t="e">
        <f t="shared" si="18"/>
        <v>#NUM!</v>
      </c>
      <c r="K297" t="e">
        <f t="shared" si="19"/>
        <v>#NUM!</v>
      </c>
      <c r="M297">
        <v>296</v>
      </c>
      <c r="N297">
        <v>-3</v>
      </c>
    </row>
    <row r="298" spans="1:14">
      <c r="A298">
        <v>297</v>
      </c>
      <c r="B298">
        <v>1259</v>
      </c>
      <c r="C298">
        <v>0</v>
      </c>
      <c r="D298">
        <v>0</v>
      </c>
      <c r="E298">
        <v>0</v>
      </c>
      <c r="G298" t="e">
        <f t="shared" si="16"/>
        <v>#NUM!</v>
      </c>
      <c r="H298" t="e">
        <f t="shared" si="17"/>
        <v>#NUM!</v>
      </c>
      <c r="I298" t="e">
        <f t="shared" si="18"/>
        <v>#NUM!</v>
      </c>
      <c r="K298" t="e">
        <f t="shared" si="19"/>
        <v>#NUM!</v>
      </c>
      <c r="M298">
        <v>297</v>
      </c>
      <c r="N298">
        <v>-3</v>
      </c>
    </row>
    <row r="299" spans="1:14">
      <c r="A299">
        <v>298</v>
      </c>
      <c r="B299">
        <v>719</v>
      </c>
      <c r="C299">
        <v>0</v>
      </c>
      <c r="D299">
        <v>0</v>
      </c>
      <c r="E299">
        <v>0</v>
      </c>
      <c r="G299" t="e">
        <f t="shared" si="16"/>
        <v>#NUM!</v>
      </c>
      <c r="H299" t="e">
        <f t="shared" si="17"/>
        <v>#NUM!</v>
      </c>
      <c r="I299" t="e">
        <f t="shared" si="18"/>
        <v>#NUM!</v>
      </c>
      <c r="K299" t="e">
        <f t="shared" si="19"/>
        <v>#NUM!</v>
      </c>
      <c r="M299">
        <v>298</v>
      </c>
      <c r="N299">
        <v>-3</v>
      </c>
    </row>
    <row r="300" spans="1:14">
      <c r="A300">
        <v>299</v>
      </c>
      <c r="B300">
        <v>735</v>
      </c>
      <c r="C300">
        <v>0</v>
      </c>
      <c r="D300">
        <v>0</v>
      </c>
      <c r="E300">
        <v>0</v>
      </c>
      <c r="G300" t="e">
        <f t="shared" si="16"/>
        <v>#NUM!</v>
      </c>
      <c r="H300" t="e">
        <f t="shared" si="17"/>
        <v>#NUM!</v>
      </c>
      <c r="I300" t="e">
        <f t="shared" si="18"/>
        <v>#NUM!</v>
      </c>
      <c r="K300" t="e">
        <f t="shared" si="19"/>
        <v>#NUM!</v>
      </c>
      <c r="M300">
        <v>299</v>
      </c>
      <c r="N300">
        <v>-3</v>
      </c>
    </row>
    <row r="301" spans="1:14">
      <c r="A301">
        <v>300</v>
      </c>
      <c r="B301">
        <v>456</v>
      </c>
      <c r="C301">
        <v>0</v>
      </c>
      <c r="D301">
        <v>0</v>
      </c>
      <c r="E301">
        <v>4</v>
      </c>
      <c r="G301" t="e">
        <f t="shared" si="16"/>
        <v>#NUM!</v>
      </c>
      <c r="H301" t="e">
        <f t="shared" si="17"/>
        <v>#NUM!</v>
      </c>
      <c r="I301">
        <f t="shared" si="18"/>
        <v>-1.2732527785226837</v>
      </c>
      <c r="K301" t="e">
        <f t="shared" si="19"/>
        <v>#NUM!</v>
      </c>
      <c r="M301">
        <v>300</v>
      </c>
      <c r="N301">
        <v>-3</v>
      </c>
    </row>
    <row r="302" spans="1:14">
      <c r="A302">
        <v>301</v>
      </c>
      <c r="B302">
        <v>1103</v>
      </c>
      <c r="C302">
        <v>5</v>
      </c>
      <c r="D302">
        <v>67</v>
      </c>
      <c r="E302">
        <v>0</v>
      </c>
      <c r="G302">
        <f t="shared" si="16"/>
        <v>-2.2245954108465082</v>
      </c>
      <c r="H302">
        <f t="shared" si="17"/>
        <v>-1.0696974595047215</v>
      </c>
      <c r="I302" t="e">
        <f t="shared" si="18"/>
        <v>#NUM!</v>
      </c>
      <c r="K302" t="e">
        <f t="shared" si="19"/>
        <v>#NUM!</v>
      </c>
      <c r="M302">
        <v>301</v>
      </c>
      <c r="N302">
        <v>-3</v>
      </c>
    </row>
    <row r="303" spans="1:14">
      <c r="A303">
        <v>302</v>
      </c>
      <c r="B303">
        <v>877</v>
      </c>
      <c r="C303">
        <v>0</v>
      </c>
      <c r="D303">
        <v>27</v>
      </c>
      <c r="E303">
        <v>0</v>
      </c>
      <c r="G303" t="e">
        <f t="shared" si="16"/>
        <v>#NUM!</v>
      </c>
      <c r="H303">
        <f t="shared" si="17"/>
        <v>-1.3648325789724105</v>
      </c>
      <c r="I303" t="e">
        <f t="shared" si="18"/>
        <v>#NUM!</v>
      </c>
      <c r="K303" t="e">
        <f t="shared" si="19"/>
        <v>#NUM!</v>
      </c>
      <c r="M303">
        <v>302</v>
      </c>
      <c r="N303">
        <v>-3</v>
      </c>
    </row>
    <row r="304" spans="1:14">
      <c r="A304">
        <v>303</v>
      </c>
      <c r="B304">
        <v>585</v>
      </c>
      <c r="C304">
        <v>0</v>
      </c>
      <c r="D304">
        <v>0</v>
      </c>
      <c r="E304">
        <v>0</v>
      </c>
      <c r="G304" t="e">
        <f t="shared" si="16"/>
        <v>#NUM!</v>
      </c>
      <c r="H304" t="e">
        <f t="shared" si="17"/>
        <v>#NUM!</v>
      </c>
      <c r="I304" t="e">
        <f t="shared" si="18"/>
        <v>#NUM!</v>
      </c>
      <c r="K304" t="e">
        <f t="shared" si="19"/>
        <v>#NUM!</v>
      </c>
      <c r="M304">
        <v>303</v>
      </c>
      <c r="N304">
        <v>-3</v>
      </c>
    </row>
    <row r="305" spans="1:14">
      <c r="A305">
        <v>304</v>
      </c>
      <c r="B305">
        <v>799</v>
      </c>
      <c r="C305">
        <v>3</v>
      </c>
      <c r="D305">
        <v>0</v>
      </c>
      <c r="E305">
        <v>0</v>
      </c>
      <c r="G305">
        <f t="shared" si="16"/>
        <v>-2.3064154273366655</v>
      </c>
      <c r="H305" t="e">
        <f t="shared" si="17"/>
        <v>#NUM!</v>
      </c>
      <c r="I305" t="e">
        <f t="shared" si="18"/>
        <v>#NUM!</v>
      </c>
      <c r="K305" t="e">
        <f t="shared" si="19"/>
        <v>#NUM!</v>
      </c>
      <c r="M305">
        <v>304</v>
      </c>
      <c r="N305">
        <v>-3</v>
      </c>
    </row>
    <row r="306" spans="1:14">
      <c r="A306">
        <v>305</v>
      </c>
      <c r="B306">
        <v>1099</v>
      </c>
      <c r="C306">
        <v>0</v>
      </c>
      <c r="D306">
        <v>1</v>
      </c>
      <c r="E306">
        <v>0</v>
      </c>
      <c r="G306" t="e">
        <f t="shared" si="16"/>
        <v>#NUM!</v>
      </c>
      <c r="H306">
        <f t="shared" si="17"/>
        <v>-2.8941944421888479</v>
      </c>
      <c r="I306" t="e">
        <f t="shared" si="18"/>
        <v>#NUM!</v>
      </c>
      <c r="K306" t="e">
        <f t="shared" si="19"/>
        <v>#NUM!</v>
      </c>
      <c r="M306">
        <v>305</v>
      </c>
      <c r="N306">
        <v>-3</v>
      </c>
    </row>
    <row r="307" spans="1:14">
      <c r="A307">
        <v>306</v>
      </c>
      <c r="B307">
        <v>1483</v>
      </c>
      <c r="C307">
        <v>0</v>
      </c>
      <c r="D307">
        <v>0</v>
      </c>
      <c r="E307">
        <v>1</v>
      </c>
      <c r="G307" t="e">
        <f t="shared" si="16"/>
        <v>#NUM!</v>
      </c>
      <c r="H307" t="e">
        <f t="shared" si="17"/>
        <v>#NUM!</v>
      </c>
      <c r="I307">
        <f t="shared" si="18"/>
        <v>-2.3874890782145934</v>
      </c>
      <c r="K307" t="e">
        <f t="shared" si="19"/>
        <v>#NUM!</v>
      </c>
      <c r="M307">
        <v>306</v>
      </c>
      <c r="N307">
        <v>-3</v>
      </c>
    </row>
    <row r="308" spans="1:14">
      <c r="A308">
        <v>307</v>
      </c>
      <c r="B308">
        <v>1336</v>
      </c>
      <c r="C308">
        <v>0</v>
      </c>
      <c r="D308">
        <v>5</v>
      </c>
      <c r="E308">
        <v>0</v>
      </c>
      <c r="G308" t="e">
        <f t="shared" si="16"/>
        <v>#NUM!</v>
      </c>
      <c r="H308">
        <f t="shared" si="17"/>
        <v>-2.2800332035688653</v>
      </c>
      <c r="I308" t="e">
        <f t="shared" si="18"/>
        <v>#NUM!</v>
      </c>
      <c r="K308" t="e">
        <f t="shared" si="19"/>
        <v>#NUM!</v>
      </c>
      <c r="M308">
        <v>307</v>
      </c>
      <c r="N308">
        <v>-3</v>
      </c>
    </row>
    <row r="309" spans="1:14">
      <c r="A309">
        <v>308</v>
      </c>
      <c r="B309">
        <v>1036</v>
      </c>
      <c r="C309">
        <v>129</v>
      </c>
      <c r="D309">
        <v>0</v>
      </c>
      <c r="E309">
        <v>0</v>
      </c>
      <c r="G309">
        <f t="shared" si="16"/>
        <v>-0.78575994785230185</v>
      </c>
      <c r="H309" t="e">
        <f t="shared" si="17"/>
        <v>#NUM!</v>
      </c>
      <c r="I309" t="e">
        <f t="shared" si="18"/>
        <v>#NUM!</v>
      </c>
      <c r="K309" t="e">
        <f t="shared" si="19"/>
        <v>#NUM!</v>
      </c>
      <c r="M309">
        <v>308</v>
      </c>
      <c r="N309">
        <v>-3</v>
      </c>
    </row>
    <row r="310" spans="1:14">
      <c r="A310">
        <v>309</v>
      </c>
      <c r="B310">
        <v>902</v>
      </c>
      <c r="C310">
        <v>0</v>
      </c>
      <c r="D310">
        <v>0</v>
      </c>
      <c r="E310">
        <v>0</v>
      </c>
      <c r="G310" t="e">
        <f t="shared" si="16"/>
        <v>#NUM!</v>
      </c>
      <c r="H310" t="e">
        <f t="shared" si="17"/>
        <v>#NUM!</v>
      </c>
      <c r="I310" t="e">
        <f t="shared" si="18"/>
        <v>#NUM!</v>
      </c>
      <c r="K310" t="e">
        <f t="shared" si="19"/>
        <v>#NUM!</v>
      </c>
      <c r="M310">
        <v>309</v>
      </c>
      <c r="N310">
        <v>-3</v>
      </c>
    </row>
    <row r="311" spans="1:14">
      <c r="A311">
        <v>310</v>
      </c>
      <c r="B311">
        <v>1593</v>
      </c>
      <c r="C311">
        <v>1</v>
      </c>
      <c r="D311">
        <v>0</v>
      </c>
      <c r="E311">
        <v>1</v>
      </c>
      <c r="G311">
        <f t="shared" si="16"/>
        <v>-3.0832056785434681</v>
      </c>
      <c r="H311" t="e">
        <f t="shared" si="17"/>
        <v>#NUM!</v>
      </c>
      <c r="I311">
        <f t="shared" si="18"/>
        <v>-2.4185637029873428</v>
      </c>
      <c r="K311" t="e">
        <f t="shared" si="19"/>
        <v>#NUM!</v>
      </c>
      <c r="M311">
        <v>310</v>
      </c>
      <c r="N311">
        <v>-3</v>
      </c>
    </row>
    <row r="312" spans="1:14">
      <c r="A312">
        <v>311</v>
      </c>
      <c r="B312">
        <v>1253</v>
      </c>
      <c r="C312">
        <v>0</v>
      </c>
      <c r="D312">
        <v>1</v>
      </c>
      <c r="E312">
        <v>2</v>
      </c>
      <c r="G312" t="e">
        <f t="shared" si="16"/>
        <v>#NUM!</v>
      </c>
      <c r="H312">
        <f t="shared" si="17"/>
        <v>-2.9511478207595072</v>
      </c>
      <c r="I312">
        <f t="shared" si="18"/>
        <v>-2.0132690025163802</v>
      </c>
      <c r="K312" t="e">
        <f t="shared" si="19"/>
        <v>#NUM!</v>
      </c>
      <c r="M312">
        <v>311</v>
      </c>
      <c r="N312">
        <v>-3</v>
      </c>
    </row>
    <row r="313" spans="1:14">
      <c r="A313">
        <v>312</v>
      </c>
      <c r="B313">
        <v>892</v>
      </c>
      <c r="C313">
        <v>0</v>
      </c>
      <c r="D313">
        <v>1</v>
      </c>
      <c r="E313">
        <v>0</v>
      </c>
      <c r="G313" t="e">
        <f t="shared" si="16"/>
        <v>#NUM!</v>
      </c>
      <c r="H313">
        <f t="shared" si="17"/>
        <v>-2.8035616041414806</v>
      </c>
      <c r="I313" t="e">
        <f t="shared" si="18"/>
        <v>#NUM!</v>
      </c>
      <c r="K313" t="e">
        <f t="shared" si="19"/>
        <v>#NUM!</v>
      </c>
      <c r="M313">
        <v>312</v>
      </c>
      <c r="N313">
        <v>-3</v>
      </c>
    </row>
    <row r="314" spans="1:14">
      <c r="A314">
        <v>313</v>
      </c>
      <c r="B314">
        <v>523</v>
      </c>
      <c r="C314">
        <v>0</v>
      </c>
      <c r="D314">
        <v>0</v>
      </c>
      <c r="E314">
        <v>0</v>
      </c>
      <c r="G314" t="e">
        <f t="shared" si="16"/>
        <v>#NUM!</v>
      </c>
      <c r="H314" t="e">
        <f t="shared" si="17"/>
        <v>#NUM!</v>
      </c>
      <c r="I314" t="e">
        <f t="shared" si="18"/>
        <v>#NUM!</v>
      </c>
      <c r="K314" t="e">
        <f t="shared" si="19"/>
        <v>#NUM!</v>
      </c>
      <c r="M314">
        <v>313</v>
      </c>
      <c r="N314">
        <v>-3</v>
      </c>
    </row>
    <row r="315" spans="1:14">
      <c r="A315">
        <v>314</v>
      </c>
      <c r="B315">
        <v>294</v>
      </c>
      <c r="C315">
        <v>0</v>
      </c>
      <c r="D315">
        <v>0</v>
      </c>
      <c r="E315">
        <v>1</v>
      </c>
      <c r="G315" t="e">
        <f t="shared" si="16"/>
        <v>#NUM!</v>
      </c>
      <c r="H315" t="e">
        <f t="shared" si="17"/>
        <v>#NUM!</v>
      </c>
      <c r="I315">
        <f t="shared" si="18"/>
        <v>-1.6846952575983682</v>
      </c>
      <c r="K315" t="e">
        <f t="shared" si="19"/>
        <v>#NUM!</v>
      </c>
      <c r="M315">
        <v>314</v>
      </c>
      <c r="N315">
        <v>-3</v>
      </c>
    </row>
    <row r="316" spans="1:14">
      <c r="A316">
        <v>315</v>
      </c>
      <c r="B316">
        <v>2686</v>
      </c>
      <c r="C316">
        <v>0</v>
      </c>
      <c r="D316">
        <v>0</v>
      </c>
      <c r="E316">
        <v>1</v>
      </c>
      <c r="G316" t="e">
        <f t="shared" si="16"/>
        <v>#NUM!</v>
      </c>
      <c r="H316" t="e">
        <f t="shared" si="17"/>
        <v>#NUM!</v>
      </c>
      <c r="I316">
        <f t="shared" si="18"/>
        <v>-2.6454539355189075</v>
      </c>
      <c r="K316" t="e">
        <f t="shared" si="19"/>
        <v>#NUM!</v>
      </c>
      <c r="M316">
        <v>315</v>
      </c>
      <c r="N316">
        <v>-3</v>
      </c>
    </row>
    <row r="317" spans="1:14">
      <c r="A317">
        <v>316</v>
      </c>
      <c r="B317">
        <v>845</v>
      </c>
      <c r="C317">
        <v>0</v>
      </c>
      <c r="D317">
        <v>0</v>
      </c>
      <c r="E317">
        <v>0</v>
      </c>
      <c r="G317" t="e">
        <f t="shared" si="16"/>
        <v>#NUM!</v>
      </c>
      <c r="H317" t="e">
        <f t="shared" si="17"/>
        <v>#NUM!</v>
      </c>
      <c r="I317" t="e">
        <f t="shared" si="18"/>
        <v>#NUM!</v>
      </c>
      <c r="K317" t="e">
        <f t="shared" si="19"/>
        <v>#NUM!</v>
      </c>
      <c r="M317">
        <v>316</v>
      </c>
      <c r="N317">
        <v>-3</v>
      </c>
    </row>
    <row r="318" spans="1:14">
      <c r="A318">
        <v>317</v>
      </c>
      <c r="B318">
        <v>1080</v>
      </c>
      <c r="C318">
        <v>10</v>
      </c>
      <c r="D318">
        <v>0</v>
      </c>
      <c r="E318">
        <v>0</v>
      </c>
      <c r="G318">
        <f t="shared" si="16"/>
        <v>-1.9144136582292863</v>
      </c>
      <c r="H318" t="e">
        <f t="shared" si="17"/>
        <v>#NUM!</v>
      </c>
      <c r="I318" t="e">
        <f t="shared" si="18"/>
        <v>#NUM!</v>
      </c>
      <c r="K318" t="e">
        <f t="shared" si="19"/>
        <v>#NUM!</v>
      </c>
      <c r="M318">
        <v>317</v>
      </c>
      <c r="N318">
        <v>-3</v>
      </c>
    </row>
    <row r="319" spans="1:14">
      <c r="A319">
        <v>318</v>
      </c>
      <c r="B319">
        <v>884</v>
      </c>
      <c r="C319">
        <v>0</v>
      </c>
      <c r="D319">
        <v>0</v>
      </c>
      <c r="E319">
        <v>2</v>
      </c>
      <c r="G319" t="e">
        <f t="shared" si="16"/>
        <v>#NUM!</v>
      </c>
      <c r="H319" t="e">
        <f t="shared" si="17"/>
        <v>#NUM!</v>
      </c>
      <c r="I319">
        <f t="shared" si="18"/>
        <v>-1.8617701965353028</v>
      </c>
      <c r="K319" t="e">
        <f t="shared" si="19"/>
        <v>#NUM!</v>
      </c>
      <c r="M319">
        <v>318</v>
      </c>
      <c r="N319">
        <v>-3</v>
      </c>
    </row>
    <row r="320" spans="1:14">
      <c r="A320">
        <v>319</v>
      </c>
      <c r="B320">
        <v>224</v>
      </c>
      <c r="C320">
        <v>0</v>
      </c>
      <c r="D320">
        <v>0</v>
      </c>
      <c r="E320">
        <v>0</v>
      </c>
      <c r="G320" t="e">
        <f t="shared" si="16"/>
        <v>#NUM!</v>
      </c>
      <c r="H320" t="e">
        <f t="shared" si="17"/>
        <v>#NUM!</v>
      </c>
      <c r="I320" t="e">
        <f t="shared" si="18"/>
        <v>#NUM!</v>
      </c>
      <c r="K320" t="e">
        <f t="shared" si="19"/>
        <v>#NUM!</v>
      </c>
      <c r="M320">
        <v>319</v>
      </c>
      <c r="N320">
        <v>-3</v>
      </c>
    </row>
    <row r="321" spans="1:14">
      <c r="A321">
        <v>320</v>
      </c>
      <c r="B321">
        <v>1999</v>
      </c>
      <c r="C321">
        <v>0</v>
      </c>
      <c r="D321">
        <v>0</v>
      </c>
      <c r="E321">
        <v>0</v>
      </c>
      <c r="G321" t="e">
        <f t="shared" si="16"/>
        <v>#NUM!</v>
      </c>
      <c r="H321" t="e">
        <f t="shared" si="17"/>
        <v>#NUM!</v>
      </c>
      <c r="I321" t="e">
        <f t="shared" si="18"/>
        <v>#NUM!</v>
      </c>
      <c r="K321" t="e">
        <f t="shared" si="19"/>
        <v>#NUM!</v>
      </c>
      <c r="M321">
        <v>320</v>
      </c>
      <c r="N321">
        <v>-3</v>
      </c>
    </row>
    <row r="322" spans="1:14">
      <c r="A322">
        <v>321</v>
      </c>
      <c r="B322">
        <v>1257</v>
      </c>
      <c r="C322">
        <v>4</v>
      </c>
      <c r="D322">
        <v>24</v>
      </c>
      <c r="E322">
        <v>3</v>
      </c>
      <c r="G322">
        <f t="shared" si="16"/>
        <v>-2.3782651891003317</v>
      </c>
      <c r="H322">
        <f t="shared" si="17"/>
        <v>-1.572320785739709</v>
      </c>
      <c r="I322">
        <f t="shared" si="18"/>
        <v>-1.8385619501525061</v>
      </c>
      <c r="K322">
        <f t="shared" si="19"/>
        <v>-1.9297159749975157</v>
      </c>
      <c r="M322">
        <v>321</v>
      </c>
      <c r="N322">
        <v>-1.9297159749975157</v>
      </c>
    </row>
    <row r="323" spans="1:14">
      <c r="A323">
        <v>322</v>
      </c>
      <c r="B323">
        <v>1805</v>
      </c>
      <c r="C323">
        <v>0</v>
      </c>
      <c r="D323">
        <v>0</v>
      </c>
      <c r="E323">
        <v>0</v>
      </c>
      <c r="G323" t="e">
        <f t="shared" ref="G323:G386" si="20">LOG10(C323/B323)-LOG10(28875/37978)</f>
        <v>#NUM!</v>
      </c>
      <c r="H323" t="e">
        <f t="shared" ref="H323:H386" si="21">LOG10(D323/B323)-LOG10(27085/37978)</f>
        <v>#NUM!</v>
      </c>
      <c r="I323" t="e">
        <f t="shared" ref="I323:I386" si="22">LOG10(E323/B323)-LOG10(6250/37978)</f>
        <v>#NUM!</v>
      </c>
      <c r="K323" t="e">
        <f t="shared" ref="K323:K386" si="23">AVERAGE(G323:I323)</f>
        <v>#NUM!</v>
      </c>
      <c r="M323">
        <v>322</v>
      </c>
      <c r="N323">
        <v>-3</v>
      </c>
    </row>
    <row r="324" spans="1:14">
      <c r="A324">
        <v>323</v>
      </c>
      <c r="B324">
        <v>1248</v>
      </c>
      <c r="C324">
        <v>0</v>
      </c>
      <c r="D324">
        <v>0</v>
      </c>
      <c r="E324">
        <v>0</v>
      </c>
      <c r="G324" t="e">
        <f t="shared" si="20"/>
        <v>#NUM!</v>
      </c>
      <c r="H324" t="e">
        <f t="shared" si="21"/>
        <v>#NUM!</v>
      </c>
      <c r="I324" t="e">
        <f t="shared" si="22"/>
        <v>#NUM!</v>
      </c>
      <c r="K324" t="e">
        <f t="shared" si="23"/>
        <v>#NUM!</v>
      </c>
      <c r="M324">
        <v>323</v>
      </c>
      <c r="N324">
        <v>-3</v>
      </c>
    </row>
    <row r="325" spans="1:14">
      <c r="A325">
        <v>324</v>
      </c>
      <c r="B325">
        <v>573</v>
      </c>
      <c r="C325">
        <v>0</v>
      </c>
      <c r="D325">
        <v>0</v>
      </c>
      <c r="E325">
        <v>0</v>
      </c>
      <c r="G325" t="e">
        <f t="shared" si="20"/>
        <v>#NUM!</v>
      </c>
      <c r="H325" t="e">
        <f t="shared" si="21"/>
        <v>#NUM!</v>
      </c>
      <c r="I325" t="e">
        <f t="shared" si="22"/>
        <v>#NUM!</v>
      </c>
      <c r="K325" t="e">
        <f t="shared" si="23"/>
        <v>#NUM!</v>
      </c>
      <c r="M325">
        <v>324</v>
      </c>
      <c r="N325">
        <v>-3</v>
      </c>
    </row>
    <row r="326" spans="1:14">
      <c r="A326">
        <v>325</v>
      </c>
      <c r="B326">
        <v>1008</v>
      </c>
      <c r="C326">
        <v>0</v>
      </c>
      <c r="D326">
        <v>0</v>
      </c>
      <c r="E326">
        <v>0</v>
      </c>
      <c r="G326" t="e">
        <f t="shared" si="20"/>
        <v>#NUM!</v>
      </c>
      <c r="H326" t="e">
        <f t="shared" si="21"/>
        <v>#NUM!</v>
      </c>
      <c r="I326" t="e">
        <f t="shared" si="22"/>
        <v>#NUM!</v>
      </c>
      <c r="K326" t="e">
        <f t="shared" si="23"/>
        <v>#NUM!</v>
      </c>
      <c r="M326">
        <v>325</v>
      </c>
      <c r="N326">
        <v>-3</v>
      </c>
    </row>
    <row r="327" spans="1:14">
      <c r="A327">
        <v>326</v>
      </c>
      <c r="B327">
        <v>328</v>
      </c>
      <c r="C327">
        <v>0</v>
      </c>
      <c r="D327">
        <v>0</v>
      </c>
      <c r="E327">
        <v>0</v>
      </c>
      <c r="G327" t="e">
        <f t="shared" si="20"/>
        <v>#NUM!</v>
      </c>
      <c r="H327" t="e">
        <f t="shared" si="21"/>
        <v>#NUM!</v>
      </c>
      <c r="I327" t="e">
        <f t="shared" si="22"/>
        <v>#NUM!</v>
      </c>
      <c r="K327" t="e">
        <f t="shared" si="23"/>
        <v>#NUM!</v>
      </c>
      <c r="M327">
        <v>326</v>
      </c>
      <c r="N327">
        <v>-3</v>
      </c>
    </row>
    <row r="328" spans="1:14">
      <c r="A328">
        <v>327</v>
      </c>
      <c r="B328">
        <v>537</v>
      </c>
      <c r="C328">
        <v>0</v>
      </c>
      <c r="D328">
        <v>0</v>
      </c>
      <c r="E328">
        <v>1</v>
      </c>
      <c r="G328" t="e">
        <f t="shared" si="20"/>
        <v>#NUM!</v>
      </c>
      <c r="H328" t="e">
        <f t="shared" si="21"/>
        <v>#NUM!</v>
      </c>
      <c r="I328">
        <f t="shared" si="22"/>
        <v>-1.9463222128857665</v>
      </c>
      <c r="K328" t="e">
        <f t="shared" si="23"/>
        <v>#NUM!</v>
      </c>
      <c r="M328">
        <v>327</v>
      </c>
      <c r="N328">
        <v>-3</v>
      </c>
    </row>
    <row r="329" spans="1:14">
      <c r="A329">
        <v>328</v>
      </c>
      <c r="B329">
        <v>1143</v>
      </c>
      <c r="C329">
        <v>0</v>
      </c>
      <c r="D329">
        <v>0</v>
      </c>
      <c r="E329">
        <v>0</v>
      </c>
      <c r="G329" t="e">
        <f t="shared" si="20"/>
        <v>#NUM!</v>
      </c>
      <c r="H329" t="e">
        <f t="shared" si="21"/>
        <v>#NUM!</v>
      </c>
      <c r="I329" t="e">
        <f t="shared" si="22"/>
        <v>#NUM!</v>
      </c>
      <c r="K329" t="e">
        <f t="shared" si="23"/>
        <v>#NUM!</v>
      </c>
      <c r="M329">
        <v>328</v>
      </c>
      <c r="N329">
        <v>-3</v>
      </c>
    </row>
    <row r="330" spans="1:14">
      <c r="A330">
        <v>329</v>
      </c>
      <c r="B330">
        <v>460</v>
      </c>
      <c r="C330">
        <v>0</v>
      </c>
      <c r="D330">
        <v>0</v>
      </c>
      <c r="E330">
        <v>3</v>
      </c>
      <c r="G330" t="e">
        <f t="shared" si="20"/>
        <v>#NUM!</v>
      </c>
      <c r="H330" t="e">
        <f t="shared" si="21"/>
        <v>#NUM!</v>
      </c>
      <c r="I330">
        <f t="shared" si="22"/>
        <v>-1.4019845041481227</v>
      </c>
      <c r="K330" t="e">
        <f t="shared" si="23"/>
        <v>#NUM!</v>
      </c>
      <c r="M330">
        <v>329</v>
      </c>
      <c r="N330">
        <v>-3</v>
      </c>
    </row>
    <row r="331" spans="1:14">
      <c r="A331">
        <v>330</v>
      </c>
      <c r="B331">
        <v>935</v>
      </c>
      <c r="C331">
        <v>0</v>
      </c>
      <c r="D331">
        <v>1</v>
      </c>
      <c r="E331">
        <v>1</v>
      </c>
      <c r="G331" t="e">
        <f t="shared" si="20"/>
        <v>#NUM!</v>
      </c>
      <c r="H331">
        <f t="shared" si="21"/>
        <v>-2.8240083606378752</v>
      </c>
      <c r="I331">
        <f t="shared" si="22"/>
        <v>-2.1871595380587285</v>
      </c>
      <c r="K331" t="e">
        <f t="shared" si="23"/>
        <v>#NUM!</v>
      </c>
      <c r="M331">
        <v>330</v>
      </c>
      <c r="N331">
        <v>-3</v>
      </c>
    </row>
    <row r="332" spans="1:14">
      <c r="A332">
        <v>331</v>
      </c>
      <c r="B332">
        <v>1175</v>
      </c>
      <c r="C332">
        <v>0</v>
      </c>
      <c r="D332">
        <v>0</v>
      </c>
      <c r="E332">
        <v>0</v>
      </c>
      <c r="G332" t="e">
        <f t="shared" si="20"/>
        <v>#NUM!</v>
      </c>
      <c r="H332" t="e">
        <f t="shared" si="21"/>
        <v>#NUM!</v>
      </c>
      <c r="I332" t="e">
        <f t="shared" si="22"/>
        <v>#NUM!</v>
      </c>
      <c r="K332" t="e">
        <f t="shared" si="23"/>
        <v>#NUM!</v>
      </c>
      <c r="M332">
        <v>331</v>
      </c>
      <c r="N332">
        <v>-3</v>
      </c>
    </row>
    <row r="333" spans="1:14">
      <c r="A333">
        <v>332</v>
      </c>
      <c r="B333">
        <v>778</v>
      </c>
      <c r="C333">
        <v>0</v>
      </c>
      <c r="D333">
        <v>0</v>
      </c>
      <c r="E333">
        <v>0</v>
      </c>
      <c r="G333" t="e">
        <f t="shared" si="20"/>
        <v>#NUM!</v>
      </c>
      <c r="H333" t="e">
        <f t="shared" si="21"/>
        <v>#NUM!</v>
      </c>
      <c r="I333" t="e">
        <f t="shared" si="22"/>
        <v>#NUM!</v>
      </c>
      <c r="K333" t="e">
        <f t="shared" si="23"/>
        <v>#NUM!</v>
      </c>
      <c r="M333">
        <v>332</v>
      </c>
      <c r="N333">
        <v>-3</v>
      </c>
    </row>
    <row r="334" spans="1:14">
      <c r="A334">
        <v>333</v>
      </c>
      <c r="B334">
        <v>521</v>
      </c>
      <c r="C334">
        <v>0</v>
      </c>
      <c r="D334">
        <v>0</v>
      </c>
      <c r="E334">
        <v>58</v>
      </c>
      <c r="G334" t="e">
        <f t="shared" si="20"/>
        <v>#NUM!</v>
      </c>
      <c r="H334" t="e">
        <f t="shared" si="21"/>
        <v>#NUM!</v>
      </c>
      <c r="I334">
        <f t="shared" si="22"/>
        <v>-0.16975765692279821</v>
      </c>
      <c r="K334" t="e">
        <f t="shared" si="23"/>
        <v>#NUM!</v>
      </c>
      <c r="M334">
        <v>333</v>
      </c>
      <c r="N334">
        <v>-3</v>
      </c>
    </row>
    <row r="335" spans="1:14">
      <c r="A335">
        <v>334</v>
      </c>
      <c r="B335">
        <v>434</v>
      </c>
      <c r="C335">
        <v>0</v>
      </c>
      <c r="D335">
        <v>1</v>
      </c>
      <c r="E335">
        <v>0</v>
      </c>
      <c r="G335" t="e">
        <f t="shared" si="20"/>
        <v>#NUM!</v>
      </c>
      <c r="H335">
        <f t="shared" si="21"/>
        <v>-2.4906864792778682</v>
      </c>
      <c r="I335" t="e">
        <f t="shared" si="22"/>
        <v>#NUM!</v>
      </c>
      <c r="K335" t="e">
        <f t="shared" si="23"/>
        <v>#NUM!</v>
      </c>
      <c r="M335">
        <v>334</v>
      </c>
      <c r="N335">
        <v>-3</v>
      </c>
    </row>
    <row r="336" spans="1:14">
      <c r="A336">
        <v>335</v>
      </c>
      <c r="B336">
        <v>1355</v>
      </c>
      <c r="C336">
        <v>0</v>
      </c>
      <c r="D336">
        <v>25</v>
      </c>
      <c r="E336">
        <v>1</v>
      </c>
      <c r="G336" t="e">
        <f t="shared" si="20"/>
        <v>#NUM!</v>
      </c>
      <c r="H336">
        <f t="shared" si="21"/>
        <v>-1.5871960363037443</v>
      </c>
      <c r="I336">
        <f t="shared" si="22"/>
        <v>-2.3482872223966353</v>
      </c>
      <c r="K336" t="e">
        <f t="shared" si="23"/>
        <v>#NUM!</v>
      </c>
      <c r="M336">
        <v>335</v>
      </c>
      <c r="N336">
        <v>-3</v>
      </c>
    </row>
    <row r="337" spans="1:14">
      <c r="A337">
        <v>336</v>
      </c>
      <c r="B337">
        <v>1259</v>
      </c>
      <c r="C337">
        <v>1</v>
      </c>
      <c r="D337">
        <v>0</v>
      </c>
      <c r="E337">
        <v>0</v>
      </c>
      <c r="G337">
        <f t="shared" si="20"/>
        <v>-2.9810156328501991</v>
      </c>
      <c r="H337" t="e">
        <f t="shared" si="21"/>
        <v>#NUM!</v>
      </c>
      <c r="I337" t="e">
        <f t="shared" si="22"/>
        <v>#NUM!</v>
      </c>
      <c r="K337" t="e">
        <f t="shared" si="23"/>
        <v>#NUM!</v>
      </c>
      <c r="M337">
        <v>336</v>
      </c>
      <c r="N337">
        <v>-3</v>
      </c>
    </row>
    <row r="338" spans="1:14">
      <c r="A338">
        <v>337</v>
      </c>
      <c r="B338">
        <v>385</v>
      </c>
      <c r="C338">
        <v>0</v>
      </c>
      <c r="D338">
        <v>0</v>
      </c>
      <c r="E338">
        <v>0</v>
      </c>
      <c r="G338" t="e">
        <f t="shared" si="20"/>
        <v>#NUM!</v>
      </c>
      <c r="H338" t="e">
        <f t="shared" si="21"/>
        <v>#NUM!</v>
      </c>
      <c r="I338" t="e">
        <f t="shared" si="22"/>
        <v>#NUM!</v>
      </c>
      <c r="K338" t="e">
        <f t="shared" si="23"/>
        <v>#NUM!</v>
      </c>
      <c r="M338">
        <v>337</v>
      </c>
      <c r="N338">
        <v>-3</v>
      </c>
    </row>
    <row r="339" spans="1:14">
      <c r="A339">
        <v>338</v>
      </c>
      <c r="B339">
        <v>694</v>
      </c>
      <c r="C339">
        <v>0</v>
      </c>
      <c r="D339">
        <v>25</v>
      </c>
      <c r="E339">
        <v>0</v>
      </c>
      <c r="G339" t="e">
        <f t="shared" si="20"/>
        <v>#NUM!</v>
      </c>
      <c r="H339">
        <f t="shared" si="21"/>
        <v>-1.2966162115481747</v>
      </c>
      <c r="I339" t="e">
        <f t="shared" si="22"/>
        <v>#NUM!</v>
      </c>
      <c r="K339" t="e">
        <f t="shared" si="23"/>
        <v>#NUM!</v>
      </c>
      <c r="M339">
        <v>338</v>
      </c>
      <c r="N339">
        <v>-3</v>
      </c>
    </row>
    <row r="340" spans="1:14">
      <c r="A340">
        <v>339</v>
      </c>
      <c r="B340">
        <v>848</v>
      </c>
      <c r="C340">
        <v>69</v>
      </c>
      <c r="D340">
        <v>0</v>
      </c>
      <c r="E340">
        <v>0</v>
      </c>
      <c r="G340">
        <f t="shared" si="20"/>
        <v>-0.97053666426179508</v>
      </c>
      <c r="H340" t="e">
        <f t="shared" si="21"/>
        <v>#NUM!</v>
      </c>
      <c r="I340" t="e">
        <f t="shared" si="22"/>
        <v>#NUM!</v>
      </c>
      <c r="K340" t="e">
        <f t="shared" si="23"/>
        <v>#NUM!</v>
      </c>
      <c r="M340">
        <v>339</v>
      </c>
      <c r="N340">
        <v>-3</v>
      </c>
    </row>
    <row r="341" spans="1:14">
      <c r="A341">
        <v>340</v>
      </c>
      <c r="B341">
        <v>1618</v>
      </c>
      <c r="C341">
        <v>1</v>
      </c>
      <c r="D341">
        <v>0</v>
      </c>
      <c r="E341">
        <v>0</v>
      </c>
      <c r="G341">
        <f t="shared" si="20"/>
        <v>-3.08996842001859</v>
      </c>
      <c r="H341" t="e">
        <f t="shared" si="21"/>
        <v>#NUM!</v>
      </c>
      <c r="I341" t="e">
        <f t="shared" si="22"/>
        <v>#NUM!</v>
      </c>
      <c r="K341" t="e">
        <f t="shared" si="23"/>
        <v>#NUM!</v>
      </c>
      <c r="M341">
        <v>340</v>
      </c>
      <c r="N341">
        <v>-3</v>
      </c>
    </row>
    <row r="342" spans="1:14">
      <c r="A342">
        <v>341</v>
      </c>
      <c r="B342">
        <v>343</v>
      </c>
      <c r="C342">
        <v>0</v>
      </c>
      <c r="D342">
        <v>1</v>
      </c>
      <c r="E342">
        <v>0</v>
      </c>
      <c r="G342" t="e">
        <f t="shared" si="20"/>
        <v>#NUM!</v>
      </c>
      <c r="H342">
        <f t="shared" si="21"/>
        <v>-2.3884908698081277</v>
      </c>
      <c r="I342" t="e">
        <f t="shared" si="22"/>
        <v>#NUM!</v>
      </c>
      <c r="K342" t="e">
        <f t="shared" si="23"/>
        <v>#NUM!</v>
      </c>
      <c r="M342">
        <v>341</v>
      </c>
      <c r="N342">
        <v>-3</v>
      </c>
    </row>
    <row r="343" spans="1:14">
      <c r="A343">
        <v>342</v>
      </c>
      <c r="B343">
        <v>654</v>
      </c>
      <c r="C343">
        <v>0</v>
      </c>
      <c r="D343">
        <v>0</v>
      </c>
      <c r="E343">
        <v>1</v>
      </c>
      <c r="G343" t="e">
        <f t="shared" si="20"/>
        <v>#NUM!</v>
      </c>
      <c r="H343" t="e">
        <f t="shared" si="21"/>
        <v>#NUM!</v>
      </c>
      <c r="I343">
        <f t="shared" si="22"/>
        <v>-2.031925675510478</v>
      </c>
      <c r="K343" t="e">
        <f t="shared" si="23"/>
        <v>#NUM!</v>
      </c>
      <c r="M343">
        <v>342</v>
      </c>
      <c r="N343">
        <v>-3</v>
      </c>
    </row>
    <row r="344" spans="1:14">
      <c r="A344">
        <v>343</v>
      </c>
      <c r="B344">
        <v>803</v>
      </c>
      <c r="C344">
        <v>0</v>
      </c>
      <c r="D344">
        <v>17</v>
      </c>
      <c r="E344">
        <v>0</v>
      </c>
      <c r="G344" t="e">
        <f t="shared" si="20"/>
        <v>#NUM!</v>
      </c>
      <c r="H344">
        <f t="shared" si="21"/>
        <v>-1.5274633736657643</v>
      </c>
      <c r="I344" t="e">
        <f t="shared" si="22"/>
        <v>#NUM!</v>
      </c>
      <c r="K344" t="e">
        <f t="shared" si="23"/>
        <v>#NUM!</v>
      </c>
      <c r="M344">
        <v>343</v>
      </c>
      <c r="N344">
        <v>-3</v>
      </c>
    </row>
    <row r="345" spans="1:14">
      <c r="A345">
        <v>344</v>
      </c>
      <c r="B345">
        <v>1308</v>
      </c>
      <c r="C345">
        <v>0</v>
      </c>
      <c r="D345">
        <v>0</v>
      </c>
      <c r="E345">
        <v>0</v>
      </c>
      <c r="G345" t="e">
        <f t="shared" si="20"/>
        <v>#NUM!</v>
      </c>
      <c r="H345" t="e">
        <f t="shared" si="21"/>
        <v>#NUM!</v>
      </c>
      <c r="I345" t="e">
        <f t="shared" si="22"/>
        <v>#NUM!</v>
      </c>
      <c r="K345" t="e">
        <f t="shared" si="23"/>
        <v>#NUM!</v>
      </c>
      <c r="M345">
        <v>344</v>
      </c>
      <c r="N345">
        <v>-3</v>
      </c>
    </row>
    <row r="346" spans="1:14">
      <c r="A346">
        <v>345</v>
      </c>
      <c r="B346">
        <v>1656</v>
      </c>
      <c r="C346">
        <v>1</v>
      </c>
      <c r="D346">
        <v>0</v>
      </c>
      <c r="E346">
        <v>0</v>
      </c>
      <c r="G346">
        <f t="shared" si="20"/>
        <v>-3.1000502351911976</v>
      </c>
      <c r="H346" t="e">
        <f t="shared" si="21"/>
        <v>#NUM!</v>
      </c>
      <c r="I346" t="e">
        <f t="shared" si="22"/>
        <v>#NUM!</v>
      </c>
      <c r="K346" t="e">
        <f t="shared" si="23"/>
        <v>#NUM!</v>
      </c>
      <c r="M346">
        <v>345</v>
      </c>
      <c r="N346">
        <v>-3</v>
      </c>
    </row>
    <row r="347" spans="1:14">
      <c r="A347">
        <v>346</v>
      </c>
      <c r="B347">
        <v>923</v>
      </c>
      <c r="C347">
        <v>0</v>
      </c>
      <c r="D347">
        <v>0</v>
      </c>
      <c r="E347">
        <v>0</v>
      </c>
      <c r="G347" t="e">
        <f t="shared" si="20"/>
        <v>#NUM!</v>
      </c>
      <c r="H347" t="e">
        <f t="shared" si="21"/>
        <v>#NUM!</v>
      </c>
      <c r="I347" t="e">
        <f t="shared" si="22"/>
        <v>#NUM!</v>
      </c>
      <c r="K347" t="e">
        <f t="shared" si="23"/>
        <v>#NUM!</v>
      </c>
      <c r="M347">
        <v>346</v>
      </c>
      <c r="N347">
        <v>-3</v>
      </c>
    </row>
    <row r="348" spans="1:14">
      <c r="A348">
        <v>347</v>
      </c>
      <c r="B348">
        <v>966</v>
      </c>
      <c r="C348">
        <v>0</v>
      </c>
      <c r="D348">
        <v>0</v>
      </c>
      <c r="E348">
        <v>0</v>
      </c>
      <c r="G348" t="e">
        <f t="shared" si="20"/>
        <v>#NUM!</v>
      </c>
      <c r="H348" t="e">
        <f t="shared" si="21"/>
        <v>#NUM!</v>
      </c>
      <c r="I348" t="e">
        <f t="shared" si="22"/>
        <v>#NUM!</v>
      </c>
      <c r="K348" t="e">
        <f t="shared" si="23"/>
        <v>#NUM!</v>
      </c>
      <c r="M348">
        <v>347</v>
      </c>
      <c r="N348">
        <v>-3</v>
      </c>
    </row>
    <row r="349" spans="1:14">
      <c r="A349">
        <v>348</v>
      </c>
      <c r="B349">
        <v>499</v>
      </c>
      <c r="C349">
        <v>0</v>
      </c>
      <c r="D349">
        <v>0</v>
      </c>
      <c r="E349">
        <v>2</v>
      </c>
      <c r="G349" t="e">
        <f t="shared" si="20"/>
        <v>#NUM!</v>
      </c>
      <c r="H349" t="e">
        <f t="shared" si="21"/>
        <v>#NUM!</v>
      </c>
      <c r="I349">
        <f t="shared" si="22"/>
        <v>-1.6134184771456199</v>
      </c>
      <c r="K349" t="e">
        <f t="shared" si="23"/>
        <v>#NUM!</v>
      </c>
      <c r="M349">
        <v>348</v>
      </c>
      <c r="N349">
        <v>-3</v>
      </c>
    </row>
    <row r="350" spans="1:14">
      <c r="A350">
        <v>349</v>
      </c>
      <c r="B350">
        <v>1212</v>
      </c>
      <c r="C350">
        <v>0</v>
      </c>
      <c r="D350">
        <v>9</v>
      </c>
      <c r="E350">
        <v>5</v>
      </c>
      <c r="G350" t="e">
        <f t="shared" si="20"/>
        <v>#NUM!</v>
      </c>
      <c r="H350">
        <f t="shared" si="21"/>
        <v>-1.9824568601563</v>
      </c>
      <c r="I350">
        <f t="shared" si="22"/>
        <v>-1.6008805426804595</v>
      </c>
      <c r="K350" t="e">
        <f t="shared" si="23"/>
        <v>#NUM!</v>
      </c>
      <c r="M350">
        <v>349</v>
      </c>
      <c r="N350">
        <v>-3</v>
      </c>
    </row>
    <row r="351" spans="1:14">
      <c r="A351">
        <v>350</v>
      </c>
      <c r="B351">
        <v>974</v>
      </c>
      <c r="C351">
        <v>0</v>
      </c>
      <c r="D351">
        <v>0</v>
      </c>
      <c r="E351">
        <v>0</v>
      </c>
      <c r="G351" t="e">
        <f t="shared" si="20"/>
        <v>#NUM!</v>
      </c>
      <c r="H351" t="e">
        <f t="shared" si="21"/>
        <v>#NUM!</v>
      </c>
      <c r="I351" t="e">
        <f t="shared" si="22"/>
        <v>#NUM!</v>
      </c>
      <c r="K351" t="e">
        <f t="shared" si="23"/>
        <v>#NUM!</v>
      </c>
      <c r="M351">
        <v>350</v>
      </c>
      <c r="N351">
        <v>-3</v>
      </c>
    </row>
    <row r="352" spans="1:14">
      <c r="A352">
        <v>351</v>
      </c>
      <c r="B352">
        <v>873</v>
      </c>
      <c r="C352">
        <v>0</v>
      </c>
      <c r="D352">
        <v>0</v>
      </c>
      <c r="E352">
        <v>0</v>
      </c>
      <c r="G352" t="e">
        <f t="shared" si="20"/>
        <v>#NUM!</v>
      </c>
      <c r="H352" t="e">
        <f t="shared" si="21"/>
        <v>#NUM!</v>
      </c>
      <c r="I352" t="e">
        <f t="shared" si="22"/>
        <v>#NUM!</v>
      </c>
      <c r="K352" t="e">
        <f t="shared" si="23"/>
        <v>#NUM!</v>
      </c>
      <c r="M352">
        <v>351</v>
      </c>
      <c r="N352">
        <v>-3</v>
      </c>
    </row>
    <row r="353" spans="1:14">
      <c r="A353">
        <v>352</v>
      </c>
      <c r="B353">
        <v>195</v>
      </c>
      <c r="C353">
        <v>0</v>
      </c>
      <c r="D353">
        <v>0</v>
      </c>
      <c r="E353">
        <v>0</v>
      </c>
      <c r="G353" t="e">
        <f t="shared" si="20"/>
        <v>#NUM!</v>
      </c>
      <c r="H353" t="e">
        <f t="shared" si="21"/>
        <v>#NUM!</v>
      </c>
      <c r="I353" t="e">
        <f t="shared" si="22"/>
        <v>#NUM!</v>
      </c>
      <c r="K353" t="e">
        <f t="shared" si="23"/>
        <v>#NUM!</v>
      </c>
      <c r="M353">
        <v>352</v>
      </c>
      <c r="N353">
        <v>-3</v>
      </c>
    </row>
    <row r="354" spans="1:14">
      <c r="A354">
        <v>353</v>
      </c>
      <c r="B354">
        <v>1313</v>
      </c>
      <c r="C354">
        <v>1</v>
      </c>
      <c r="D354">
        <v>1</v>
      </c>
      <c r="E354">
        <v>1</v>
      </c>
      <c r="G354">
        <f t="shared" si="20"/>
        <v>-2.9992546288318156</v>
      </c>
      <c r="H354">
        <f t="shared" si="21"/>
        <v>-2.9714614758548366</v>
      </c>
      <c r="I354">
        <f t="shared" si="22"/>
        <v>-2.3346126532756903</v>
      </c>
      <c r="K354">
        <f t="shared" si="23"/>
        <v>-2.7684429193207811</v>
      </c>
      <c r="M354">
        <v>353</v>
      </c>
      <c r="N354">
        <v>-2.7684429193207811</v>
      </c>
    </row>
    <row r="355" spans="1:14">
      <c r="A355">
        <v>354</v>
      </c>
      <c r="B355">
        <v>1872</v>
      </c>
      <c r="C355">
        <v>1</v>
      </c>
      <c r="D355">
        <v>30</v>
      </c>
      <c r="E355">
        <v>0</v>
      </c>
      <c r="G355">
        <f t="shared" si="20"/>
        <v>-3.1532957471444227</v>
      </c>
      <c r="H355">
        <f t="shared" si="21"/>
        <v>-1.6483813394477815</v>
      </c>
      <c r="I355" t="e">
        <f t="shared" si="22"/>
        <v>#NUM!</v>
      </c>
      <c r="K355" t="e">
        <f t="shared" si="23"/>
        <v>#NUM!</v>
      </c>
      <c r="M355">
        <v>354</v>
      </c>
      <c r="N355">
        <v>-3</v>
      </c>
    </row>
    <row r="356" spans="1:14">
      <c r="A356">
        <v>355</v>
      </c>
      <c r="B356">
        <v>962</v>
      </c>
      <c r="C356">
        <v>0</v>
      </c>
      <c r="D356">
        <v>0</v>
      </c>
      <c r="E356">
        <v>0</v>
      </c>
      <c r="G356" t="e">
        <f t="shared" si="20"/>
        <v>#NUM!</v>
      </c>
      <c r="H356" t="e">
        <f t="shared" si="21"/>
        <v>#NUM!</v>
      </c>
      <c r="I356" t="e">
        <f t="shared" si="22"/>
        <v>#NUM!</v>
      </c>
      <c r="K356" t="e">
        <f t="shared" si="23"/>
        <v>#NUM!</v>
      </c>
      <c r="M356">
        <v>355</v>
      </c>
      <c r="N356">
        <v>-3</v>
      </c>
    </row>
    <row r="357" spans="1:14">
      <c r="A357">
        <v>356</v>
      </c>
      <c r="B357">
        <v>1089</v>
      </c>
      <c r="C357">
        <v>0</v>
      </c>
      <c r="D357">
        <v>0</v>
      </c>
      <c r="E357">
        <v>2</v>
      </c>
      <c r="G357" t="e">
        <f t="shared" si="20"/>
        <v>#NUM!</v>
      </c>
      <c r="H357" t="e">
        <f t="shared" si="21"/>
        <v>#NUM!</v>
      </c>
      <c r="I357">
        <f t="shared" si="22"/>
        <v>-1.9523458112780048</v>
      </c>
      <c r="K357" t="e">
        <f t="shared" si="23"/>
        <v>#NUM!</v>
      </c>
      <c r="M357">
        <v>356</v>
      </c>
      <c r="N357">
        <v>-3</v>
      </c>
    </row>
    <row r="358" spans="1:14">
      <c r="A358">
        <v>357</v>
      </c>
      <c r="B358">
        <v>1202</v>
      </c>
      <c r="C358">
        <v>0</v>
      </c>
      <c r="D358">
        <v>4</v>
      </c>
      <c r="E358">
        <v>8</v>
      </c>
      <c r="G358" t="e">
        <f t="shared" si="20"/>
        <v>#NUM!</v>
      </c>
      <c r="H358">
        <f t="shared" si="21"/>
        <v>-2.3310412261041158</v>
      </c>
      <c r="I358">
        <f t="shared" si="22"/>
        <v>-1.3931624078609881</v>
      </c>
      <c r="K358" t="e">
        <f t="shared" si="23"/>
        <v>#NUM!</v>
      </c>
      <c r="M358">
        <v>357</v>
      </c>
      <c r="N358">
        <v>-3</v>
      </c>
    </row>
    <row r="359" spans="1:14">
      <c r="A359">
        <v>358</v>
      </c>
      <c r="B359">
        <v>1085</v>
      </c>
      <c r="C359">
        <v>0</v>
      </c>
      <c r="D359">
        <v>0</v>
      </c>
      <c r="E359">
        <v>0</v>
      </c>
      <c r="G359" t="e">
        <f t="shared" si="20"/>
        <v>#NUM!</v>
      </c>
      <c r="H359" t="e">
        <f t="shared" si="21"/>
        <v>#NUM!</v>
      </c>
      <c r="I359" t="e">
        <f t="shared" si="22"/>
        <v>#NUM!</v>
      </c>
      <c r="K359" t="e">
        <f t="shared" si="23"/>
        <v>#NUM!</v>
      </c>
      <c r="M359">
        <v>358</v>
      </c>
      <c r="N359">
        <v>-3</v>
      </c>
    </row>
    <row r="360" spans="1:14">
      <c r="A360">
        <v>359</v>
      </c>
      <c r="B360">
        <v>519</v>
      </c>
      <c r="C360">
        <v>0</v>
      </c>
      <c r="D360">
        <v>0</v>
      </c>
      <c r="E360">
        <v>0</v>
      </c>
      <c r="G360" t="e">
        <f t="shared" si="20"/>
        <v>#NUM!</v>
      </c>
      <c r="H360" t="e">
        <f t="shared" si="21"/>
        <v>#NUM!</v>
      </c>
      <c r="I360" t="e">
        <f t="shared" si="22"/>
        <v>#NUM!</v>
      </c>
      <c r="K360" t="e">
        <f t="shared" si="23"/>
        <v>#NUM!</v>
      </c>
      <c r="M360">
        <v>359</v>
      </c>
      <c r="N360">
        <v>-3</v>
      </c>
    </row>
    <row r="361" spans="1:14">
      <c r="A361">
        <v>360</v>
      </c>
      <c r="B361">
        <v>487</v>
      </c>
      <c r="C361">
        <v>0</v>
      </c>
      <c r="D361">
        <v>0</v>
      </c>
      <c r="E361">
        <v>0</v>
      </c>
      <c r="G361" t="e">
        <f t="shared" si="20"/>
        <v>#NUM!</v>
      </c>
      <c r="H361" t="e">
        <f t="shared" si="21"/>
        <v>#NUM!</v>
      </c>
      <c r="I361" t="e">
        <f t="shared" si="22"/>
        <v>#NUM!</v>
      </c>
      <c r="K361" t="e">
        <f t="shared" si="23"/>
        <v>#NUM!</v>
      </c>
      <c r="M361">
        <v>360</v>
      </c>
      <c r="N361">
        <v>-3</v>
      </c>
    </row>
    <row r="362" spans="1:14">
      <c r="A362">
        <v>361</v>
      </c>
      <c r="B362">
        <v>469</v>
      </c>
      <c r="C362">
        <v>0</v>
      </c>
      <c r="D362">
        <v>0</v>
      </c>
      <c r="E362">
        <v>0</v>
      </c>
      <c r="G362" t="e">
        <f t="shared" si="20"/>
        <v>#NUM!</v>
      </c>
      <c r="H362" t="e">
        <f t="shared" si="21"/>
        <v>#NUM!</v>
      </c>
      <c r="I362" t="e">
        <f t="shared" si="22"/>
        <v>#NUM!</v>
      </c>
      <c r="K362" t="e">
        <f t="shared" si="23"/>
        <v>#NUM!</v>
      </c>
      <c r="M362">
        <v>361</v>
      </c>
      <c r="N362">
        <v>-3</v>
      </c>
    </row>
    <row r="363" spans="1:14">
      <c r="A363">
        <v>362</v>
      </c>
      <c r="B363">
        <v>589</v>
      </c>
      <c r="C363">
        <v>0</v>
      </c>
      <c r="D363">
        <v>0</v>
      </c>
      <c r="E363">
        <v>1</v>
      </c>
      <c r="G363" t="e">
        <f t="shared" si="20"/>
        <v>#NUM!</v>
      </c>
      <c r="H363" t="e">
        <f t="shared" si="21"/>
        <v>#NUM!</v>
      </c>
      <c r="I363">
        <f t="shared" si="22"/>
        <v>-1.9864632219733125</v>
      </c>
      <c r="K363" t="e">
        <f t="shared" si="23"/>
        <v>#NUM!</v>
      </c>
      <c r="M363">
        <v>362</v>
      </c>
      <c r="N363">
        <v>-3</v>
      </c>
    </row>
    <row r="364" spans="1:14">
      <c r="A364">
        <v>363</v>
      </c>
      <c r="B364">
        <v>1426</v>
      </c>
      <c r="C364">
        <v>0</v>
      </c>
      <c r="D364">
        <v>0</v>
      </c>
      <c r="E364">
        <v>0</v>
      </c>
      <c r="G364" t="e">
        <f t="shared" si="20"/>
        <v>#NUM!</v>
      </c>
      <c r="H364" t="e">
        <f t="shared" si="21"/>
        <v>#NUM!</v>
      </c>
      <c r="I364" t="e">
        <f t="shared" si="22"/>
        <v>#NUM!</v>
      </c>
      <c r="K364" t="e">
        <f t="shared" si="23"/>
        <v>#NUM!</v>
      </c>
      <c r="M364">
        <v>363</v>
      </c>
      <c r="N364">
        <v>-3</v>
      </c>
    </row>
    <row r="365" spans="1:14">
      <c r="A365">
        <v>364</v>
      </c>
      <c r="B365">
        <v>1789</v>
      </c>
      <c r="C365">
        <v>0</v>
      </c>
      <c r="D365">
        <v>0</v>
      </c>
      <c r="E365">
        <v>0</v>
      </c>
      <c r="G365" t="e">
        <f t="shared" si="20"/>
        <v>#NUM!</v>
      </c>
      <c r="H365" t="e">
        <f t="shared" si="21"/>
        <v>#NUM!</v>
      </c>
      <c r="I365" t="e">
        <f t="shared" si="22"/>
        <v>#NUM!</v>
      </c>
      <c r="K365" t="e">
        <f t="shared" si="23"/>
        <v>#NUM!</v>
      </c>
      <c r="M365">
        <v>364</v>
      </c>
      <c r="N365">
        <v>-3</v>
      </c>
    </row>
    <row r="366" spans="1:14">
      <c r="A366">
        <v>365</v>
      </c>
      <c r="B366">
        <v>745</v>
      </c>
      <c r="C366">
        <v>0</v>
      </c>
      <c r="D366">
        <v>0</v>
      </c>
      <c r="E366">
        <v>0</v>
      </c>
      <c r="G366" t="e">
        <f t="shared" si="20"/>
        <v>#NUM!</v>
      </c>
      <c r="H366" t="e">
        <f t="shared" si="21"/>
        <v>#NUM!</v>
      </c>
      <c r="I366" t="e">
        <f t="shared" si="22"/>
        <v>#NUM!</v>
      </c>
      <c r="K366" t="e">
        <f t="shared" si="23"/>
        <v>#NUM!</v>
      </c>
      <c r="M366">
        <v>365</v>
      </c>
      <c r="N366">
        <v>-3</v>
      </c>
    </row>
    <row r="367" spans="1:14">
      <c r="A367">
        <v>366</v>
      </c>
      <c r="B367">
        <v>1216</v>
      </c>
      <c r="C367">
        <v>0</v>
      </c>
      <c r="D367">
        <v>0</v>
      </c>
      <c r="E367">
        <v>1</v>
      </c>
      <c r="G367" t="e">
        <f t="shared" si="20"/>
        <v>#NUM!</v>
      </c>
      <c r="H367" t="e">
        <f t="shared" si="21"/>
        <v>#NUM!</v>
      </c>
      <c r="I367">
        <f t="shared" si="22"/>
        <v>-2.3012815021229267</v>
      </c>
      <c r="K367" t="e">
        <f t="shared" si="23"/>
        <v>#NUM!</v>
      </c>
      <c r="M367">
        <v>366</v>
      </c>
      <c r="N367">
        <v>-3</v>
      </c>
    </row>
    <row r="368" spans="1:14">
      <c r="A368">
        <v>367</v>
      </c>
      <c r="B368">
        <v>699</v>
      </c>
      <c r="C368">
        <v>0</v>
      </c>
      <c r="D368">
        <v>0</v>
      </c>
      <c r="E368">
        <v>0</v>
      </c>
      <c r="G368" t="e">
        <f t="shared" si="20"/>
        <v>#NUM!</v>
      </c>
      <c r="H368" t="e">
        <f t="shared" si="21"/>
        <v>#NUM!</v>
      </c>
      <c r="I368" t="e">
        <f t="shared" si="22"/>
        <v>#NUM!</v>
      </c>
      <c r="K368" t="e">
        <f t="shared" si="23"/>
        <v>#NUM!</v>
      </c>
      <c r="M368">
        <v>367</v>
      </c>
      <c r="N368">
        <v>-3</v>
      </c>
    </row>
    <row r="369" spans="1:14">
      <c r="A369">
        <v>368</v>
      </c>
      <c r="B369">
        <v>851</v>
      </c>
      <c r="C369">
        <v>75</v>
      </c>
      <c r="D369">
        <v>17</v>
      </c>
      <c r="E369">
        <v>0</v>
      </c>
      <c r="G369">
        <f t="shared" si="20"/>
        <v>-0.93585819943522452</v>
      </c>
      <c r="H369">
        <f t="shared" si="21"/>
        <v>-1.5526773884716714</v>
      </c>
      <c r="I369" t="e">
        <f t="shared" si="22"/>
        <v>#NUM!</v>
      </c>
      <c r="K369" t="e">
        <f t="shared" si="23"/>
        <v>#NUM!</v>
      </c>
      <c r="M369">
        <v>368</v>
      </c>
      <c r="N369">
        <v>-3</v>
      </c>
    </row>
    <row r="370" spans="1:14">
      <c r="A370">
        <v>369</v>
      </c>
      <c r="B370">
        <v>823</v>
      </c>
      <c r="C370">
        <v>5</v>
      </c>
      <c r="D370">
        <v>0</v>
      </c>
      <c r="E370">
        <v>0</v>
      </c>
      <c r="G370">
        <f t="shared" si="20"/>
        <v>-2.0974197336185876</v>
      </c>
      <c r="H370" t="e">
        <f t="shared" si="21"/>
        <v>#NUM!</v>
      </c>
      <c r="I370" t="e">
        <f t="shared" si="22"/>
        <v>#NUM!</v>
      </c>
      <c r="K370" t="e">
        <f t="shared" si="23"/>
        <v>#NUM!</v>
      </c>
      <c r="M370">
        <v>369</v>
      </c>
      <c r="N370">
        <v>-3</v>
      </c>
    </row>
    <row r="371" spans="1:14">
      <c r="A371">
        <v>370</v>
      </c>
      <c r="B371">
        <v>576</v>
      </c>
      <c r="C371">
        <v>0</v>
      </c>
      <c r="D371">
        <v>0</v>
      </c>
      <c r="E371">
        <v>0</v>
      </c>
      <c r="G371" t="e">
        <f t="shared" si="20"/>
        <v>#NUM!</v>
      </c>
      <c r="H371" t="e">
        <f t="shared" si="21"/>
        <v>#NUM!</v>
      </c>
      <c r="I371" t="e">
        <f t="shared" si="22"/>
        <v>#NUM!</v>
      </c>
      <c r="K371" t="e">
        <f t="shared" si="23"/>
        <v>#NUM!</v>
      </c>
      <c r="M371">
        <v>370</v>
      </c>
      <c r="N371">
        <v>-3</v>
      </c>
    </row>
    <row r="372" spans="1:14">
      <c r="A372">
        <v>371</v>
      </c>
      <c r="B372">
        <v>513</v>
      </c>
      <c r="C372">
        <v>0</v>
      </c>
      <c r="D372">
        <v>0</v>
      </c>
      <c r="E372">
        <v>0</v>
      </c>
      <c r="G372" t="e">
        <f t="shared" si="20"/>
        <v>#NUM!</v>
      </c>
      <c r="H372" t="e">
        <f t="shared" si="21"/>
        <v>#NUM!</v>
      </c>
      <c r="I372" t="e">
        <f t="shared" si="22"/>
        <v>#NUM!</v>
      </c>
      <c r="K372" t="e">
        <f t="shared" si="23"/>
        <v>#NUM!</v>
      </c>
      <c r="M372">
        <v>371</v>
      </c>
      <c r="N372">
        <v>-3</v>
      </c>
    </row>
    <row r="373" spans="1:14">
      <c r="A373">
        <v>372</v>
      </c>
      <c r="B373">
        <v>578</v>
      </c>
      <c r="C373">
        <v>0</v>
      </c>
      <c r="D373">
        <v>0</v>
      </c>
      <c r="E373">
        <v>0</v>
      </c>
      <c r="G373" t="e">
        <f t="shared" si="20"/>
        <v>#NUM!</v>
      </c>
      <c r="H373" t="e">
        <f t="shared" si="21"/>
        <v>#NUM!</v>
      </c>
      <c r="I373" t="e">
        <f t="shared" si="22"/>
        <v>#NUM!</v>
      </c>
      <c r="K373" t="e">
        <f t="shared" si="23"/>
        <v>#NUM!</v>
      </c>
      <c r="M373">
        <v>372</v>
      </c>
      <c r="N373">
        <v>-3</v>
      </c>
    </row>
    <row r="374" spans="1:14">
      <c r="A374">
        <v>373</v>
      </c>
      <c r="B374">
        <v>1264</v>
      </c>
      <c r="C374">
        <v>324</v>
      </c>
      <c r="D374">
        <v>0</v>
      </c>
      <c r="E374">
        <v>1</v>
      </c>
      <c r="G374">
        <f t="shared" si="20"/>
        <v>-0.47219196648209066</v>
      </c>
      <c r="H374" t="e">
        <f t="shared" si="21"/>
        <v>#NUM!</v>
      </c>
      <c r="I374">
        <f t="shared" si="22"/>
        <v>-2.3180950011325772</v>
      </c>
      <c r="K374" t="e">
        <f t="shared" si="23"/>
        <v>#NUM!</v>
      </c>
      <c r="M374">
        <v>373</v>
      </c>
      <c r="N374">
        <v>-3</v>
      </c>
    </row>
    <row r="375" spans="1:14">
      <c r="A375">
        <v>374</v>
      </c>
      <c r="B375">
        <v>1303</v>
      </c>
      <c r="C375">
        <v>0</v>
      </c>
      <c r="D375">
        <v>0</v>
      </c>
      <c r="E375">
        <v>0</v>
      </c>
      <c r="G375" t="e">
        <f t="shared" si="20"/>
        <v>#NUM!</v>
      </c>
      <c r="H375" t="e">
        <f t="shared" si="21"/>
        <v>#NUM!</v>
      </c>
      <c r="I375" t="e">
        <f t="shared" si="22"/>
        <v>#NUM!</v>
      </c>
      <c r="K375" t="e">
        <f t="shared" si="23"/>
        <v>#NUM!</v>
      </c>
      <c r="M375">
        <v>374</v>
      </c>
      <c r="N375">
        <v>-3</v>
      </c>
    </row>
    <row r="376" spans="1:14">
      <c r="A376">
        <v>375</v>
      </c>
      <c r="B376">
        <v>247</v>
      </c>
      <c r="C376">
        <v>1</v>
      </c>
      <c r="D376">
        <v>9</v>
      </c>
      <c r="E376">
        <v>60</v>
      </c>
      <c r="G376">
        <f t="shared" si="20"/>
        <v>-2.2736868560020023</v>
      </c>
      <c r="H376">
        <f t="shared" si="21"/>
        <v>-1.2916511935856982</v>
      </c>
      <c r="I376">
        <f t="shared" si="22"/>
        <v>0.16910636993776684</v>
      </c>
      <c r="K376">
        <f t="shared" si="23"/>
        <v>-1.1320772265499779</v>
      </c>
      <c r="M376">
        <v>375</v>
      </c>
      <c r="N376">
        <v>-1.1320772265499779</v>
      </c>
    </row>
    <row r="377" spans="1:14">
      <c r="A377">
        <v>376</v>
      </c>
      <c r="B377">
        <v>1042</v>
      </c>
      <c r="C377">
        <v>0</v>
      </c>
      <c r="D377">
        <v>0</v>
      </c>
      <c r="E377">
        <v>0</v>
      </c>
      <c r="G377" t="e">
        <f t="shared" si="20"/>
        <v>#NUM!</v>
      </c>
      <c r="H377" t="e">
        <f t="shared" si="21"/>
        <v>#NUM!</v>
      </c>
      <c r="I377" t="e">
        <f t="shared" si="22"/>
        <v>#NUM!</v>
      </c>
      <c r="K377" t="e">
        <f t="shared" si="23"/>
        <v>#NUM!</v>
      </c>
      <c r="M377">
        <v>376</v>
      </c>
      <c r="N377">
        <v>-3</v>
      </c>
    </row>
    <row r="378" spans="1:14">
      <c r="A378">
        <v>377</v>
      </c>
      <c r="B378">
        <v>976</v>
      </c>
      <c r="C378">
        <v>13</v>
      </c>
      <c r="D378">
        <v>0</v>
      </c>
      <c r="E378">
        <v>0</v>
      </c>
      <c r="G378">
        <f t="shared" si="20"/>
        <v>-1.7564963681021915</v>
      </c>
      <c r="H378" t="e">
        <f t="shared" si="21"/>
        <v>#NUM!</v>
      </c>
      <c r="I378" t="e">
        <f t="shared" si="22"/>
        <v>#NUM!</v>
      </c>
      <c r="K378" t="e">
        <f t="shared" si="23"/>
        <v>#NUM!</v>
      </c>
      <c r="M378">
        <v>377</v>
      </c>
      <c r="N378">
        <v>-3</v>
      </c>
    </row>
    <row r="379" spans="1:14">
      <c r="A379">
        <v>378</v>
      </c>
      <c r="B379">
        <v>3906</v>
      </c>
      <c r="C379">
        <v>1</v>
      </c>
      <c r="D379">
        <v>3</v>
      </c>
      <c r="E379">
        <v>1</v>
      </c>
      <c r="G379">
        <f t="shared" si="20"/>
        <v>-3.472722141694172</v>
      </c>
      <c r="H379">
        <f t="shared" si="21"/>
        <v>-2.9678077339975304</v>
      </c>
      <c r="I379">
        <f t="shared" si="22"/>
        <v>-2.8080801661380468</v>
      </c>
      <c r="K379">
        <f t="shared" si="23"/>
        <v>-3.0828700139432499</v>
      </c>
      <c r="M379">
        <v>378</v>
      </c>
      <c r="N379">
        <v>-3.0828700139432499</v>
      </c>
    </row>
    <row r="380" spans="1:14">
      <c r="A380">
        <v>379</v>
      </c>
      <c r="B380">
        <v>1206</v>
      </c>
      <c r="C380">
        <v>1</v>
      </c>
      <c r="D380">
        <v>0</v>
      </c>
      <c r="E380">
        <v>0</v>
      </c>
      <c r="G380">
        <f t="shared" si="20"/>
        <v>-2.9623372105464689</v>
      </c>
      <c r="H380" t="e">
        <f t="shared" si="21"/>
        <v>#NUM!</v>
      </c>
      <c r="I380" t="e">
        <f t="shared" si="22"/>
        <v>#NUM!</v>
      </c>
      <c r="K380" t="e">
        <f t="shared" si="23"/>
        <v>#NUM!</v>
      </c>
      <c r="M380">
        <v>379</v>
      </c>
      <c r="N380">
        <v>-3</v>
      </c>
    </row>
    <row r="381" spans="1:14">
      <c r="A381">
        <v>380</v>
      </c>
      <c r="B381">
        <v>1607</v>
      </c>
      <c r="C381">
        <v>116</v>
      </c>
      <c r="D381">
        <v>1</v>
      </c>
      <c r="E381">
        <v>0</v>
      </c>
      <c r="G381">
        <f t="shared" si="20"/>
        <v>-1.0225477902787625</v>
      </c>
      <c r="H381">
        <f t="shared" si="21"/>
        <v>-3.0592126265287019</v>
      </c>
      <c r="I381" t="e">
        <f t="shared" si="22"/>
        <v>#NUM!</v>
      </c>
      <c r="K381" t="e">
        <f t="shared" si="23"/>
        <v>#NUM!</v>
      </c>
      <c r="M381">
        <v>380</v>
      </c>
      <c r="N381">
        <v>-3</v>
      </c>
    </row>
    <row r="382" spans="1:14">
      <c r="A382">
        <v>381</v>
      </c>
      <c r="B382">
        <v>791</v>
      </c>
      <c r="C382">
        <v>0</v>
      </c>
      <c r="D382">
        <v>0</v>
      </c>
      <c r="E382">
        <v>0</v>
      </c>
      <c r="G382" t="e">
        <f t="shared" si="20"/>
        <v>#NUM!</v>
      </c>
      <c r="H382" t="e">
        <f t="shared" si="21"/>
        <v>#NUM!</v>
      </c>
      <c r="I382" t="e">
        <f t="shared" si="22"/>
        <v>#NUM!</v>
      </c>
      <c r="K382" t="e">
        <f t="shared" si="23"/>
        <v>#NUM!</v>
      </c>
      <c r="M382">
        <v>381</v>
      </c>
      <c r="N382">
        <v>-3</v>
      </c>
    </row>
    <row r="383" spans="1:14">
      <c r="A383">
        <v>382</v>
      </c>
      <c r="B383">
        <v>922</v>
      </c>
      <c r="C383">
        <v>1</v>
      </c>
      <c r="D383">
        <v>2</v>
      </c>
      <c r="E383">
        <v>55</v>
      </c>
      <c r="G383">
        <f t="shared" si="20"/>
        <v>-2.8457208237959657</v>
      </c>
      <c r="H383">
        <f t="shared" si="21"/>
        <v>-2.5168976751550054</v>
      </c>
      <c r="I383">
        <f t="shared" si="22"/>
        <v>-0.44071615874559655</v>
      </c>
      <c r="K383">
        <f t="shared" si="23"/>
        <v>-1.9344448858988557</v>
      </c>
      <c r="M383">
        <v>382</v>
      </c>
      <c r="N383">
        <v>-1.9344448858988557</v>
      </c>
    </row>
    <row r="384" spans="1:14">
      <c r="A384">
        <v>383</v>
      </c>
      <c r="B384">
        <v>1637</v>
      </c>
      <c r="C384">
        <v>0</v>
      </c>
      <c r="D384">
        <v>0</v>
      </c>
      <c r="E384">
        <v>0</v>
      </c>
      <c r="G384" t="e">
        <f t="shared" si="20"/>
        <v>#NUM!</v>
      </c>
      <c r="H384" t="e">
        <f t="shared" si="21"/>
        <v>#NUM!</v>
      </c>
      <c r="I384" t="e">
        <f t="shared" si="22"/>
        <v>#NUM!</v>
      </c>
      <c r="K384" t="e">
        <f t="shared" si="23"/>
        <v>#NUM!</v>
      </c>
      <c r="M384">
        <v>383</v>
      </c>
      <c r="N384">
        <v>-3</v>
      </c>
    </row>
    <row r="385" spans="1:14">
      <c r="A385">
        <v>384</v>
      </c>
      <c r="B385">
        <v>542</v>
      </c>
      <c r="C385">
        <v>0</v>
      </c>
      <c r="D385">
        <v>0</v>
      </c>
      <c r="E385">
        <v>0</v>
      </c>
      <c r="G385" t="e">
        <f t="shared" si="20"/>
        <v>#NUM!</v>
      </c>
      <c r="H385" t="e">
        <f t="shared" si="21"/>
        <v>#NUM!</v>
      </c>
      <c r="I385" t="e">
        <f t="shared" si="22"/>
        <v>#NUM!</v>
      </c>
      <c r="K385" t="e">
        <f t="shared" si="23"/>
        <v>#NUM!</v>
      </c>
      <c r="M385">
        <v>384</v>
      </c>
      <c r="N385">
        <v>-3</v>
      </c>
    </row>
    <row r="386" spans="1:14">
      <c r="A386">
        <v>385</v>
      </c>
      <c r="B386">
        <v>1151</v>
      </c>
      <c r="C386">
        <v>1</v>
      </c>
      <c r="D386">
        <v>0</v>
      </c>
      <c r="E386">
        <v>22</v>
      </c>
      <c r="G386">
        <f t="shared" si="20"/>
        <v>-2.9420652263721281</v>
      </c>
      <c r="H386" t="e">
        <f t="shared" si="21"/>
        <v>#NUM!</v>
      </c>
      <c r="I386">
        <f t="shared" si="22"/>
        <v>-0.93500056999379644</v>
      </c>
      <c r="K386" t="e">
        <f t="shared" si="23"/>
        <v>#NUM!</v>
      </c>
      <c r="M386">
        <v>385</v>
      </c>
      <c r="N386">
        <v>-3</v>
      </c>
    </row>
    <row r="387" spans="1:14">
      <c r="A387">
        <v>386</v>
      </c>
      <c r="B387">
        <v>458</v>
      </c>
      <c r="C387">
        <v>0</v>
      </c>
      <c r="D387">
        <v>0</v>
      </c>
      <c r="E387">
        <v>0</v>
      </c>
      <c r="G387" t="e">
        <f t="shared" ref="G387:G450" si="24">LOG10(C387/B387)-LOG10(28875/37978)</f>
        <v>#NUM!</v>
      </c>
      <c r="H387" t="e">
        <f t="shared" ref="H387:H450" si="25">LOG10(D387/B387)-LOG10(27085/37978)</f>
        <v>#NUM!</v>
      </c>
      <c r="I387" t="e">
        <f t="shared" ref="I387:I450" si="26">LOG10(E387/B387)-LOG10(6250/37978)</f>
        <v>#NUM!</v>
      </c>
      <c r="K387" t="e">
        <f t="shared" ref="K387:K450" si="27">AVERAGE(G387:I387)</f>
        <v>#NUM!</v>
      </c>
      <c r="M387">
        <v>386</v>
      </c>
      <c r="N387">
        <v>-3</v>
      </c>
    </row>
    <row r="388" spans="1:14">
      <c r="A388">
        <v>387</v>
      </c>
      <c r="B388">
        <v>418</v>
      </c>
      <c r="C388">
        <v>0</v>
      </c>
      <c r="D388">
        <v>0</v>
      </c>
      <c r="E388">
        <v>0</v>
      </c>
      <c r="G388" t="e">
        <f t="shared" si="24"/>
        <v>#NUM!</v>
      </c>
      <c r="H388" t="e">
        <f t="shared" si="25"/>
        <v>#NUM!</v>
      </c>
      <c r="I388" t="e">
        <f t="shared" si="26"/>
        <v>#NUM!</v>
      </c>
      <c r="K388" t="e">
        <f t="shared" si="27"/>
        <v>#NUM!</v>
      </c>
      <c r="M388">
        <v>387</v>
      </c>
      <c r="N388">
        <v>-3</v>
      </c>
    </row>
    <row r="389" spans="1:14">
      <c r="A389">
        <v>388</v>
      </c>
      <c r="B389">
        <v>725</v>
      </c>
      <c r="C389">
        <v>3</v>
      </c>
      <c r="D389">
        <v>0</v>
      </c>
      <c r="E389">
        <v>1</v>
      </c>
      <c r="G389">
        <f t="shared" si="24"/>
        <v>-2.2642066545936679</v>
      </c>
      <c r="H389" t="e">
        <f t="shared" si="25"/>
        <v>#NUM!</v>
      </c>
      <c r="I389">
        <f t="shared" si="26"/>
        <v>-2.0766859337572043</v>
      </c>
      <c r="K389" t="e">
        <f t="shared" si="27"/>
        <v>#NUM!</v>
      </c>
      <c r="M389">
        <v>388</v>
      </c>
      <c r="N389">
        <v>-3</v>
      </c>
    </row>
    <row r="390" spans="1:14">
      <c r="A390">
        <v>389</v>
      </c>
      <c r="B390">
        <v>1724</v>
      </c>
      <c r="C390">
        <v>0</v>
      </c>
      <c r="D390">
        <v>1</v>
      </c>
      <c r="E390">
        <v>0</v>
      </c>
      <c r="G390" t="e">
        <f t="shared" si="24"/>
        <v>#NUM!</v>
      </c>
      <c r="H390">
        <f t="shared" si="25"/>
        <v>-3.0897340112540514</v>
      </c>
      <c r="I390" t="e">
        <f t="shared" si="26"/>
        <v>#NUM!</v>
      </c>
      <c r="K390" t="e">
        <f t="shared" si="27"/>
        <v>#NUM!</v>
      </c>
      <c r="M390">
        <v>389</v>
      </c>
      <c r="N390">
        <v>-3</v>
      </c>
    </row>
    <row r="391" spans="1:14">
      <c r="A391">
        <v>390</v>
      </c>
      <c r="B391">
        <v>969</v>
      </c>
      <c r="C391">
        <v>1</v>
      </c>
      <c r="D391">
        <v>0</v>
      </c>
      <c r="E391">
        <v>0</v>
      </c>
      <c r="G391">
        <f t="shared" si="24"/>
        <v>-2.867313679793102</v>
      </c>
      <c r="H391" t="e">
        <f t="shared" si="25"/>
        <v>#NUM!</v>
      </c>
      <c r="I391" t="e">
        <f t="shared" si="26"/>
        <v>#NUM!</v>
      </c>
      <c r="K391" t="e">
        <f t="shared" si="27"/>
        <v>#NUM!</v>
      </c>
      <c r="M391">
        <v>390</v>
      </c>
      <c r="N391">
        <v>-3</v>
      </c>
    </row>
    <row r="392" spans="1:14">
      <c r="A392">
        <v>391</v>
      </c>
      <c r="B392">
        <v>847</v>
      </c>
      <c r="C392">
        <v>0</v>
      </c>
      <c r="D392">
        <v>0</v>
      </c>
      <c r="E392">
        <v>25</v>
      </c>
      <c r="G392" t="e">
        <f t="shared" si="24"/>
        <v>#NUM!</v>
      </c>
      <c r="H392" t="e">
        <f t="shared" si="25"/>
        <v>#NUM!</v>
      </c>
      <c r="I392">
        <f t="shared" si="26"/>
        <v>-0.74629132884488025</v>
      </c>
      <c r="K392" t="e">
        <f t="shared" si="27"/>
        <v>#NUM!</v>
      </c>
      <c r="M392">
        <v>391</v>
      </c>
      <c r="N392">
        <v>-3</v>
      </c>
    </row>
    <row r="393" spans="1:14">
      <c r="A393">
        <v>392</v>
      </c>
      <c r="B393">
        <v>1144</v>
      </c>
      <c r="C393">
        <v>0</v>
      </c>
      <c r="D393">
        <v>0</v>
      </c>
      <c r="E393">
        <v>0</v>
      </c>
      <c r="G393" t="e">
        <f t="shared" si="24"/>
        <v>#NUM!</v>
      </c>
      <c r="H393" t="e">
        <f t="shared" si="25"/>
        <v>#NUM!</v>
      </c>
      <c r="I393" t="e">
        <f t="shared" si="26"/>
        <v>#NUM!</v>
      </c>
      <c r="K393" t="e">
        <f t="shared" si="27"/>
        <v>#NUM!</v>
      </c>
      <c r="M393">
        <v>392</v>
      </c>
      <c r="N393">
        <v>-3</v>
      </c>
    </row>
    <row r="394" spans="1:14">
      <c r="A394">
        <v>393</v>
      </c>
      <c r="B394">
        <v>1212</v>
      </c>
      <c r="C394">
        <v>0</v>
      </c>
      <c r="D394">
        <v>0</v>
      </c>
      <c r="E394">
        <v>0</v>
      </c>
      <c r="G394" t="e">
        <f t="shared" si="24"/>
        <v>#NUM!</v>
      </c>
      <c r="H394" t="e">
        <f t="shared" si="25"/>
        <v>#NUM!</v>
      </c>
      <c r="I394" t="e">
        <f t="shared" si="26"/>
        <v>#NUM!</v>
      </c>
      <c r="K394" t="e">
        <f t="shared" si="27"/>
        <v>#NUM!</v>
      </c>
      <c r="M394">
        <v>393</v>
      </c>
      <c r="N394">
        <v>-3</v>
      </c>
    </row>
    <row r="395" spans="1:14">
      <c r="A395">
        <v>394</v>
      </c>
      <c r="B395">
        <v>1611</v>
      </c>
      <c r="C395">
        <v>9</v>
      </c>
      <c r="D395">
        <v>0</v>
      </c>
      <c r="E395">
        <v>0</v>
      </c>
      <c r="G395">
        <f t="shared" si="24"/>
        <v>-2.1338429337222298</v>
      </c>
      <c r="H395" t="e">
        <f t="shared" si="25"/>
        <v>#NUM!</v>
      </c>
      <c r="I395" t="e">
        <f t="shared" si="26"/>
        <v>#NUM!</v>
      </c>
      <c r="K395" t="e">
        <f t="shared" si="27"/>
        <v>#NUM!</v>
      </c>
      <c r="M395">
        <v>394</v>
      </c>
      <c r="N395">
        <v>-3</v>
      </c>
    </row>
    <row r="396" spans="1:14">
      <c r="A396">
        <v>395</v>
      </c>
      <c r="B396">
        <v>477</v>
      </c>
      <c r="C396">
        <v>19</v>
      </c>
      <c r="D396">
        <v>26</v>
      </c>
      <c r="E396">
        <v>0</v>
      </c>
      <c r="G396">
        <f t="shared" si="24"/>
        <v>-1.2807546808296215</v>
      </c>
      <c r="H396">
        <f t="shared" si="25"/>
        <v>-1.1167417808346534</v>
      </c>
      <c r="I396" t="e">
        <f t="shared" si="26"/>
        <v>#NUM!</v>
      </c>
      <c r="K396" t="e">
        <f t="shared" si="27"/>
        <v>#NUM!</v>
      </c>
      <c r="M396">
        <v>395</v>
      </c>
      <c r="N396">
        <v>-3</v>
      </c>
    </row>
    <row r="397" spans="1:14">
      <c r="A397">
        <v>396</v>
      </c>
      <c r="B397">
        <v>552</v>
      </c>
      <c r="C397">
        <v>0</v>
      </c>
      <c r="D397">
        <v>0</v>
      </c>
      <c r="E397">
        <v>0</v>
      </c>
      <c r="G397" t="e">
        <f t="shared" si="24"/>
        <v>#NUM!</v>
      </c>
      <c r="H397" t="e">
        <f t="shared" si="25"/>
        <v>#NUM!</v>
      </c>
      <c r="I397" t="e">
        <f t="shared" si="26"/>
        <v>#NUM!</v>
      </c>
      <c r="K397" t="e">
        <f t="shared" si="27"/>
        <v>#NUM!</v>
      </c>
      <c r="M397">
        <v>396</v>
      </c>
      <c r="N397">
        <v>-3</v>
      </c>
    </row>
    <row r="398" spans="1:14">
      <c r="A398">
        <v>397</v>
      </c>
      <c r="B398">
        <v>313</v>
      </c>
      <c r="C398">
        <v>0</v>
      </c>
      <c r="D398">
        <v>0</v>
      </c>
      <c r="E398">
        <v>0</v>
      </c>
      <c r="G398" t="e">
        <f t="shared" si="24"/>
        <v>#NUM!</v>
      </c>
      <c r="H398" t="e">
        <f t="shared" si="25"/>
        <v>#NUM!</v>
      </c>
      <c r="I398" t="e">
        <f t="shared" si="26"/>
        <v>#NUM!</v>
      </c>
      <c r="K398" t="e">
        <f t="shared" si="27"/>
        <v>#NUM!</v>
      </c>
      <c r="M398">
        <v>397</v>
      </c>
      <c r="N398">
        <v>-3</v>
      </c>
    </row>
    <row r="399" spans="1:14">
      <c r="A399">
        <v>398</v>
      </c>
      <c r="B399">
        <v>916</v>
      </c>
      <c r="C399">
        <v>0</v>
      </c>
      <c r="D399">
        <v>3311</v>
      </c>
      <c r="E399">
        <v>0</v>
      </c>
      <c r="G399" t="e">
        <f t="shared" si="24"/>
        <v>#NUM!</v>
      </c>
      <c r="H399">
        <f t="shared" si="25"/>
        <v>0.70486695731886073</v>
      </c>
      <c r="I399" t="e">
        <f t="shared" si="26"/>
        <v>#NUM!</v>
      </c>
      <c r="K399" t="e">
        <f t="shared" si="27"/>
        <v>#NUM!</v>
      </c>
      <c r="M399">
        <v>398</v>
      </c>
      <c r="N399">
        <v>-3</v>
      </c>
    </row>
    <row r="400" spans="1:14">
      <c r="A400">
        <v>399</v>
      </c>
      <c r="B400">
        <v>387</v>
      </c>
      <c r="C400">
        <v>0</v>
      </c>
      <c r="D400">
        <v>0</v>
      </c>
      <c r="E400">
        <v>0</v>
      </c>
      <c r="G400" t="e">
        <f t="shared" si="24"/>
        <v>#NUM!</v>
      </c>
      <c r="H400" t="e">
        <f t="shared" si="25"/>
        <v>#NUM!</v>
      </c>
      <c r="I400" t="e">
        <f t="shared" si="26"/>
        <v>#NUM!</v>
      </c>
      <c r="K400" t="e">
        <f t="shared" si="27"/>
        <v>#NUM!</v>
      </c>
      <c r="M400">
        <v>399</v>
      </c>
      <c r="N400">
        <v>-3</v>
      </c>
    </row>
    <row r="401" spans="1:14">
      <c r="A401">
        <v>400</v>
      </c>
      <c r="B401">
        <v>1772</v>
      </c>
      <c r="C401">
        <v>11</v>
      </c>
      <c r="D401">
        <v>1</v>
      </c>
      <c r="E401">
        <v>0</v>
      </c>
      <c r="G401">
        <f t="shared" si="24"/>
        <v>-2.0880609351351436</v>
      </c>
      <c r="H401">
        <f t="shared" si="25"/>
        <v>-3.1016604673163894</v>
      </c>
      <c r="I401" t="e">
        <f t="shared" si="26"/>
        <v>#NUM!</v>
      </c>
      <c r="K401" t="e">
        <f t="shared" si="27"/>
        <v>#NUM!</v>
      </c>
      <c r="M401">
        <v>400</v>
      </c>
      <c r="N401">
        <v>-3</v>
      </c>
    </row>
    <row r="402" spans="1:14">
      <c r="A402">
        <v>401</v>
      </c>
      <c r="B402">
        <v>644</v>
      </c>
      <c r="C402">
        <v>0</v>
      </c>
      <c r="D402">
        <v>0</v>
      </c>
      <c r="E402">
        <v>19</v>
      </c>
      <c r="G402" t="e">
        <f t="shared" si="24"/>
        <v>#NUM!</v>
      </c>
      <c r="H402" t="e">
        <f t="shared" si="25"/>
        <v>#NUM!</v>
      </c>
      <c r="I402">
        <f t="shared" si="26"/>
        <v>-0.74648019359319417</v>
      </c>
      <c r="K402" t="e">
        <f t="shared" si="27"/>
        <v>#NUM!</v>
      </c>
      <c r="M402">
        <v>401</v>
      </c>
      <c r="N402">
        <v>-3</v>
      </c>
    </row>
    <row r="403" spans="1:14">
      <c r="A403">
        <v>402</v>
      </c>
      <c r="B403">
        <v>2073</v>
      </c>
      <c r="C403">
        <v>0</v>
      </c>
      <c r="D403">
        <v>0</v>
      </c>
      <c r="E403">
        <v>3</v>
      </c>
      <c r="G403" t="e">
        <f t="shared" si="24"/>
        <v>#NUM!</v>
      </c>
      <c r="H403" t="e">
        <f t="shared" si="25"/>
        <v>#NUM!</v>
      </c>
      <c r="I403">
        <f t="shared" si="26"/>
        <v>-2.0558259745604097</v>
      </c>
      <c r="K403" t="e">
        <f t="shared" si="27"/>
        <v>#NUM!</v>
      </c>
      <c r="M403">
        <v>402</v>
      </c>
      <c r="N403">
        <v>-3</v>
      </c>
    </row>
    <row r="404" spans="1:14">
      <c r="A404">
        <v>403</v>
      </c>
      <c r="B404">
        <v>603</v>
      </c>
      <c r="C404">
        <v>0</v>
      </c>
      <c r="D404">
        <v>1</v>
      </c>
      <c r="E404">
        <v>0</v>
      </c>
      <c r="G404" t="e">
        <f t="shared" si="24"/>
        <v>#NUM!</v>
      </c>
      <c r="H404">
        <f t="shared" si="25"/>
        <v>-2.6335140619055086</v>
      </c>
      <c r="I404" t="e">
        <f t="shared" si="26"/>
        <v>#NUM!</v>
      </c>
      <c r="K404" t="e">
        <f t="shared" si="27"/>
        <v>#NUM!</v>
      </c>
      <c r="M404">
        <v>403</v>
      </c>
      <c r="N404">
        <v>-3</v>
      </c>
    </row>
    <row r="405" spans="1:14">
      <c r="A405">
        <v>404</v>
      </c>
      <c r="B405">
        <v>1364</v>
      </c>
      <c r="C405">
        <v>0</v>
      </c>
      <c r="D405">
        <v>0</v>
      </c>
      <c r="E405">
        <v>1</v>
      </c>
      <c r="G405" t="e">
        <f t="shared" si="24"/>
        <v>#NUM!</v>
      </c>
      <c r="H405" t="e">
        <f t="shared" si="25"/>
        <v>#NUM!</v>
      </c>
      <c r="I405">
        <f t="shared" si="26"/>
        <v>-2.3511622975066713</v>
      </c>
      <c r="K405" t="e">
        <f t="shared" si="27"/>
        <v>#NUM!</v>
      </c>
      <c r="M405">
        <v>404</v>
      </c>
      <c r="N405">
        <v>-3</v>
      </c>
    </row>
    <row r="406" spans="1:14">
      <c r="A406">
        <v>405</v>
      </c>
      <c r="B406">
        <v>1332</v>
      </c>
      <c r="C406">
        <v>0</v>
      </c>
      <c r="D406">
        <v>0</v>
      </c>
      <c r="E406">
        <v>1</v>
      </c>
      <c r="G406" t="e">
        <f t="shared" si="24"/>
        <v>#NUM!</v>
      </c>
      <c r="H406" t="e">
        <f t="shared" si="25"/>
        <v>#NUM!</v>
      </c>
      <c r="I406">
        <f t="shared" si="26"/>
        <v>-2.340852152020493</v>
      </c>
      <c r="K406" t="e">
        <f t="shared" si="27"/>
        <v>#NUM!</v>
      </c>
      <c r="M406">
        <v>405</v>
      </c>
      <c r="N406">
        <v>-3</v>
      </c>
    </row>
    <row r="407" spans="1:14">
      <c r="A407">
        <v>406</v>
      </c>
      <c r="B407">
        <v>221</v>
      </c>
      <c r="C407">
        <v>0</v>
      </c>
      <c r="D407">
        <v>0</v>
      </c>
      <c r="E407">
        <v>0</v>
      </c>
      <c r="G407" t="e">
        <f t="shared" si="24"/>
        <v>#NUM!</v>
      </c>
      <c r="H407" t="e">
        <f t="shared" si="25"/>
        <v>#NUM!</v>
      </c>
      <c r="I407" t="e">
        <f t="shared" si="26"/>
        <v>#NUM!</v>
      </c>
      <c r="K407" t="e">
        <f t="shared" si="27"/>
        <v>#NUM!</v>
      </c>
      <c r="M407">
        <v>406</v>
      </c>
      <c r="N407">
        <v>-3</v>
      </c>
    </row>
    <row r="408" spans="1:14">
      <c r="A408">
        <v>407</v>
      </c>
      <c r="B408">
        <v>1038</v>
      </c>
      <c r="C408">
        <v>0</v>
      </c>
      <c r="D408">
        <v>0</v>
      </c>
      <c r="E408">
        <v>1</v>
      </c>
      <c r="G408" t="e">
        <f t="shared" si="24"/>
        <v>#NUM!</v>
      </c>
      <c r="H408" t="e">
        <f t="shared" si="25"/>
        <v>#NUM!</v>
      </c>
      <c r="I408">
        <f t="shared" si="26"/>
        <v>-2.2325452806986501</v>
      </c>
      <c r="K408" t="e">
        <f t="shared" si="27"/>
        <v>#NUM!</v>
      </c>
      <c r="M408">
        <v>407</v>
      </c>
      <c r="N408">
        <v>-3</v>
      </c>
    </row>
    <row r="409" spans="1:14">
      <c r="A409">
        <v>408</v>
      </c>
      <c r="B409">
        <v>440</v>
      </c>
      <c r="C409">
        <v>0</v>
      </c>
      <c r="D409">
        <v>0</v>
      </c>
      <c r="E409">
        <v>0</v>
      </c>
      <c r="G409" t="e">
        <f t="shared" si="24"/>
        <v>#NUM!</v>
      </c>
      <c r="H409" t="e">
        <f t="shared" si="25"/>
        <v>#NUM!</v>
      </c>
      <c r="I409" t="e">
        <f t="shared" si="26"/>
        <v>#NUM!</v>
      </c>
      <c r="K409" t="e">
        <f t="shared" si="27"/>
        <v>#NUM!</v>
      </c>
      <c r="M409">
        <v>408</v>
      </c>
      <c r="N409">
        <v>-3</v>
      </c>
    </row>
    <row r="410" spans="1:14">
      <c r="A410">
        <v>409</v>
      </c>
      <c r="B410">
        <v>465</v>
      </c>
      <c r="C410">
        <v>1</v>
      </c>
      <c r="D410">
        <v>0</v>
      </c>
      <c r="E410">
        <v>0</v>
      </c>
      <c r="G410">
        <f t="shared" si="24"/>
        <v>-2.5484428556322904</v>
      </c>
      <c r="H410" t="e">
        <f t="shared" si="25"/>
        <v>#NUM!</v>
      </c>
      <c r="I410" t="e">
        <f t="shared" si="26"/>
        <v>#NUM!</v>
      </c>
      <c r="K410" t="e">
        <f t="shared" si="27"/>
        <v>#NUM!</v>
      </c>
      <c r="M410">
        <v>409</v>
      </c>
      <c r="N410">
        <v>-3</v>
      </c>
    </row>
    <row r="411" spans="1:14">
      <c r="A411">
        <v>410</v>
      </c>
      <c r="B411">
        <v>1091</v>
      </c>
      <c r="C411">
        <v>0</v>
      </c>
      <c r="D411">
        <v>0</v>
      </c>
      <c r="E411">
        <v>0</v>
      </c>
      <c r="G411" t="e">
        <f t="shared" si="24"/>
        <v>#NUM!</v>
      </c>
      <c r="H411" t="e">
        <f t="shared" si="25"/>
        <v>#NUM!</v>
      </c>
      <c r="I411" t="e">
        <f t="shared" si="26"/>
        <v>#NUM!</v>
      </c>
      <c r="K411" t="e">
        <f t="shared" si="27"/>
        <v>#NUM!</v>
      </c>
      <c r="M411">
        <v>410</v>
      </c>
      <c r="N411">
        <v>-3</v>
      </c>
    </row>
    <row r="412" spans="1:14">
      <c r="A412">
        <v>411</v>
      </c>
      <c r="B412">
        <v>1608</v>
      </c>
      <c r="C412">
        <v>0</v>
      </c>
      <c r="D412">
        <v>0</v>
      </c>
      <c r="E412">
        <v>2</v>
      </c>
      <c r="G412" t="e">
        <f t="shared" si="24"/>
        <v>#NUM!</v>
      </c>
      <c r="H412" t="e">
        <f t="shared" si="25"/>
        <v>#NUM!</v>
      </c>
      <c r="I412">
        <f t="shared" si="26"/>
        <v>-2.1216039759346623</v>
      </c>
      <c r="K412" t="e">
        <f t="shared" si="27"/>
        <v>#NUM!</v>
      </c>
      <c r="M412">
        <v>411</v>
      </c>
      <c r="N412">
        <v>-3</v>
      </c>
    </row>
    <row r="413" spans="1:14">
      <c r="A413">
        <v>412</v>
      </c>
      <c r="B413">
        <v>633</v>
      </c>
      <c r="C413">
        <v>2</v>
      </c>
      <c r="D413">
        <v>0</v>
      </c>
      <c r="E413">
        <v>1</v>
      </c>
      <c r="G413">
        <f t="shared" si="24"/>
        <v>-2.3813636170957104</v>
      </c>
      <c r="H413" t="e">
        <f t="shared" si="25"/>
        <v>#NUM!</v>
      </c>
      <c r="I413">
        <f t="shared" si="26"/>
        <v>-2.017751637203566</v>
      </c>
      <c r="K413" t="e">
        <f t="shared" si="27"/>
        <v>#NUM!</v>
      </c>
      <c r="M413">
        <v>412</v>
      </c>
      <c r="N413">
        <v>-3</v>
      </c>
    </row>
    <row r="414" spans="1:14">
      <c r="A414">
        <v>413</v>
      </c>
      <c r="B414">
        <v>1905</v>
      </c>
      <c r="C414">
        <v>0</v>
      </c>
      <c r="D414">
        <v>2</v>
      </c>
      <c r="E414">
        <v>3</v>
      </c>
      <c r="G414" t="e">
        <f t="shared" si="24"/>
        <v>#NUM!</v>
      </c>
      <c r="H414">
        <f t="shared" si="25"/>
        <v>-2.8320617341130143</v>
      </c>
      <c r="I414">
        <f t="shared" si="26"/>
        <v>-2.0191216524781863</v>
      </c>
      <c r="K414" t="e">
        <f t="shared" si="27"/>
        <v>#NUM!</v>
      </c>
      <c r="M414">
        <v>413</v>
      </c>
      <c r="N414">
        <v>-3</v>
      </c>
    </row>
    <row r="415" spans="1:14">
      <c r="A415">
        <v>414</v>
      </c>
      <c r="B415">
        <v>1659</v>
      </c>
      <c r="C415">
        <v>2</v>
      </c>
      <c r="D415">
        <v>0</v>
      </c>
      <c r="E415">
        <v>0</v>
      </c>
      <c r="G415">
        <f t="shared" si="24"/>
        <v>-2.7998062931027161</v>
      </c>
      <c r="H415" t="e">
        <f t="shared" si="25"/>
        <v>#NUM!</v>
      </c>
      <c r="I415" t="e">
        <f t="shared" si="26"/>
        <v>#NUM!</v>
      </c>
      <c r="K415" t="e">
        <f t="shared" si="27"/>
        <v>#NUM!</v>
      </c>
      <c r="M415">
        <v>414</v>
      </c>
      <c r="N415">
        <v>-3</v>
      </c>
    </row>
    <row r="416" spans="1:14">
      <c r="A416">
        <v>415</v>
      </c>
      <c r="B416">
        <v>455</v>
      </c>
      <c r="C416">
        <v>8</v>
      </c>
      <c r="D416">
        <v>0</v>
      </c>
      <c r="E416">
        <v>6</v>
      </c>
      <c r="G416">
        <f t="shared" si="24"/>
        <v>-1.6359113124075053</v>
      </c>
      <c r="H416" t="e">
        <f t="shared" si="25"/>
        <v>#NUM!</v>
      </c>
      <c r="I416">
        <f t="shared" si="26"/>
        <v>-1.0962080734596797</v>
      </c>
      <c r="K416" t="e">
        <f t="shared" si="27"/>
        <v>#NUM!</v>
      </c>
      <c r="M416">
        <v>415</v>
      </c>
      <c r="N416">
        <v>-3</v>
      </c>
    </row>
    <row r="417" spans="1:14">
      <c r="A417">
        <v>416</v>
      </c>
      <c r="B417">
        <v>714</v>
      </c>
      <c r="C417">
        <v>0</v>
      </c>
      <c r="D417">
        <v>0</v>
      </c>
      <c r="E417">
        <v>0</v>
      </c>
      <c r="G417" t="e">
        <f t="shared" si="24"/>
        <v>#NUM!</v>
      </c>
      <c r="H417" t="e">
        <f t="shared" si="25"/>
        <v>#NUM!</v>
      </c>
      <c r="I417" t="e">
        <f t="shared" si="26"/>
        <v>#NUM!</v>
      </c>
      <c r="K417" t="e">
        <f t="shared" si="27"/>
        <v>#NUM!</v>
      </c>
      <c r="M417">
        <v>416</v>
      </c>
      <c r="N417">
        <v>-3</v>
      </c>
    </row>
    <row r="418" spans="1:14">
      <c r="A418">
        <v>417</v>
      </c>
      <c r="B418">
        <v>336</v>
      </c>
      <c r="C418">
        <v>0</v>
      </c>
      <c r="D418">
        <v>0</v>
      </c>
      <c r="E418">
        <v>0</v>
      </c>
      <c r="G418" t="e">
        <f t="shared" si="24"/>
        <v>#NUM!</v>
      </c>
      <c r="H418" t="e">
        <f t="shared" si="25"/>
        <v>#NUM!</v>
      </c>
      <c r="I418" t="e">
        <f t="shared" si="26"/>
        <v>#NUM!</v>
      </c>
      <c r="K418" t="e">
        <f t="shared" si="27"/>
        <v>#NUM!</v>
      </c>
      <c r="M418">
        <v>417</v>
      </c>
      <c r="N418">
        <v>-3</v>
      </c>
    </row>
    <row r="419" spans="1:14">
      <c r="A419">
        <v>418</v>
      </c>
      <c r="B419">
        <v>791</v>
      </c>
      <c r="C419">
        <v>0</v>
      </c>
      <c r="D419">
        <v>0</v>
      </c>
      <c r="E419">
        <v>0</v>
      </c>
      <c r="G419" t="e">
        <f t="shared" si="24"/>
        <v>#NUM!</v>
      </c>
      <c r="H419" t="e">
        <f t="shared" si="25"/>
        <v>#NUM!</v>
      </c>
      <c r="I419" t="e">
        <f t="shared" si="26"/>
        <v>#NUM!</v>
      </c>
      <c r="K419" t="e">
        <f t="shared" si="27"/>
        <v>#NUM!</v>
      </c>
      <c r="M419">
        <v>418</v>
      </c>
      <c r="N419">
        <v>-3</v>
      </c>
    </row>
    <row r="420" spans="1:14">
      <c r="A420">
        <v>419</v>
      </c>
      <c r="B420">
        <v>1477</v>
      </c>
      <c r="C420">
        <v>1</v>
      </c>
      <c r="D420">
        <v>0</v>
      </c>
      <c r="E420">
        <v>1</v>
      </c>
      <c r="G420">
        <f t="shared" si="24"/>
        <v>-3.050370398054286</v>
      </c>
      <c r="H420" t="e">
        <f t="shared" si="25"/>
        <v>#NUM!</v>
      </c>
      <c r="I420">
        <f t="shared" si="26"/>
        <v>-2.3857284224981603</v>
      </c>
      <c r="K420" t="e">
        <f t="shared" si="27"/>
        <v>#NUM!</v>
      </c>
      <c r="M420">
        <v>419</v>
      </c>
      <c r="N420">
        <v>-3</v>
      </c>
    </row>
    <row r="421" spans="1:14">
      <c r="A421">
        <v>420</v>
      </c>
      <c r="B421">
        <v>1136</v>
      </c>
      <c r="C421">
        <v>0</v>
      </c>
      <c r="D421">
        <v>0</v>
      </c>
      <c r="E421">
        <v>0</v>
      </c>
      <c r="G421" t="e">
        <f t="shared" si="24"/>
        <v>#NUM!</v>
      </c>
      <c r="H421" t="e">
        <f t="shared" si="25"/>
        <v>#NUM!</v>
      </c>
      <c r="I421" t="e">
        <f t="shared" si="26"/>
        <v>#NUM!</v>
      </c>
      <c r="K421" t="e">
        <f t="shared" si="27"/>
        <v>#NUM!</v>
      </c>
      <c r="M421">
        <v>420</v>
      </c>
      <c r="N421">
        <v>-3</v>
      </c>
    </row>
    <row r="422" spans="1:14">
      <c r="A422">
        <v>421</v>
      </c>
      <c r="B422">
        <v>1005</v>
      </c>
      <c r="C422">
        <v>0</v>
      </c>
      <c r="D422">
        <v>0</v>
      </c>
      <c r="E422">
        <v>0</v>
      </c>
      <c r="G422" t="e">
        <f t="shared" si="24"/>
        <v>#NUM!</v>
      </c>
      <c r="H422" t="e">
        <f t="shared" si="25"/>
        <v>#NUM!</v>
      </c>
      <c r="I422" t="e">
        <f t="shared" si="26"/>
        <v>#NUM!</v>
      </c>
      <c r="K422" t="e">
        <f t="shared" si="27"/>
        <v>#NUM!</v>
      </c>
      <c r="M422">
        <v>421</v>
      </c>
      <c r="N422">
        <v>-3</v>
      </c>
    </row>
    <row r="423" spans="1:14">
      <c r="A423">
        <v>422</v>
      </c>
      <c r="B423">
        <v>836</v>
      </c>
      <c r="C423">
        <v>0</v>
      </c>
      <c r="D423">
        <v>1</v>
      </c>
      <c r="E423">
        <v>1</v>
      </c>
      <c r="G423" t="e">
        <f t="shared" si="24"/>
        <v>#NUM!</v>
      </c>
      <c r="H423">
        <f t="shared" si="25"/>
        <v>-2.7754030272043737</v>
      </c>
      <c r="I423">
        <f t="shared" si="26"/>
        <v>-2.1385542046252271</v>
      </c>
      <c r="K423" t="e">
        <f t="shared" si="27"/>
        <v>#NUM!</v>
      </c>
      <c r="M423">
        <v>422</v>
      </c>
      <c r="N423">
        <v>-3</v>
      </c>
    </row>
    <row r="424" spans="1:14">
      <c r="A424">
        <v>423</v>
      </c>
      <c r="B424">
        <v>1179</v>
      </c>
      <c r="C424">
        <v>0</v>
      </c>
      <c r="D424">
        <v>0</v>
      </c>
      <c r="E424">
        <v>0</v>
      </c>
      <c r="G424" t="e">
        <f t="shared" si="24"/>
        <v>#NUM!</v>
      </c>
      <c r="H424" t="e">
        <f t="shared" si="25"/>
        <v>#NUM!</v>
      </c>
      <c r="I424" t="e">
        <f t="shared" si="26"/>
        <v>#NUM!</v>
      </c>
      <c r="K424" t="e">
        <f t="shared" si="27"/>
        <v>#NUM!</v>
      </c>
      <c r="M424">
        <v>423</v>
      </c>
      <c r="N424">
        <v>-3</v>
      </c>
    </row>
    <row r="425" spans="1:14">
      <c r="A425">
        <v>424</v>
      </c>
      <c r="B425">
        <v>1407</v>
      </c>
      <c r="C425">
        <v>0</v>
      </c>
      <c r="D425">
        <v>0</v>
      </c>
      <c r="E425">
        <v>0</v>
      </c>
      <c r="G425" t="e">
        <f t="shared" si="24"/>
        <v>#NUM!</v>
      </c>
      <c r="H425" t="e">
        <f t="shared" si="25"/>
        <v>#NUM!</v>
      </c>
      <c r="I425" t="e">
        <f t="shared" si="26"/>
        <v>#NUM!</v>
      </c>
      <c r="K425" t="e">
        <f t="shared" si="27"/>
        <v>#NUM!</v>
      </c>
      <c r="M425">
        <v>424</v>
      </c>
      <c r="N425">
        <v>-3</v>
      </c>
    </row>
    <row r="426" spans="1:14">
      <c r="A426">
        <v>425</v>
      </c>
      <c r="B426">
        <v>1258</v>
      </c>
      <c r="C426">
        <v>0</v>
      </c>
      <c r="D426">
        <v>0</v>
      </c>
      <c r="E426">
        <v>1</v>
      </c>
      <c r="G426" t="e">
        <f t="shared" si="24"/>
        <v>#NUM!</v>
      </c>
      <c r="H426" t="e">
        <f t="shared" si="25"/>
        <v>#NUM!</v>
      </c>
      <c r="I426">
        <f t="shared" si="26"/>
        <v>-2.3160285682954607</v>
      </c>
      <c r="K426" t="e">
        <f t="shared" si="27"/>
        <v>#NUM!</v>
      </c>
      <c r="M426">
        <v>425</v>
      </c>
      <c r="N426">
        <v>-3</v>
      </c>
    </row>
    <row r="427" spans="1:14">
      <c r="A427">
        <v>426</v>
      </c>
      <c r="B427">
        <v>679</v>
      </c>
      <c r="C427">
        <v>0</v>
      </c>
      <c r="D427">
        <v>0</v>
      </c>
      <c r="E427">
        <v>1</v>
      </c>
      <c r="G427" t="e">
        <f t="shared" si="24"/>
        <v>#NUM!</v>
      </c>
      <c r="H427" t="e">
        <f t="shared" si="25"/>
        <v>#NUM!</v>
      </c>
      <c r="I427">
        <f t="shared" si="26"/>
        <v>-2.0482177014667124</v>
      </c>
      <c r="K427" t="e">
        <f t="shared" si="27"/>
        <v>#NUM!</v>
      </c>
      <c r="M427">
        <v>426</v>
      </c>
      <c r="N427">
        <v>-3</v>
      </c>
    </row>
    <row r="428" spans="1:14">
      <c r="A428">
        <v>427</v>
      </c>
      <c r="B428">
        <v>2446</v>
      </c>
      <c r="C428">
        <v>1</v>
      </c>
      <c r="D428">
        <v>0</v>
      </c>
      <c r="E428">
        <v>0</v>
      </c>
      <c r="G428">
        <f t="shared" si="24"/>
        <v>-3.2694463554426032</v>
      </c>
      <c r="H428" t="e">
        <f t="shared" si="25"/>
        <v>#NUM!</v>
      </c>
      <c r="I428" t="e">
        <f t="shared" si="26"/>
        <v>#NUM!</v>
      </c>
      <c r="K428" t="e">
        <f t="shared" si="27"/>
        <v>#NUM!</v>
      </c>
      <c r="M428">
        <v>427</v>
      </c>
      <c r="N428">
        <v>-3</v>
      </c>
    </row>
    <row r="429" spans="1:14">
      <c r="A429">
        <v>428</v>
      </c>
      <c r="B429">
        <v>956</v>
      </c>
      <c r="C429">
        <v>0</v>
      </c>
      <c r="D429">
        <v>1</v>
      </c>
      <c r="E429">
        <v>0</v>
      </c>
      <c r="G429" t="e">
        <f t="shared" si="24"/>
        <v>#NUM!</v>
      </c>
      <c r="H429">
        <f t="shared" si="25"/>
        <v>-2.8336546420414574</v>
      </c>
      <c r="I429" t="e">
        <f t="shared" si="26"/>
        <v>#NUM!</v>
      </c>
      <c r="K429" t="e">
        <f t="shared" si="27"/>
        <v>#NUM!</v>
      </c>
      <c r="M429">
        <v>428</v>
      </c>
      <c r="N429">
        <v>-3</v>
      </c>
    </row>
    <row r="430" spans="1:14">
      <c r="A430">
        <v>429</v>
      </c>
      <c r="B430">
        <v>307</v>
      </c>
      <c r="C430">
        <v>0</v>
      </c>
      <c r="D430">
        <v>0</v>
      </c>
      <c r="E430">
        <v>0</v>
      </c>
      <c r="G430" t="e">
        <f t="shared" si="24"/>
        <v>#NUM!</v>
      </c>
      <c r="H430" t="e">
        <f t="shared" si="25"/>
        <v>#NUM!</v>
      </c>
      <c r="I430" t="e">
        <f t="shared" si="26"/>
        <v>#NUM!</v>
      </c>
      <c r="K430" t="e">
        <f t="shared" si="27"/>
        <v>#NUM!</v>
      </c>
      <c r="M430">
        <v>429</v>
      </c>
      <c r="N430">
        <v>-3</v>
      </c>
    </row>
    <row r="431" spans="1:14">
      <c r="A431">
        <v>430</v>
      </c>
      <c r="B431">
        <v>988</v>
      </c>
      <c r="C431">
        <v>1</v>
      </c>
      <c r="D431">
        <v>1</v>
      </c>
      <c r="E431">
        <v>0</v>
      </c>
      <c r="G431">
        <f t="shared" si="24"/>
        <v>-2.8757468473299648</v>
      </c>
      <c r="H431">
        <f t="shared" si="25"/>
        <v>-2.8479536943529857</v>
      </c>
      <c r="I431" t="e">
        <f t="shared" si="26"/>
        <v>#NUM!</v>
      </c>
      <c r="K431" t="e">
        <f t="shared" si="27"/>
        <v>#NUM!</v>
      </c>
      <c r="M431">
        <v>430</v>
      </c>
      <c r="N431">
        <v>-3</v>
      </c>
    </row>
    <row r="432" spans="1:14">
      <c r="A432">
        <v>431</v>
      </c>
      <c r="B432">
        <v>520</v>
      </c>
      <c r="C432">
        <v>0</v>
      </c>
      <c r="D432">
        <v>0</v>
      </c>
      <c r="E432">
        <v>0</v>
      </c>
      <c r="G432" t="e">
        <f t="shared" si="24"/>
        <v>#NUM!</v>
      </c>
      <c r="H432" t="e">
        <f t="shared" si="25"/>
        <v>#NUM!</v>
      </c>
      <c r="I432" t="e">
        <f t="shared" si="26"/>
        <v>#NUM!</v>
      </c>
      <c r="K432" t="e">
        <f t="shared" si="27"/>
        <v>#NUM!</v>
      </c>
      <c r="M432">
        <v>431</v>
      </c>
      <c r="N432">
        <v>-3</v>
      </c>
    </row>
    <row r="433" spans="1:14">
      <c r="A433">
        <v>432</v>
      </c>
      <c r="B433">
        <v>602</v>
      </c>
      <c r="C433">
        <v>0</v>
      </c>
      <c r="D433">
        <v>153</v>
      </c>
      <c r="E433">
        <v>25</v>
      </c>
      <c r="G433" t="e">
        <f t="shared" si="24"/>
        <v>#NUM!</v>
      </c>
      <c r="H433">
        <f t="shared" si="25"/>
        <v>-0.44810181020558304</v>
      </c>
      <c r="I433">
        <f t="shared" si="26"/>
        <v>-0.59800440977199787</v>
      </c>
      <c r="K433" t="e">
        <f t="shared" si="27"/>
        <v>#NUM!</v>
      </c>
      <c r="M433">
        <v>432</v>
      </c>
      <c r="N433">
        <v>-3</v>
      </c>
    </row>
    <row r="434" spans="1:14">
      <c r="A434">
        <v>433</v>
      </c>
      <c r="B434">
        <v>669</v>
      </c>
      <c r="C434">
        <v>0</v>
      </c>
      <c r="D434">
        <v>1</v>
      </c>
      <c r="E434">
        <v>0</v>
      </c>
      <c r="G434" t="e">
        <f t="shared" si="24"/>
        <v>#NUM!</v>
      </c>
      <c r="H434">
        <f t="shared" si="25"/>
        <v>-2.6786228675331807</v>
      </c>
      <c r="I434" t="e">
        <f t="shared" si="26"/>
        <v>#NUM!</v>
      </c>
      <c r="K434" t="e">
        <f t="shared" si="27"/>
        <v>#NUM!</v>
      </c>
      <c r="M434">
        <v>433</v>
      </c>
      <c r="N434">
        <v>-3</v>
      </c>
    </row>
    <row r="435" spans="1:14">
      <c r="A435">
        <v>434</v>
      </c>
      <c r="B435">
        <v>3284</v>
      </c>
      <c r="C435">
        <v>1</v>
      </c>
      <c r="D435">
        <v>0</v>
      </c>
      <c r="E435">
        <v>1</v>
      </c>
      <c r="G435">
        <f t="shared" si="24"/>
        <v>-3.3973930511897397</v>
      </c>
      <c r="H435" t="e">
        <f t="shared" si="25"/>
        <v>#NUM!</v>
      </c>
      <c r="I435">
        <f t="shared" si="26"/>
        <v>-2.7327510756336144</v>
      </c>
      <c r="K435" t="e">
        <f t="shared" si="27"/>
        <v>#NUM!</v>
      </c>
      <c r="M435">
        <v>434</v>
      </c>
      <c r="N435">
        <v>-3</v>
      </c>
    </row>
    <row r="436" spans="1:14">
      <c r="A436">
        <v>435</v>
      </c>
      <c r="B436">
        <v>810</v>
      </c>
      <c r="C436">
        <v>0</v>
      </c>
      <c r="D436">
        <v>2</v>
      </c>
      <c r="E436">
        <v>0</v>
      </c>
      <c r="G436" t="e">
        <f t="shared" si="24"/>
        <v>#NUM!</v>
      </c>
      <c r="H436">
        <f t="shared" si="25"/>
        <v>-2.4606517729800261</v>
      </c>
      <c r="I436" t="e">
        <f t="shared" si="26"/>
        <v>#NUM!</v>
      </c>
      <c r="K436" t="e">
        <f t="shared" si="27"/>
        <v>#NUM!</v>
      </c>
      <c r="M436">
        <v>435</v>
      </c>
      <c r="N436">
        <v>-3</v>
      </c>
    </row>
    <row r="437" spans="1:14">
      <c r="A437">
        <v>436</v>
      </c>
      <c r="B437">
        <v>349</v>
      </c>
      <c r="C437">
        <v>1</v>
      </c>
      <c r="D437">
        <v>0</v>
      </c>
      <c r="E437">
        <v>0</v>
      </c>
      <c r="G437">
        <f t="shared" si="24"/>
        <v>-2.4238153297015166</v>
      </c>
      <c r="H437" t="e">
        <f t="shared" si="25"/>
        <v>#NUM!</v>
      </c>
      <c r="I437" t="e">
        <f t="shared" si="26"/>
        <v>#NUM!</v>
      </c>
      <c r="K437" t="e">
        <f t="shared" si="27"/>
        <v>#NUM!</v>
      </c>
      <c r="M437">
        <v>436</v>
      </c>
      <c r="N437">
        <v>-3</v>
      </c>
    </row>
    <row r="438" spans="1:14">
      <c r="A438">
        <v>437</v>
      </c>
      <c r="B438">
        <v>1005</v>
      </c>
      <c r="C438">
        <v>0</v>
      </c>
      <c r="D438">
        <v>2</v>
      </c>
      <c r="E438">
        <v>3</v>
      </c>
      <c r="G438" t="e">
        <f t="shared" si="24"/>
        <v>#NUM!</v>
      </c>
      <c r="H438">
        <f t="shared" si="25"/>
        <v>-2.554332815857884</v>
      </c>
      <c r="I438">
        <f t="shared" si="26"/>
        <v>-1.7413927342230562</v>
      </c>
      <c r="K438" t="e">
        <f t="shared" si="27"/>
        <v>#NUM!</v>
      </c>
      <c r="M438">
        <v>437</v>
      </c>
      <c r="N438">
        <v>-3</v>
      </c>
    </row>
    <row r="439" spans="1:14">
      <c r="A439">
        <v>438</v>
      </c>
      <c r="B439">
        <v>1108</v>
      </c>
      <c r="C439">
        <v>0</v>
      </c>
      <c r="D439">
        <v>0</v>
      </c>
      <c r="E439">
        <v>0</v>
      </c>
      <c r="G439" t="e">
        <f t="shared" si="24"/>
        <v>#NUM!</v>
      </c>
      <c r="H439" t="e">
        <f t="shared" si="25"/>
        <v>#NUM!</v>
      </c>
      <c r="I439" t="e">
        <f t="shared" si="26"/>
        <v>#NUM!</v>
      </c>
      <c r="K439" t="e">
        <f t="shared" si="27"/>
        <v>#NUM!</v>
      </c>
      <c r="M439">
        <v>438</v>
      </c>
      <c r="N439">
        <v>-3</v>
      </c>
    </row>
    <row r="440" spans="1:14">
      <c r="A440">
        <v>439</v>
      </c>
      <c r="B440">
        <v>1232</v>
      </c>
      <c r="C440">
        <v>0</v>
      </c>
      <c r="D440">
        <v>0</v>
      </c>
      <c r="E440">
        <v>0</v>
      </c>
      <c r="G440" t="e">
        <f t="shared" si="24"/>
        <v>#NUM!</v>
      </c>
      <c r="H440" t="e">
        <f t="shared" si="25"/>
        <v>#NUM!</v>
      </c>
      <c r="I440" t="e">
        <f t="shared" si="26"/>
        <v>#NUM!</v>
      </c>
      <c r="K440" t="e">
        <f t="shared" si="27"/>
        <v>#NUM!</v>
      </c>
      <c r="M440">
        <v>439</v>
      </c>
      <c r="N440">
        <v>-3</v>
      </c>
    </row>
    <row r="441" spans="1:14">
      <c r="A441">
        <v>440</v>
      </c>
      <c r="B441">
        <v>901</v>
      </c>
      <c r="C441">
        <v>0</v>
      </c>
      <c r="D441">
        <v>0</v>
      </c>
      <c r="E441">
        <v>0</v>
      </c>
      <c r="G441" t="e">
        <f t="shared" si="24"/>
        <v>#NUM!</v>
      </c>
      <c r="H441" t="e">
        <f t="shared" si="25"/>
        <v>#NUM!</v>
      </c>
      <c r="I441" t="e">
        <f t="shared" si="26"/>
        <v>#NUM!</v>
      </c>
      <c r="K441" t="e">
        <f t="shared" si="27"/>
        <v>#NUM!</v>
      </c>
      <c r="M441">
        <v>440</v>
      </c>
      <c r="N441">
        <v>-3</v>
      </c>
    </row>
    <row r="442" spans="1:14">
      <c r="A442">
        <v>441</v>
      </c>
      <c r="B442">
        <v>1515</v>
      </c>
      <c r="C442">
        <v>0</v>
      </c>
      <c r="D442">
        <v>0</v>
      </c>
      <c r="E442">
        <v>2</v>
      </c>
      <c r="G442" t="e">
        <f t="shared" si="24"/>
        <v>#NUM!</v>
      </c>
      <c r="H442" t="e">
        <f t="shared" si="25"/>
        <v>#NUM!</v>
      </c>
      <c r="I442">
        <f t="shared" si="26"/>
        <v>-2.0957305643605535</v>
      </c>
      <c r="K442" t="e">
        <f t="shared" si="27"/>
        <v>#NUM!</v>
      </c>
      <c r="M442">
        <v>441</v>
      </c>
      <c r="N442">
        <v>-3</v>
      </c>
    </row>
    <row r="443" spans="1:14">
      <c r="A443">
        <v>442</v>
      </c>
      <c r="B443">
        <v>766</v>
      </c>
      <c r="C443">
        <v>1</v>
      </c>
      <c r="D443">
        <v>0</v>
      </c>
      <c r="E443">
        <v>0</v>
      </c>
      <c r="G443">
        <f t="shared" si="24"/>
        <v>-2.7652186723749406</v>
      </c>
      <c r="H443" t="e">
        <f t="shared" si="25"/>
        <v>#NUM!</v>
      </c>
      <c r="I443" t="e">
        <f t="shared" si="26"/>
        <v>#NUM!</v>
      </c>
      <c r="K443" t="e">
        <f t="shared" si="27"/>
        <v>#NUM!</v>
      </c>
      <c r="M443">
        <v>442</v>
      </c>
      <c r="N443">
        <v>-3</v>
      </c>
    </row>
    <row r="444" spans="1:14">
      <c r="A444">
        <v>443</v>
      </c>
      <c r="B444">
        <v>2576</v>
      </c>
      <c r="C444">
        <v>0</v>
      </c>
      <c r="D444">
        <v>1</v>
      </c>
      <c r="E444">
        <v>0</v>
      </c>
      <c r="G444" t="e">
        <f t="shared" si="24"/>
        <v>#NUM!</v>
      </c>
      <c r="H444">
        <f t="shared" si="25"/>
        <v>-3.264142608453132</v>
      </c>
      <c r="I444" t="e">
        <f t="shared" si="26"/>
        <v>#NUM!</v>
      </c>
      <c r="K444" t="e">
        <f t="shared" si="27"/>
        <v>#NUM!</v>
      </c>
      <c r="M444">
        <v>443</v>
      </c>
      <c r="N444">
        <v>-3</v>
      </c>
    </row>
    <row r="445" spans="1:14">
      <c r="A445">
        <v>444</v>
      </c>
      <c r="B445">
        <v>435</v>
      </c>
      <c r="C445">
        <v>1</v>
      </c>
      <c r="D445">
        <v>0</v>
      </c>
      <c r="E445">
        <v>0</v>
      </c>
      <c r="G445">
        <f t="shared" si="24"/>
        <v>-2.5194791596969739</v>
      </c>
      <c r="H445" t="e">
        <f t="shared" si="25"/>
        <v>#NUM!</v>
      </c>
      <c r="I445" t="e">
        <f t="shared" si="26"/>
        <v>#NUM!</v>
      </c>
      <c r="K445" t="e">
        <f t="shared" si="27"/>
        <v>#NUM!</v>
      </c>
      <c r="M445">
        <v>444</v>
      </c>
      <c r="N445">
        <v>-3</v>
      </c>
    </row>
    <row r="446" spans="1:14">
      <c r="A446">
        <v>445</v>
      </c>
      <c r="B446">
        <v>517</v>
      </c>
      <c r="C446">
        <v>0</v>
      </c>
      <c r="D446">
        <v>0</v>
      </c>
      <c r="E446">
        <v>0</v>
      </c>
      <c r="G446" t="e">
        <f t="shared" si="24"/>
        <v>#NUM!</v>
      </c>
      <c r="H446" t="e">
        <f t="shared" si="25"/>
        <v>#NUM!</v>
      </c>
      <c r="I446" t="e">
        <f t="shared" si="26"/>
        <v>#NUM!</v>
      </c>
      <c r="K446" t="e">
        <f t="shared" si="27"/>
        <v>#NUM!</v>
      </c>
      <c r="M446">
        <v>445</v>
      </c>
      <c r="N446">
        <v>-3</v>
      </c>
    </row>
    <row r="447" spans="1:14">
      <c r="A447">
        <v>446</v>
      </c>
      <c r="B447">
        <v>453</v>
      </c>
      <c r="C447">
        <v>0</v>
      </c>
      <c r="D447">
        <v>0</v>
      </c>
      <c r="E447">
        <v>0</v>
      </c>
      <c r="G447" t="e">
        <f t="shared" si="24"/>
        <v>#NUM!</v>
      </c>
      <c r="H447" t="e">
        <f t="shared" si="25"/>
        <v>#NUM!</v>
      </c>
      <c r="I447" t="e">
        <f t="shared" si="26"/>
        <v>#NUM!</v>
      </c>
      <c r="K447" t="e">
        <f t="shared" si="27"/>
        <v>#NUM!</v>
      </c>
      <c r="M447">
        <v>446</v>
      </c>
      <c r="N447">
        <v>-3</v>
      </c>
    </row>
    <row r="448" spans="1:14">
      <c r="A448">
        <v>447</v>
      </c>
      <c r="B448">
        <v>1817</v>
      </c>
      <c r="C448">
        <v>0</v>
      </c>
      <c r="D448">
        <v>0</v>
      </c>
      <c r="E448">
        <v>2</v>
      </c>
      <c r="G448" t="e">
        <f t="shared" si="24"/>
        <v>#NUM!</v>
      </c>
      <c r="H448" t="e">
        <f t="shared" si="25"/>
        <v>#NUM!</v>
      </c>
      <c r="I448">
        <f t="shared" si="26"/>
        <v>-2.174672858830264</v>
      </c>
      <c r="K448" t="e">
        <f t="shared" si="27"/>
        <v>#NUM!</v>
      </c>
      <c r="M448">
        <v>447</v>
      </c>
      <c r="N448">
        <v>-3</v>
      </c>
    </row>
    <row r="449" spans="1:14">
      <c r="A449">
        <v>448</v>
      </c>
      <c r="B449">
        <v>307</v>
      </c>
      <c r="C449">
        <v>11</v>
      </c>
      <c r="D449">
        <v>0</v>
      </c>
      <c r="E449">
        <v>0</v>
      </c>
      <c r="G449">
        <f t="shared" si="24"/>
        <v>-1.3267355930612978</v>
      </c>
      <c r="H449" t="e">
        <f t="shared" si="25"/>
        <v>#NUM!</v>
      </c>
      <c r="I449" t="e">
        <f t="shared" si="26"/>
        <v>#NUM!</v>
      </c>
      <c r="K449" t="e">
        <f t="shared" si="27"/>
        <v>#NUM!</v>
      </c>
      <c r="M449">
        <v>448</v>
      </c>
      <c r="N449">
        <v>-3</v>
      </c>
    </row>
    <row r="450" spans="1:14">
      <c r="A450">
        <v>449</v>
      </c>
      <c r="B450">
        <v>1169</v>
      </c>
      <c r="C450">
        <v>0</v>
      </c>
      <c r="D450">
        <v>1</v>
      </c>
      <c r="E450">
        <v>0</v>
      </c>
      <c r="G450" t="e">
        <f t="shared" si="24"/>
        <v>#NUM!</v>
      </c>
      <c r="H450">
        <f t="shared" si="25"/>
        <v>-2.9210112609271977</v>
      </c>
      <c r="I450" t="e">
        <f t="shared" si="26"/>
        <v>#NUM!</v>
      </c>
      <c r="K450" t="e">
        <f t="shared" si="27"/>
        <v>#NUM!</v>
      </c>
      <c r="M450">
        <v>449</v>
      </c>
      <c r="N450">
        <v>-3</v>
      </c>
    </row>
    <row r="451" spans="1:14">
      <c r="A451">
        <v>450</v>
      </c>
      <c r="B451">
        <v>2115</v>
      </c>
      <c r="C451">
        <v>1</v>
      </c>
      <c r="D451">
        <v>0</v>
      </c>
      <c r="E451">
        <v>2</v>
      </c>
      <c r="G451">
        <f t="shared" ref="G451:G514" si="28">LOG10(C451/B451)-LOG10(28875/37978)</f>
        <v>-3.2063002744533975</v>
      </c>
      <c r="H451" t="e">
        <f t="shared" ref="H451:H514" si="29">LOG10(D451/B451)-LOG10(27085/37978)</f>
        <v>#NUM!</v>
      </c>
      <c r="I451">
        <f t="shared" ref="I451:I514" si="30">LOG10(E451/B451)-LOG10(6250/37978)</f>
        <v>-2.240628303233291</v>
      </c>
      <c r="K451" t="e">
        <f t="shared" ref="K451:K514" si="31">AVERAGE(G451:I451)</f>
        <v>#NUM!</v>
      </c>
      <c r="M451">
        <v>450</v>
      </c>
      <c r="N451">
        <v>-3</v>
      </c>
    </row>
    <row r="452" spans="1:14">
      <c r="A452">
        <v>451</v>
      </c>
      <c r="B452">
        <v>802</v>
      </c>
      <c r="C452">
        <v>0</v>
      </c>
      <c r="D452">
        <v>0</v>
      </c>
      <c r="E452">
        <v>276</v>
      </c>
      <c r="G452" t="e">
        <f t="shared" si="28"/>
        <v>#NUM!</v>
      </c>
      <c r="H452" t="e">
        <f t="shared" si="29"/>
        <v>#NUM!</v>
      </c>
      <c r="I452">
        <f t="shared" si="30"/>
        <v>0.32038678659484321</v>
      </c>
      <c r="K452" t="e">
        <f t="shared" si="31"/>
        <v>#NUM!</v>
      </c>
      <c r="M452">
        <v>451</v>
      </c>
      <c r="N452">
        <v>-3</v>
      </c>
    </row>
    <row r="453" spans="1:14">
      <c r="A453">
        <v>452</v>
      </c>
      <c r="B453">
        <v>1156</v>
      </c>
      <c r="C453">
        <v>0</v>
      </c>
      <c r="D453">
        <v>0</v>
      </c>
      <c r="E453">
        <v>0</v>
      </c>
      <c r="G453" t="e">
        <f t="shared" si="28"/>
        <v>#NUM!</v>
      </c>
      <c r="H453" t="e">
        <f t="shared" si="29"/>
        <v>#NUM!</v>
      </c>
      <c r="I453" t="e">
        <f t="shared" si="30"/>
        <v>#NUM!</v>
      </c>
      <c r="K453" t="e">
        <f t="shared" si="31"/>
        <v>#NUM!</v>
      </c>
      <c r="M453">
        <v>452</v>
      </c>
      <c r="N453">
        <v>-3</v>
      </c>
    </row>
    <row r="454" spans="1:14">
      <c r="A454">
        <v>453</v>
      </c>
      <c r="B454">
        <v>524</v>
      </c>
      <c r="C454">
        <v>0</v>
      </c>
      <c r="D454">
        <v>0</v>
      </c>
      <c r="E454">
        <v>0</v>
      </c>
      <c r="G454" t="e">
        <f t="shared" si="28"/>
        <v>#NUM!</v>
      </c>
      <c r="H454" t="e">
        <f t="shared" si="29"/>
        <v>#NUM!</v>
      </c>
      <c r="I454" t="e">
        <f t="shared" si="30"/>
        <v>#NUM!</v>
      </c>
      <c r="K454" t="e">
        <f t="shared" si="31"/>
        <v>#NUM!</v>
      </c>
      <c r="M454">
        <v>453</v>
      </c>
      <c r="N454">
        <v>-3</v>
      </c>
    </row>
    <row r="455" spans="1:14">
      <c r="A455">
        <v>454</v>
      </c>
      <c r="B455">
        <v>1918</v>
      </c>
      <c r="C455">
        <v>0</v>
      </c>
      <c r="D455">
        <v>0</v>
      </c>
      <c r="E455">
        <v>0</v>
      </c>
      <c r="G455" t="e">
        <f t="shared" si="28"/>
        <v>#NUM!</v>
      </c>
      <c r="H455" t="e">
        <f t="shared" si="29"/>
        <v>#NUM!</v>
      </c>
      <c r="I455" t="e">
        <f t="shared" si="30"/>
        <v>#NUM!</v>
      </c>
      <c r="K455" t="e">
        <f t="shared" si="31"/>
        <v>#NUM!</v>
      </c>
      <c r="M455">
        <v>454</v>
      </c>
      <c r="N455">
        <v>-3</v>
      </c>
    </row>
    <row r="456" spans="1:14">
      <c r="A456">
        <v>455</v>
      </c>
      <c r="B456">
        <v>2678</v>
      </c>
      <c r="C456">
        <v>1</v>
      </c>
      <c r="D456">
        <v>1</v>
      </c>
      <c r="E456">
        <v>1</v>
      </c>
      <c r="G456">
        <f t="shared" si="28"/>
        <v>-3.3088004754183267</v>
      </c>
      <c r="H456">
        <f t="shared" si="29"/>
        <v>-3.2810073224413476</v>
      </c>
      <c r="I456">
        <f t="shared" si="30"/>
        <v>-2.6441584998622014</v>
      </c>
      <c r="K456">
        <f t="shared" si="31"/>
        <v>-3.0779887659072913</v>
      </c>
      <c r="M456">
        <v>455</v>
      </c>
      <c r="N456">
        <v>-3.0779887659072913</v>
      </c>
    </row>
    <row r="457" spans="1:14">
      <c r="A457">
        <v>456</v>
      </c>
      <c r="B457">
        <v>3434</v>
      </c>
      <c r="C457">
        <v>8</v>
      </c>
      <c r="D457">
        <v>0</v>
      </c>
      <c r="E457">
        <v>1</v>
      </c>
      <c r="G457">
        <f t="shared" si="28"/>
        <v>-2.5137002065752907</v>
      </c>
      <c r="H457" t="e">
        <f t="shared" si="29"/>
        <v>#NUM!</v>
      </c>
      <c r="I457">
        <f t="shared" si="30"/>
        <v>-2.7521482180111088</v>
      </c>
      <c r="K457" t="e">
        <f t="shared" si="31"/>
        <v>#NUM!</v>
      </c>
      <c r="M457">
        <v>456</v>
      </c>
      <c r="N457">
        <v>-3</v>
      </c>
    </row>
    <row r="458" spans="1:14">
      <c r="A458">
        <v>457</v>
      </c>
      <c r="B458">
        <v>1110</v>
      </c>
      <c r="C458">
        <v>1</v>
      </c>
      <c r="D458">
        <v>0</v>
      </c>
      <c r="E458">
        <v>0</v>
      </c>
      <c r="G458">
        <f t="shared" si="28"/>
        <v>-2.926312881528994</v>
      </c>
      <c r="H458" t="e">
        <f t="shared" si="29"/>
        <v>#NUM!</v>
      </c>
      <c r="I458" t="e">
        <f t="shared" si="30"/>
        <v>#NUM!</v>
      </c>
      <c r="K458" t="e">
        <f t="shared" si="31"/>
        <v>#NUM!</v>
      </c>
      <c r="M458">
        <v>457</v>
      </c>
      <c r="N458">
        <v>-3</v>
      </c>
    </row>
    <row r="459" spans="1:14">
      <c r="A459">
        <v>458</v>
      </c>
      <c r="B459">
        <v>2146</v>
      </c>
      <c r="C459">
        <v>4</v>
      </c>
      <c r="D459">
        <v>3</v>
      </c>
      <c r="E459">
        <v>0</v>
      </c>
      <c r="G459">
        <f t="shared" si="28"/>
        <v>-2.6105596290443063</v>
      </c>
      <c r="H459">
        <f t="shared" si="29"/>
        <v>-2.7077052126756271</v>
      </c>
      <c r="I459" t="e">
        <f t="shared" si="30"/>
        <v>#NUM!</v>
      </c>
      <c r="K459" t="e">
        <f t="shared" si="31"/>
        <v>#NUM!</v>
      </c>
      <c r="M459">
        <v>458</v>
      </c>
      <c r="N459">
        <v>-3</v>
      </c>
    </row>
    <row r="460" spans="1:14">
      <c r="A460">
        <v>459</v>
      </c>
      <c r="B460">
        <v>1157</v>
      </c>
      <c r="C460">
        <v>1</v>
      </c>
      <c r="D460">
        <v>1</v>
      </c>
      <c r="E460">
        <v>0</v>
      </c>
      <c r="G460">
        <f t="shared" si="28"/>
        <v>-2.9443232616940862</v>
      </c>
      <c r="H460">
        <f t="shared" si="29"/>
        <v>-2.9165301087171072</v>
      </c>
      <c r="I460" t="e">
        <f t="shared" si="30"/>
        <v>#NUM!</v>
      </c>
      <c r="K460" t="e">
        <f t="shared" si="31"/>
        <v>#NUM!</v>
      </c>
      <c r="M460">
        <v>459</v>
      </c>
      <c r="N460">
        <v>-3</v>
      </c>
    </row>
    <row r="461" spans="1:14">
      <c r="A461">
        <v>460</v>
      </c>
      <c r="B461">
        <v>1310</v>
      </c>
      <c r="C461">
        <v>0</v>
      </c>
      <c r="D461">
        <v>1</v>
      </c>
      <c r="E461">
        <v>0</v>
      </c>
      <c r="G461" t="e">
        <f t="shared" si="28"/>
        <v>#NUM!</v>
      </c>
      <c r="H461">
        <f t="shared" si="29"/>
        <v>-2.9704680454211219</v>
      </c>
      <c r="I461" t="e">
        <f t="shared" si="30"/>
        <v>#NUM!</v>
      </c>
      <c r="K461" t="e">
        <f t="shared" si="31"/>
        <v>#NUM!</v>
      </c>
      <c r="M461">
        <v>460</v>
      </c>
      <c r="N461">
        <v>-3</v>
      </c>
    </row>
    <row r="462" spans="1:14">
      <c r="A462">
        <v>461</v>
      </c>
      <c r="B462">
        <v>828</v>
      </c>
      <c r="C462">
        <v>0</v>
      </c>
      <c r="D462">
        <v>0</v>
      </c>
      <c r="E462">
        <v>0</v>
      </c>
      <c r="G462" t="e">
        <f t="shared" si="28"/>
        <v>#NUM!</v>
      </c>
      <c r="H462" t="e">
        <f t="shared" si="29"/>
        <v>#NUM!</v>
      </c>
      <c r="I462" t="e">
        <f t="shared" si="30"/>
        <v>#NUM!</v>
      </c>
      <c r="K462" t="e">
        <f t="shared" si="31"/>
        <v>#NUM!</v>
      </c>
      <c r="M462">
        <v>461</v>
      </c>
      <c r="N462">
        <v>-3</v>
      </c>
    </row>
    <row r="463" spans="1:14">
      <c r="A463">
        <v>462</v>
      </c>
      <c r="B463">
        <v>2651</v>
      </c>
      <c r="C463">
        <v>1</v>
      </c>
      <c r="D463">
        <v>0</v>
      </c>
      <c r="E463">
        <v>3</v>
      </c>
      <c r="G463">
        <f t="shared" si="28"/>
        <v>-3.3043996304754297</v>
      </c>
      <c r="H463" t="e">
        <f t="shared" si="29"/>
        <v>#NUM!</v>
      </c>
      <c r="I463">
        <f t="shared" si="30"/>
        <v>-2.1626364001996423</v>
      </c>
      <c r="K463" t="e">
        <f t="shared" si="31"/>
        <v>#NUM!</v>
      </c>
      <c r="M463">
        <v>462</v>
      </c>
      <c r="N463">
        <v>-3</v>
      </c>
    </row>
    <row r="464" spans="1:14">
      <c r="A464">
        <v>463</v>
      </c>
      <c r="B464">
        <v>1062</v>
      </c>
      <c r="C464">
        <v>0</v>
      </c>
      <c r="D464">
        <v>0</v>
      </c>
      <c r="E464">
        <v>0</v>
      </c>
      <c r="G464" t="e">
        <f t="shared" si="28"/>
        <v>#NUM!</v>
      </c>
      <c r="H464" t="e">
        <f t="shared" si="29"/>
        <v>#NUM!</v>
      </c>
      <c r="I464" t="e">
        <f t="shared" si="30"/>
        <v>#NUM!</v>
      </c>
      <c r="K464" t="e">
        <f t="shared" si="31"/>
        <v>#NUM!</v>
      </c>
      <c r="M464">
        <v>463</v>
      </c>
      <c r="N464">
        <v>-3</v>
      </c>
    </row>
    <row r="465" spans="1:14">
      <c r="A465">
        <v>464</v>
      </c>
      <c r="B465">
        <v>1068</v>
      </c>
      <c r="C465">
        <v>1</v>
      </c>
      <c r="D465">
        <v>0</v>
      </c>
      <c r="E465">
        <v>0</v>
      </c>
      <c r="G465">
        <f t="shared" si="28"/>
        <v>-2.9095611554348739</v>
      </c>
      <c r="H465" t="e">
        <f t="shared" si="29"/>
        <v>#NUM!</v>
      </c>
      <c r="I465" t="e">
        <f t="shared" si="30"/>
        <v>#NUM!</v>
      </c>
      <c r="K465" t="e">
        <f t="shared" si="31"/>
        <v>#NUM!</v>
      </c>
      <c r="M465">
        <v>464</v>
      </c>
      <c r="N465">
        <v>-3</v>
      </c>
    </row>
    <row r="466" spans="1:14">
      <c r="A466">
        <v>465</v>
      </c>
      <c r="B466">
        <v>1239</v>
      </c>
      <c r="C466">
        <v>0</v>
      </c>
      <c r="D466">
        <v>0</v>
      </c>
      <c r="E466">
        <v>0</v>
      </c>
      <c r="G466" t="e">
        <f t="shared" si="28"/>
        <v>#NUM!</v>
      </c>
      <c r="H466" t="e">
        <f t="shared" si="29"/>
        <v>#NUM!</v>
      </c>
      <c r="I466" t="e">
        <f t="shared" si="30"/>
        <v>#NUM!</v>
      </c>
      <c r="K466" t="e">
        <f t="shared" si="31"/>
        <v>#NUM!</v>
      </c>
      <c r="M466">
        <v>465</v>
      </c>
      <c r="N466">
        <v>-3</v>
      </c>
    </row>
    <row r="467" spans="1:14">
      <c r="A467">
        <v>466</v>
      </c>
      <c r="B467">
        <v>3472</v>
      </c>
      <c r="C467">
        <v>1</v>
      </c>
      <c r="D467">
        <v>21</v>
      </c>
      <c r="E467">
        <v>4</v>
      </c>
      <c r="G467">
        <f t="shared" si="28"/>
        <v>-3.4215696192467906</v>
      </c>
      <c r="H467">
        <f t="shared" si="29"/>
        <v>-2.0715571715358925</v>
      </c>
      <c r="I467">
        <f t="shared" si="30"/>
        <v>-2.1548676523627028</v>
      </c>
      <c r="K467">
        <f t="shared" si="31"/>
        <v>-2.549331481048462</v>
      </c>
      <c r="M467">
        <v>466</v>
      </c>
      <c r="N467">
        <v>-2.549331481048462</v>
      </c>
    </row>
    <row r="468" spans="1:14">
      <c r="A468">
        <v>467</v>
      </c>
      <c r="B468">
        <v>432</v>
      </c>
      <c r="C468">
        <v>2</v>
      </c>
      <c r="D468">
        <v>1</v>
      </c>
      <c r="E468">
        <v>0</v>
      </c>
      <c r="G468">
        <f t="shared" si="28"/>
        <v>-2.2154436538932676</v>
      </c>
      <c r="H468">
        <f t="shared" si="29"/>
        <v>-2.4886804965802694</v>
      </c>
      <c r="I468" t="e">
        <f t="shared" si="30"/>
        <v>#NUM!</v>
      </c>
      <c r="K468" t="e">
        <f t="shared" si="31"/>
        <v>#NUM!</v>
      </c>
      <c r="M468">
        <v>467</v>
      </c>
      <c r="N468">
        <v>-3</v>
      </c>
    </row>
    <row r="469" spans="1:14">
      <c r="A469">
        <v>468</v>
      </c>
      <c r="B469">
        <v>949</v>
      </c>
      <c r="C469">
        <v>0</v>
      </c>
      <c r="D469">
        <v>0</v>
      </c>
      <c r="E469">
        <v>0</v>
      </c>
      <c r="G469" t="e">
        <f t="shared" si="28"/>
        <v>#NUM!</v>
      </c>
      <c r="H469" t="e">
        <f t="shared" si="29"/>
        <v>#NUM!</v>
      </c>
      <c r="I469" t="e">
        <f t="shared" si="30"/>
        <v>#NUM!</v>
      </c>
      <c r="K469" t="e">
        <f t="shared" si="31"/>
        <v>#NUM!</v>
      </c>
      <c r="M469">
        <v>468</v>
      </c>
      <c r="N469">
        <v>-3</v>
      </c>
    </row>
    <row r="470" spans="1:14">
      <c r="A470">
        <v>469</v>
      </c>
      <c r="B470">
        <v>561</v>
      </c>
      <c r="C470">
        <v>0</v>
      </c>
      <c r="D470">
        <v>0</v>
      </c>
      <c r="E470">
        <v>0</v>
      </c>
      <c r="G470" t="e">
        <f t="shared" si="28"/>
        <v>#NUM!</v>
      </c>
      <c r="H470" t="e">
        <f t="shared" si="29"/>
        <v>#NUM!</v>
      </c>
      <c r="I470" t="e">
        <f t="shared" si="30"/>
        <v>#NUM!</v>
      </c>
      <c r="K470" t="e">
        <f t="shared" si="31"/>
        <v>#NUM!</v>
      </c>
      <c r="M470">
        <v>469</v>
      </c>
      <c r="N470">
        <v>-3</v>
      </c>
    </row>
    <row r="471" spans="1:14">
      <c r="A471">
        <v>470</v>
      </c>
      <c r="B471">
        <v>888</v>
      </c>
      <c r="C471">
        <v>8</v>
      </c>
      <c r="D471">
        <v>3</v>
      </c>
      <c r="E471">
        <v>7</v>
      </c>
      <c r="G471">
        <f t="shared" si="28"/>
        <v>-1.926312881528994</v>
      </c>
      <c r="H471">
        <f t="shared" si="29"/>
        <v>-2.3244884608242962</v>
      </c>
      <c r="I471">
        <f t="shared" si="30"/>
        <v>-1.3196628529505554</v>
      </c>
      <c r="K471">
        <f t="shared" si="31"/>
        <v>-1.8568213984346151</v>
      </c>
      <c r="M471">
        <v>470</v>
      </c>
      <c r="N471">
        <v>-1.8568213984346151</v>
      </c>
    </row>
    <row r="472" spans="1:14">
      <c r="A472">
        <v>471</v>
      </c>
      <c r="B472">
        <v>532</v>
      </c>
      <c r="C472">
        <v>2</v>
      </c>
      <c r="D472">
        <v>0</v>
      </c>
      <c r="E472">
        <v>0</v>
      </c>
      <c r="G472">
        <f t="shared" si="28"/>
        <v>-2.3058715393734035</v>
      </c>
      <c r="H472" t="e">
        <f t="shared" si="29"/>
        <v>#NUM!</v>
      </c>
      <c r="I472" t="e">
        <f t="shared" si="30"/>
        <v>#NUM!</v>
      </c>
      <c r="K472" t="e">
        <f t="shared" si="31"/>
        <v>#NUM!</v>
      </c>
      <c r="M472">
        <v>471</v>
      </c>
      <c r="N472">
        <v>-3</v>
      </c>
    </row>
    <row r="473" spans="1:14">
      <c r="A473">
        <v>472</v>
      </c>
      <c r="B473">
        <v>1409</v>
      </c>
      <c r="C473">
        <v>0</v>
      </c>
      <c r="D473">
        <v>2</v>
      </c>
      <c r="E473">
        <v>0</v>
      </c>
      <c r="G473" t="e">
        <f t="shared" si="28"/>
        <v>#NUM!</v>
      </c>
      <c r="H473">
        <f t="shared" si="29"/>
        <v>-2.7010777472107326</v>
      </c>
      <c r="I473" t="e">
        <f t="shared" si="30"/>
        <v>#NUM!</v>
      </c>
      <c r="K473" t="e">
        <f t="shared" si="31"/>
        <v>#NUM!</v>
      </c>
      <c r="M473">
        <v>472</v>
      </c>
      <c r="N473">
        <v>-3</v>
      </c>
    </row>
    <row r="474" spans="1:14">
      <c r="A474">
        <v>473</v>
      </c>
      <c r="B474">
        <v>474</v>
      </c>
      <c r="C474">
        <v>0</v>
      </c>
      <c r="D474">
        <v>0</v>
      </c>
      <c r="E474">
        <v>0</v>
      </c>
      <c r="G474" t="e">
        <f t="shared" si="28"/>
        <v>#NUM!</v>
      </c>
      <c r="H474" t="e">
        <f t="shared" si="29"/>
        <v>#NUM!</v>
      </c>
      <c r="I474" t="e">
        <f t="shared" si="30"/>
        <v>#NUM!</v>
      </c>
      <c r="K474" t="e">
        <f t="shared" si="31"/>
        <v>#NUM!</v>
      </c>
      <c r="M474">
        <v>473</v>
      </c>
      <c r="N474">
        <v>-3</v>
      </c>
    </row>
    <row r="475" spans="1:14">
      <c r="A475">
        <v>474</v>
      </c>
      <c r="B475">
        <v>1355</v>
      </c>
      <c r="C475">
        <v>1</v>
      </c>
      <c r="D475">
        <v>4</v>
      </c>
      <c r="E475">
        <v>109</v>
      </c>
      <c r="G475">
        <f t="shared" si="28"/>
        <v>-3.012929197952761</v>
      </c>
      <c r="H475">
        <f t="shared" si="29"/>
        <v>-2.3830760536478195</v>
      </c>
      <c r="I475">
        <f t="shared" si="30"/>
        <v>-0.31086072445601176</v>
      </c>
      <c r="K475">
        <f t="shared" si="31"/>
        <v>-1.9022886586855308</v>
      </c>
      <c r="M475">
        <v>474</v>
      </c>
      <c r="N475">
        <v>-1.9022886586855308</v>
      </c>
    </row>
    <row r="476" spans="1:14">
      <c r="A476">
        <v>475</v>
      </c>
      <c r="B476">
        <v>1978</v>
      </c>
      <c r="C476">
        <v>14</v>
      </c>
      <c r="D476">
        <v>0</v>
      </c>
      <c r="E476">
        <v>13</v>
      </c>
      <c r="G476">
        <f t="shared" si="28"/>
        <v>-2.0310881543252592</v>
      </c>
      <c r="H476" t="e">
        <f t="shared" si="29"/>
        <v>#NUM!</v>
      </c>
      <c r="I476">
        <f t="shared" si="30"/>
        <v>-1.398630862140535</v>
      </c>
      <c r="K476" t="e">
        <f t="shared" si="31"/>
        <v>#NUM!</v>
      </c>
      <c r="M476">
        <v>475</v>
      </c>
      <c r="N476">
        <v>-3</v>
      </c>
    </row>
    <row r="477" spans="1:14">
      <c r="A477">
        <v>476</v>
      </c>
      <c r="B477">
        <v>2088</v>
      </c>
      <c r="C477">
        <v>2</v>
      </c>
      <c r="D477">
        <v>0</v>
      </c>
      <c r="E477">
        <v>2</v>
      </c>
      <c r="G477">
        <f t="shared" si="28"/>
        <v>-2.8996904014085798</v>
      </c>
      <c r="H477" t="e">
        <f t="shared" si="29"/>
        <v>#NUM!</v>
      </c>
      <c r="I477">
        <f t="shared" si="30"/>
        <v>-2.2350484258524546</v>
      </c>
      <c r="K477" t="e">
        <f t="shared" si="31"/>
        <v>#NUM!</v>
      </c>
      <c r="M477">
        <v>476</v>
      </c>
      <c r="N477">
        <v>-3</v>
      </c>
    </row>
    <row r="478" spans="1:14">
      <c r="A478">
        <v>477</v>
      </c>
      <c r="B478">
        <v>3065</v>
      </c>
      <c r="C478">
        <v>0</v>
      </c>
      <c r="D478">
        <v>0</v>
      </c>
      <c r="E478">
        <v>6</v>
      </c>
      <c r="G478" t="e">
        <f t="shared" si="28"/>
        <v>#NUM!</v>
      </c>
      <c r="H478" t="e">
        <f t="shared" si="29"/>
        <v>#NUM!</v>
      </c>
      <c r="I478">
        <f t="shared" si="30"/>
        <v>-1.9246271556570014</v>
      </c>
      <c r="K478" t="e">
        <f t="shared" si="31"/>
        <v>#NUM!</v>
      </c>
      <c r="M478">
        <v>477</v>
      </c>
      <c r="N478">
        <v>-3</v>
      </c>
    </row>
    <row r="479" spans="1:14">
      <c r="A479">
        <v>478</v>
      </c>
      <c r="B479">
        <v>1804</v>
      </c>
      <c r="C479">
        <v>0</v>
      </c>
      <c r="D479">
        <v>0</v>
      </c>
      <c r="E479">
        <v>0</v>
      </c>
      <c r="G479" t="e">
        <f t="shared" si="28"/>
        <v>#NUM!</v>
      </c>
      <c r="H479" t="e">
        <f t="shared" si="29"/>
        <v>#NUM!</v>
      </c>
      <c r="I479" t="e">
        <f t="shared" si="30"/>
        <v>#NUM!</v>
      </c>
      <c r="K479" t="e">
        <f t="shared" si="31"/>
        <v>#NUM!</v>
      </c>
      <c r="M479">
        <v>478</v>
      </c>
      <c r="N479">
        <v>-3</v>
      </c>
    </row>
    <row r="480" spans="1:14">
      <c r="A480">
        <v>479</v>
      </c>
      <c r="B480">
        <v>959</v>
      </c>
      <c r="C480">
        <v>0</v>
      </c>
      <c r="D480">
        <v>0</v>
      </c>
      <c r="E480">
        <v>13</v>
      </c>
      <c r="G480" t="e">
        <f t="shared" si="28"/>
        <v>#NUM!</v>
      </c>
      <c r="H480" t="e">
        <f t="shared" si="29"/>
        <v>#NUM!</v>
      </c>
      <c r="I480">
        <f t="shared" si="30"/>
        <v>-1.0842231820500379</v>
      </c>
      <c r="K480" t="e">
        <f t="shared" si="31"/>
        <v>#NUM!</v>
      </c>
      <c r="M480">
        <v>479</v>
      </c>
      <c r="N480">
        <v>-3</v>
      </c>
    </row>
    <row r="481" spans="1:14">
      <c r="A481">
        <v>480</v>
      </c>
      <c r="B481">
        <v>1176</v>
      </c>
      <c r="C481">
        <v>1</v>
      </c>
      <c r="D481">
        <v>0</v>
      </c>
      <c r="E481">
        <v>130</v>
      </c>
      <c r="G481">
        <f t="shared" si="28"/>
        <v>-2.9513972244824562</v>
      </c>
      <c r="H481" t="e">
        <f t="shared" si="29"/>
        <v>#NUM!</v>
      </c>
      <c r="I481">
        <f t="shared" si="30"/>
        <v>-0.17281189661949392</v>
      </c>
      <c r="K481" t="e">
        <f t="shared" si="31"/>
        <v>#NUM!</v>
      </c>
      <c r="M481">
        <v>480</v>
      </c>
      <c r="N481">
        <v>-3</v>
      </c>
    </row>
    <row r="482" spans="1:14">
      <c r="A482">
        <v>481</v>
      </c>
      <c r="B482">
        <v>432</v>
      </c>
      <c r="C482">
        <v>1</v>
      </c>
      <c r="D482">
        <v>0</v>
      </c>
      <c r="E482">
        <v>0</v>
      </c>
      <c r="G482">
        <f t="shared" si="28"/>
        <v>-2.5164736495572484</v>
      </c>
      <c r="H482" t="e">
        <f t="shared" si="29"/>
        <v>#NUM!</v>
      </c>
      <c r="I482" t="e">
        <f t="shared" si="30"/>
        <v>#NUM!</v>
      </c>
      <c r="K482" t="e">
        <f t="shared" si="31"/>
        <v>#NUM!</v>
      </c>
      <c r="M482">
        <v>481</v>
      </c>
      <c r="N482">
        <v>-3</v>
      </c>
    </row>
    <row r="483" spans="1:14">
      <c r="A483">
        <v>482</v>
      </c>
      <c r="B483">
        <v>1737</v>
      </c>
      <c r="C483">
        <v>1</v>
      </c>
      <c r="D483">
        <v>0</v>
      </c>
      <c r="E483">
        <v>0</v>
      </c>
      <c r="G483">
        <f t="shared" si="28"/>
        <v>-3.1207897211894351</v>
      </c>
      <c r="H483" t="e">
        <f t="shared" si="29"/>
        <v>#NUM!</v>
      </c>
      <c r="I483" t="e">
        <f t="shared" si="30"/>
        <v>#NUM!</v>
      </c>
      <c r="K483" t="e">
        <f t="shared" si="31"/>
        <v>#NUM!</v>
      </c>
      <c r="M483">
        <v>482</v>
      </c>
      <c r="N483">
        <v>-3</v>
      </c>
    </row>
    <row r="484" spans="1:14">
      <c r="A484">
        <v>483</v>
      </c>
      <c r="B484">
        <v>576</v>
      </c>
      <c r="C484">
        <v>0</v>
      </c>
      <c r="D484">
        <v>0</v>
      </c>
      <c r="E484">
        <v>0</v>
      </c>
      <c r="G484" t="e">
        <f t="shared" si="28"/>
        <v>#NUM!</v>
      </c>
      <c r="H484" t="e">
        <f t="shared" si="29"/>
        <v>#NUM!</v>
      </c>
      <c r="I484" t="e">
        <f t="shared" si="30"/>
        <v>#NUM!</v>
      </c>
      <c r="K484" t="e">
        <f t="shared" si="31"/>
        <v>#NUM!</v>
      </c>
      <c r="M484">
        <v>483</v>
      </c>
      <c r="N484">
        <v>-3</v>
      </c>
    </row>
    <row r="485" spans="1:14">
      <c r="A485">
        <v>484</v>
      </c>
      <c r="B485">
        <v>411</v>
      </c>
      <c r="C485">
        <v>0</v>
      </c>
      <c r="D485">
        <v>1</v>
      </c>
      <c r="E485">
        <v>0</v>
      </c>
      <c r="G485" t="e">
        <f t="shared" si="28"/>
        <v>#NUM!</v>
      </c>
      <c r="H485">
        <f t="shared" si="29"/>
        <v>-2.4670385716414267</v>
      </c>
      <c r="I485" t="e">
        <f t="shared" si="30"/>
        <v>#NUM!</v>
      </c>
      <c r="K485" t="e">
        <f t="shared" si="31"/>
        <v>#NUM!</v>
      </c>
      <c r="M485">
        <v>484</v>
      </c>
      <c r="N485">
        <v>-3</v>
      </c>
    </row>
    <row r="486" spans="1:14">
      <c r="A486">
        <v>485</v>
      </c>
      <c r="B486">
        <v>1812</v>
      </c>
      <c r="C486">
        <v>0</v>
      </c>
      <c r="D486">
        <v>0</v>
      </c>
      <c r="E486">
        <v>6</v>
      </c>
      <c r="G486" t="e">
        <f t="shared" si="28"/>
        <v>#NUM!</v>
      </c>
      <c r="H486" t="e">
        <f t="shared" si="29"/>
        <v>#NUM!</v>
      </c>
      <c r="I486">
        <f t="shared" si="30"/>
        <v>-1.6963548701433615</v>
      </c>
      <c r="K486" t="e">
        <f t="shared" si="31"/>
        <v>#NUM!</v>
      </c>
      <c r="M486">
        <v>485</v>
      </c>
      <c r="N486">
        <v>-3</v>
      </c>
    </row>
    <row r="487" spans="1:14">
      <c r="A487">
        <v>486</v>
      </c>
      <c r="B487">
        <v>2443</v>
      </c>
      <c r="C487">
        <v>13</v>
      </c>
      <c r="D487">
        <v>1</v>
      </c>
      <c r="E487">
        <v>15</v>
      </c>
      <c r="G487">
        <f t="shared" si="28"/>
        <v>-2.1549700174089366</v>
      </c>
      <c r="H487">
        <f t="shared" si="29"/>
        <v>-3.241120216738794</v>
      </c>
      <c r="I487">
        <f t="shared" si="30"/>
        <v>-1.4281801351039667</v>
      </c>
      <c r="K487">
        <f t="shared" si="31"/>
        <v>-2.2747567897505658</v>
      </c>
      <c r="M487">
        <v>486</v>
      </c>
      <c r="N487">
        <v>-2.2747567897505658</v>
      </c>
    </row>
    <row r="488" spans="1:14">
      <c r="A488">
        <v>487</v>
      </c>
      <c r="B488">
        <v>1829</v>
      </c>
      <c r="C488">
        <v>0</v>
      </c>
      <c r="D488">
        <v>0</v>
      </c>
      <c r="E488">
        <v>0</v>
      </c>
      <c r="G488" t="e">
        <f t="shared" si="28"/>
        <v>#NUM!</v>
      </c>
      <c r="H488" t="e">
        <f t="shared" si="29"/>
        <v>#NUM!</v>
      </c>
      <c r="I488" t="e">
        <f t="shared" si="30"/>
        <v>#NUM!</v>
      </c>
      <c r="K488" t="e">
        <f t="shared" si="31"/>
        <v>#NUM!</v>
      </c>
      <c r="M488">
        <v>487</v>
      </c>
      <c r="N488">
        <v>-3</v>
      </c>
    </row>
    <row r="489" spans="1:14">
      <c r="A489">
        <v>488</v>
      </c>
      <c r="B489">
        <v>562</v>
      </c>
      <c r="C489">
        <v>0</v>
      </c>
      <c r="D489">
        <v>0</v>
      </c>
      <c r="E489">
        <v>0</v>
      </c>
      <c r="G489" t="e">
        <f t="shared" si="28"/>
        <v>#NUM!</v>
      </c>
      <c r="H489" t="e">
        <f t="shared" si="29"/>
        <v>#NUM!</v>
      </c>
      <c r="I489" t="e">
        <f t="shared" si="30"/>
        <v>#NUM!</v>
      </c>
      <c r="K489" t="e">
        <f t="shared" si="31"/>
        <v>#NUM!</v>
      </c>
      <c r="M489">
        <v>488</v>
      </c>
      <c r="N489">
        <v>-3</v>
      </c>
    </row>
    <row r="490" spans="1:14">
      <c r="A490">
        <v>489</v>
      </c>
      <c r="B490">
        <v>1026</v>
      </c>
      <c r="C490">
        <v>0</v>
      </c>
      <c r="D490">
        <v>0</v>
      </c>
      <c r="E490">
        <v>1</v>
      </c>
      <c r="G490" t="e">
        <f t="shared" si="28"/>
        <v>#NUM!</v>
      </c>
      <c r="H490" t="e">
        <f t="shared" si="29"/>
        <v>#NUM!</v>
      </c>
      <c r="I490">
        <f t="shared" si="30"/>
        <v>-2.2274952879620082</v>
      </c>
      <c r="K490" t="e">
        <f t="shared" si="31"/>
        <v>#NUM!</v>
      </c>
      <c r="M490">
        <v>489</v>
      </c>
      <c r="N490">
        <v>-3</v>
      </c>
    </row>
    <row r="491" spans="1:14">
      <c r="A491">
        <v>490</v>
      </c>
      <c r="B491">
        <v>1182</v>
      </c>
      <c r="C491">
        <v>0</v>
      </c>
      <c r="D491">
        <v>0</v>
      </c>
      <c r="E491">
        <v>0</v>
      </c>
      <c r="G491" t="e">
        <f t="shared" si="28"/>
        <v>#NUM!</v>
      </c>
      <c r="H491" t="e">
        <f t="shared" si="29"/>
        <v>#NUM!</v>
      </c>
      <c r="I491" t="e">
        <f t="shared" si="30"/>
        <v>#NUM!</v>
      </c>
      <c r="K491" t="e">
        <f t="shared" si="31"/>
        <v>#NUM!</v>
      </c>
      <c r="M491">
        <v>490</v>
      </c>
      <c r="N491">
        <v>-3</v>
      </c>
    </row>
    <row r="492" spans="1:14">
      <c r="A492">
        <v>491</v>
      </c>
      <c r="B492">
        <v>347</v>
      </c>
      <c r="C492">
        <v>0</v>
      </c>
      <c r="D492">
        <v>1</v>
      </c>
      <c r="E492">
        <v>1</v>
      </c>
      <c r="G492" t="e">
        <f t="shared" si="28"/>
        <v>#NUM!</v>
      </c>
      <c r="H492">
        <f t="shared" si="29"/>
        <v>-2.393526224556231</v>
      </c>
      <c r="I492">
        <f t="shared" si="30"/>
        <v>-1.7566774019770846</v>
      </c>
      <c r="K492" t="e">
        <f t="shared" si="31"/>
        <v>#NUM!</v>
      </c>
      <c r="M492">
        <v>491</v>
      </c>
      <c r="N492">
        <v>-3</v>
      </c>
    </row>
    <row r="493" spans="1:14">
      <c r="A493">
        <v>492</v>
      </c>
      <c r="B493">
        <v>1268</v>
      </c>
      <c r="C493">
        <v>272</v>
      </c>
      <c r="D493">
        <v>1</v>
      </c>
      <c r="E493">
        <v>3</v>
      </c>
      <c r="G493">
        <f t="shared" si="28"/>
        <v>-0.54954025225385172</v>
      </c>
      <c r="H493">
        <f t="shared" si="29"/>
        <v>-2.9563160033110711</v>
      </c>
      <c r="I493">
        <f t="shared" si="30"/>
        <v>-1.8423459260122625</v>
      </c>
      <c r="K493">
        <f t="shared" si="31"/>
        <v>-1.7827340605257282</v>
      </c>
      <c r="M493">
        <v>492</v>
      </c>
      <c r="N493">
        <v>-1.7827340605257282</v>
      </c>
    </row>
    <row r="494" spans="1:14">
      <c r="A494">
        <v>493</v>
      </c>
      <c r="B494">
        <v>2108</v>
      </c>
      <c r="C494">
        <v>0</v>
      </c>
      <c r="D494">
        <v>0</v>
      </c>
      <c r="E494">
        <v>0</v>
      </c>
      <c r="G494" t="e">
        <f t="shared" si="28"/>
        <v>#NUM!</v>
      </c>
      <c r="H494" t="e">
        <f t="shared" si="29"/>
        <v>#NUM!</v>
      </c>
      <c r="I494" t="e">
        <f t="shared" si="30"/>
        <v>#NUM!</v>
      </c>
      <c r="K494" t="e">
        <f t="shared" si="31"/>
        <v>#NUM!</v>
      </c>
      <c r="M494">
        <v>493</v>
      </c>
      <c r="N494">
        <v>-3</v>
      </c>
    </row>
    <row r="495" spans="1:14">
      <c r="A495">
        <v>494</v>
      </c>
      <c r="B495">
        <v>563</v>
      </c>
      <c r="C495">
        <v>0</v>
      </c>
      <c r="D495">
        <v>3</v>
      </c>
      <c r="E495">
        <v>0</v>
      </c>
      <c r="G495" t="e">
        <f t="shared" si="28"/>
        <v>#NUM!</v>
      </c>
      <c r="H495">
        <f t="shared" si="29"/>
        <v>-2.1265838898970411</v>
      </c>
      <c r="I495" t="e">
        <f t="shared" si="30"/>
        <v>#NUM!</v>
      </c>
      <c r="K495" t="e">
        <f t="shared" si="31"/>
        <v>#NUM!</v>
      </c>
      <c r="M495">
        <v>494</v>
      </c>
      <c r="N495">
        <v>-3</v>
      </c>
    </row>
    <row r="496" spans="1:14">
      <c r="A496">
        <v>495</v>
      </c>
      <c r="B496">
        <v>2279</v>
      </c>
      <c r="C496">
        <v>0</v>
      </c>
      <c r="D496">
        <v>0</v>
      </c>
      <c r="E496">
        <v>0</v>
      </c>
      <c r="G496" t="e">
        <f t="shared" si="28"/>
        <v>#NUM!</v>
      </c>
      <c r="H496" t="e">
        <f t="shared" si="29"/>
        <v>#NUM!</v>
      </c>
      <c r="I496" t="e">
        <f t="shared" si="30"/>
        <v>#NUM!</v>
      </c>
      <c r="K496" t="e">
        <f t="shared" si="31"/>
        <v>#NUM!</v>
      </c>
      <c r="M496">
        <v>495</v>
      </c>
      <c r="N496">
        <v>-3</v>
      </c>
    </row>
    <row r="497" spans="1:14">
      <c r="A497">
        <v>496</v>
      </c>
      <c r="B497">
        <v>1595</v>
      </c>
      <c r="C497">
        <v>6</v>
      </c>
      <c r="D497">
        <v>0</v>
      </c>
      <c r="E497">
        <v>1</v>
      </c>
      <c r="G497">
        <f t="shared" si="28"/>
        <v>-2.3055993397518928</v>
      </c>
      <c r="H497" t="e">
        <f t="shared" si="29"/>
        <v>#NUM!</v>
      </c>
      <c r="I497">
        <f t="shared" si="30"/>
        <v>-2.419108614579411</v>
      </c>
      <c r="K497" t="e">
        <f t="shared" si="31"/>
        <v>#NUM!</v>
      </c>
      <c r="M497">
        <v>496</v>
      </c>
      <c r="N497">
        <v>-3</v>
      </c>
    </row>
    <row r="498" spans="1:14">
      <c r="A498">
        <v>497</v>
      </c>
      <c r="B498">
        <v>1798</v>
      </c>
      <c r="C498">
        <v>6</v>
      </c>
      <c r="D498">
        <v>12</v>
      </c>
      <c r="E498">
        <v>94</v>
      </c>
      <c r="G498">
        <f t="shared" si="28"/>
        <v>-2.3576283397559026</v>
      </c>
      <c r="H498">
        <f t="shared" si="29"/>
        <v>-2.0288051911149427</v>
      </c>
      <c r="I498">
        <f t="shared" si="30"/>
        <v>-0.49800976098372218</v>
      </c>
      <c r="K498">
        <f t="shared" si="31"/>
        <v>-1.6281477639515225</v>
      </c>
      <c r="M498">
        <v>497</v>
      </c>
      <c r="N498">
        <v>-1.6281477639515225</v>
      </c>
    </row>
    <row r="499" spans="1:14">
      <c r="A499">
        <v>498</v>
      </c>
      <c r="B499">
        <v>538</v>
      </c>
      <c r="C499">
        <v>0</v>
      </c>
      <c r="D499">
        <v>0</v>
      </c>
      <c r="E499">
        <v>1</v>
      </c>
      <c r="G499" t="e">
        <f t="shared" si="28"/>
        <v>#NUM!</v>
      </c>
      <c r="H499" t="e">
        <f t="shared" si="29"/>
        <v>#NUM!</v>
      </c>
      <c r="I499">
        <f t="shared" si="30"/>
        <v>-1.9471302028526003</v>
      </c>
      <c r="K499" t="e">
        <f t="shared" si="31"/>
        <v>#NUM!</v>
      </c>
      <c r="M499">
        <v>498</v>
      </c>
      <c r="N499">
        <v>-3</v>
      </c>
    </row>
    <row r="500" spans="1:14">
      <c r="A500">
        <v>499</v>
      </c>
      <c r="B500">
        <v>901</v>
      </c>
      <c r="C500">
        <v>10</v>
      </c>
      <c r="D500">
        <v>0</v>
      </c>
      <c r="E500">
        <v>3</v>
      </c>
      <c r="G500">
        <f t="shared" si="28"/>
        <v>-1.8357146937213995</v>
      </c>
      <c r="H500" t="e">
        <f t="shared" si="29"/>
        <v>#NUM!</v>
      </c>
      <c r="I500">
        <f t="shared" si="30"/>
        <v>-1.6939514634456116</v>
      </c>
      <c r="K500" t="e">
        <f t="shared" si="31"/>
        <v>#NUM!</v>
      </c>
      <c r="M500">
        <v>499</v>
      </c>
      <c r="N500">
        <v>-3</v>
      </c>
    </row>
    <row r="501" spans="1:14">
      <c r="A501">
        <v>500</v>
      </c>
      <c r="B501">
        <v>3306</v>
      </c>
      <c r="C501">
        <v>1</v>
      </c>
      <c r="D501">
        <v>47</v>
      </c>
      <c r="E501">
        <v>8</v>
      </c>
      <c r="G501">
        <f t="shared" si="28"/>
        <v>-3.4002927519777653</v>
      </c>
      <c r="H501">
        <f t="shared" si="29"/>
        <v>-1.7004017410650687</v>
      </c>
      <c r="I501">
        <f t="shared" si="30"/>
        <v>-1.832560789429696</v>
      </c>
      <c r="K501">
        <f t="shared" si="31"/>
        <v>-2.3110850941575101</v>
      </c>
      <c r="M501">
        <v>500</v>
      </c>
      <c r="N501">
        <v>-2.3110850941575101</v>
      </c>
    </row>
    <row r="502" spans="1:14">
      <c r="A502">
        <v>501</v>
      </c>
      <c r="B502">
        <v>1313</v>
      </c>
      <c r="C502">
        <v>44</v>
      </c>
      <c r="D502">
        <v>0</v>
      </c>
      <c r="E502">
        <v>0</v>
      </c>
      <c r="G502">
        <f t="shared" si="28"/>
        <v>-1.3558019523456284</v>
      </c>
      <c r="H502" t="e">
        <f t="shared" si="29"/>
        <v>#NUM!</v>
      </c>
      <c r="I502" t="e">
        <f t="shared" si="30"/>
        <v>#NUM!</v>
      </c>
      <c r="K502" t="e">
        <f t="shared" si="31"/>
        <v>#NUM!</v>
      </c>
      <c r="M502">
        <v>501</v>
      </c>
      <c r="N502">
        <v>-3</v>
      </c>
    </row>
    <row r="503" spans="1:14">
      <c r="A503">
        <v>502</v>
      </c>
      <c r="B503">
        <v>1724</v>
      </c>
      <c r="C503">
        <v>0</v>
      </c>
      <c r="D503">
        <v>1</v>
      </c>
      <c r="E503">
        <v>1</v>
      </c>
      <c r="G503" t="e">
        <f t="shared" si="28"/>
        <v>#NUM!</v>
      </c>
      <c r="H503">
        <f t="shared" si="29"/>
        <v>-3.0897340112540514</v>
      </c>
      <c r="I503">
        <f t="shared" si="30"/>
        <v>-2.4528851886749052</v>
      </c>
      <c r="K503" t="e">
        <f t="shared" si="31"/>
        <v>#NUM!</v>
      </c>
      <c r="M503">
        <v>502</v>
      </c>
      <c r="N503">
        <v>-3</v>
      </c>
    </row>
    <row r="504" spans="1:14">
      <c r="A504">
        <v>503</v>
      </c>
      <c r="B504">
        <v>4058</v>
      </c>
      <c r="C504">
        <v>33</v>
      </c>
      <c r="D504">
        <v>57</v>
      </c>
      <c r="E504">
        <v>21</v>
      </c>
      <c r="G504">
        <f t="shared" si="28"/>
        <v>-1.9707880055617761</v>
      </c>
      <c r="H504">
        <f t="shared" si="29"/>
        <v>-1.7056339367901932</v>
      </c>
      <c r="I504">
        <f t="shared" si="30"/>
        <v>-1.5024406751496191</v>
      </c>
      <c r="K504">
        <f t="shared" si="31"/>
        <v>-1.7262875391671961</v>
      </c>
      <c r="M504">
        <v>503</v>
      </c>
      <c r="N504">
        <v>-1.7262875391671961</v>
      </c>
    </row>
    <row r="505" spans="1:14">
      <c r="A505">
        <v>504</v>
      </c>
      <c r="B505">
        <v>977</v>
      </c>
      <c r="C505">
        <v>1</v>
      </c>
      <c r="D505">
        <v>0</v>
      </c>
      <c r="E505">
        <v>3</v>
      </c>
      <c r="G505">
        <f t="shared" si="28"/>
        <v>-2.8708844664611095</v>
      </c>
      <c r="H505" t="e">
        <f t="shared" si="29"/>
        <v>#NUM!</v>
      </c>
      <c r="I505">
        <f t="shared" si="30"/>
        <v>-1.7291212361853214</v>
      </c>
      <c r="K505" t="e">
        <f t="shared" si="31"/>
        <v>#NUM!</v>
      </c>
      <c r="M505">
        <v>504</v>
      </c>
      <c r="N505">
        <v>-3</v>
      </c>
    </row>
    <row r="506" spans="1:14">
      <c r="A506">
        <v>505</v>
      </c>
      <c r="B506">
        <v>1682</v>
      </c>
      <c r="C506">
        <v>5</v>
      </c>
      <c r="D506">
        <v>0</v>
      </c>
      <c r="E506">
        <v>1</v>
      </c>
      <c r="G506">
        <f t="shared" si="28"/>
        <v>-2.4078458898682111</v>
      </c>
      <c r="H506" t="e">
        <f t="shared" si="29"/>
        <v>#NUM!</v>
      </c>
      <c r="I506">
        <f t="shared" si="30"/>
        <v>-2.4421739186481046</v>
      </c>
      <c r="K506" t="e">
        <f t="shared" si="31"/>
        <v>#NUM!</v>
      </c>
      <c r="M506">
        <v>505</v>
      </c>
      <c r="N506">
        <v>-3</v>
      </c>
    </row>
    <row r="507" spans="1:14">
      <c r="A507">
        <v>506</v>
      </c>
      <c r="B507">
        <v>1418</v>
      </c>
      <c r="C507">
        <v>0</v>
      </c>
      <c r="D507">
        <v>0</v>
      </c>
      <c r="E507">
        <v>0</v>
      </c>
      <c r="G507" t="e">
        <f t="shared" si="28"/>
        <v>#NUM!</v>
      </c>
      <c r="H507" t="e">
        <f t="shared" si="29"/>
        <v>#NUM!</v>
      </c>
      <c r="I507" t="e">
        <f t="shared" si="30"/>
        <v>#NUM!</v>
      </c>
      <c r="K507" t="e">
        <f t="shared" si="31"/>
        <v>#NUM!</v>
      </c>
      <c r="M507">
        <v>506</v>
      </c>
      <c r="N507">
        <v>-3</v>
      </c>
    </row>
    <row r="508" spans="1:14">
      <c r="A508">
        <v>507</v>
      </c>
      <c r="B508">
        <v>2760</v>
      </c>
      <c r="C508">
        <v>86</v>
      </c>
      <c r="D508">
        <v>5</v>
      </c>
      <c r="E508">
        <v>14</v>
      </c>
      <c r="G508">
        <f t="shared" si="28"/>
        <v>-1.3874005335639865</v>
      </c>
      <c r="H508">
        <f t="shared" si="29"/>
        <v>-2.5951358274945564</v>
      </c>
      <c r="I508">
        <f t="shared" si="30"/>
        <v>-1.5111289735731905</v>
      </c>
      <c r="K508">
        <f t="shared" si="31"/>
        <v>-1.8312217782105777</v>
      </c>
      <c r="M508">
        <v>507</v>
      </c>
      <c r="N508">
        <v>-1.8312217782105777</v>
      </c>
    </row>
    <row r="509" spans="1:14">
      <c r="A509">
        <v>508</v>
      </c>
      <c r="B509">
        <v>1032</v>
      </c>
      <c r="C509">
        <v>0</v>
      </c>
      <c r="D509">
        <v>0</v>
      </c>
      <c r="E509">
        <v>0</v>
      </c>
      <c r="G509" t="e">
        <f t="shared" si="28"/>
        <v>#NUM!</v>
      </c>
      <c r="H509" t="e">
        <f t="shared" si="29"/>
        <v>#NUM!</v>
      </c>
      <c r="I509" t="e">
        <f t="shared" si="30"/>
        <v>#NUM!</v>
      </c>
      <c r="K509" t="e">
        <f t="shared" si="31"/>
        <v>#NUM!</v>
      </c>
      <c r="M509">
        <v>508</v>
      </c>
      <c r="N509">
        <v>-3</v>
      </c>
    </row>
    <row r="510" spans="1:14">
      <c r="A510">
        <v>509</v>
      </c>
      <c r="B510">
        <v>1210</v>
      </c>
      <c r="C510">
        <v>26</v>
      </c>
      <c r="D510">
        <v>0</v>
      </c>
      <c r="E510">
        <v>0</v>
      </c>
      <c r="G510">
        <f t="shared" si="28"/>
        <v>-1.5488019250879685</v>
      </c>
      <c r="H510" t="e">
        <f t="shared" si="29"/>
        <v>#NUM!</v>
      </c>
      <c r="I510" t="e">
        <f t="shared" si="30"/>
        <v>#NUM!</v>
      </c>
      <c r="K510" t="e">
        <f t="shared" si="31"/>
        <v>#NUM!</v>
      </c>
      <c r="M510">
        <v>509</v>
      </c>
      <c r="N510">
        <v>-3</v>
      </c>
    </row>
    <row r="511" spans="1:14">
      <c r="A511">
        <v>510</v>
      </c>
      <c r="B511">
        <v>237</v>
      </c>
      <c r="C511">
        <v>1</v>
      </c>
      <c r="D511">
        <v>0</v>
      </c>
      <c r="E511">
        <v>0</v>
      </c>
      <c r="G511">
        <f t="shared" si="28"/>
        <v>-2.2557382487524404</v>
      </c>
      <c r="H511" t="e">
        <f t="shared" si="29"/>
        <v>#NUM!</v>
      </c>
      <c r="I511" t="e">
        <f t="shared" si="30"/>
        <v>#NUM!</v>
      </c>
      <c r="K511" t="e">
        <f t="shared" si="31"/>
        <v>#NUM!</v>
      </c>
      <c r="M511">
        <v>510</v>
      </c>
      <c r="N511">
        <v>-3</v>
      </c>
    </row>
    <row r="512" spans="1:14">
      <c r="A512">
        <v>511</v>
      </c>
      <c r="B512">
        <v>2011</v>
      </c>
      <c r="C512">
        <v>8</v>
      </c>
      <c r="D512">
        <v>0</v>
      </c>
      <c r="E512">
        <v>3</v>
      </c>
      <c r="G512">
        <f t="shared" si="28"/>
        <v>-2.2813119863471347</v>
      </c>
      <c r="H512" t="e">
        <f t="shared" si="29"/>
        <v>#NUM!</v>
      </c>
      <c r="I512">
        <f t="shared" si="30"/>
        <v>-2.0426387430632902</v>
      </c>
      <c r="K512" t="e">
        <f t="shared" si="31"/>
        <v>#NUM!</v>
      </c>
      <c r="M512">
        <v>511</v>
      </c>
      <c r="N512">
        <v>-3</v>
      </c>
    </row>
    <row r="513" spans="1:14">
      <c r="A513">
        <v>512</v>
      </c>
      <c r="B513">
        <v>1229</v>
      </c>
      <c r="C513">
        <v>0</v>
      </c>
      <c r="D513">
        <v>0</v>
      </c>
      <c r="E513">
        <v>0</v>
      </c>
      <c r="G513" t="e">
        <f t="shared" si="28"/>
        <v>#NUM!</v>
      </c>
      <c r="H513" t="e">
        <f t="shared" si="29"/>
        <v>#NUM!</v>
      </c>
      <c r="I513" t="e">
        <f t="shared" si="30"/>
        <v>#NUM!</v>
      </c>
      <c r="K513" t="e">
        <f t="shared" si="31"/>
        <v>#NUM!</v>
      </c>
      <c r="M513">
        <v>512</v>
      </c>
      <c r="N513">
        <v>-3</v>
      </c>
    </row>
    <row r="514" spans="1:14">
      <c r="A514">
        <v>513</v>
      </c>
      <c r="B514">
        <v>1173</v>
      </c>
      <c r="C514">
        <v>34</v>
      </c>
      <c r="D514">
        <v>0</v>
      </c>
      <c r="E514">
        <v>939</v>
      </c>
      <c r="G514">
        <f t="shared" si="28"/>
        <v>-1.4188089978156107</v>
      </c>
      <c r="H514" t="e">
        <f t="shared" si="29"/>
        <v>#NUM!</v>
      </c>
      <c r="I514">
        <f t="shared" si="30"/>
        <v>0.68701965296437073</v>
      </c>
      <c r="K514" t="e">
        <f t="shared" si="31"/>
        <v>#NUM!</v>
      </c>
      <c r="M514">
        <v>513</v>
      </c>
      <c r="N514">
        <v>-3</v>
      </c>
    </row>
    <row r="515" spans="1:14">
      <c r="A515">
        <v>514</v>
      </c>
      <c r="B515">
        <v>2803</v>
      </c>
      <c r="C515">
        <v>0</v>
      </c>
      <c r="D515">
        <v>0</v>
      </c>
      <c r="E515">
        <v>0</v>
      </c>
      <c r="G515" t="e">
        <f t="shared" ref="G515:G578" si="32">LOG10(C515/B515)-LOG10(28875/37978)</f>
        <v>#NUM!</v>
      </c>
      <c r="H515" t="e">
        <f t="shared" ref="H515:H578" si="33">LOG10(D515/B515)-LOG10(27085/37978)</f>
        <v>#NUM!</v>
      </c>
      <c r="I515" t="e">
        <f t="shared" ref="I515:I578" si="34">LOG10(E515/B515)-LOG10(6250/37978)</f>
        <v>#NUM!</v>
      </c>
      <c r="K515" t="e">
        <f t="shared" ref="K515:K578" si="35">AVERAGE(G515:I515)</f>
        <v>#NUM!</v>
      </c>
      <c r="M515">
        <v>514</v>
      </c>
      <c r="N515">
        <v>-3</v>
      </c>
    </row>
    <row r="516" spans="1:14">
      <c r="A516">
        <v>515</v>
      </c>
      <c r="B516">
        <v>495</v>
      </c>
      <c r="C516">
        <v>0</v>
      </c>
      <c r="D516">
        <v>0</v>
      </c>
      <c r="E516">
        <v>0</v>
      </c>
      <c r="G516" t="e">
        <f t="shared" si="32"/>
        <v>#NUM!</v>
      </c>
      <c r="H516" t="e">
        <f t="shared" si="33"/>
        <v>#NUM!</v>
      </c>
      <c r="I516" t="e">
        <f t="shared" si="34"/>
        <v>#NUM!</v>
      </c>
      <c r="K516" t="e">
        <f t="shared" si="35"/>
        <v>#NUM!</v>
      </c>
      <c r="M516">
        <v>515</v>
      </c>
      <c r="N516">
        <v>-3</v>
      </c>
    </row>
    <row r="517" spans="1:14">
      <c r="A517">
        <v>516</v>
      </c>
      <c r="B517">
        <v>1051</v>
      </c>
      <c r="C517">
        <v>1</v>
      </c>
      <c r="D517">
        <v>8</v>
      </c>
      <c r="E517">
        <v>3</v>
      </c>
      <c r="G517">
        <f t="shared" si="32"/>
        <v>-2.9025926187705786</v>
      </c>
      <c r="H517">
        <f t="shared" si="33"/>
        <v>-1.9717094788016563</v>
      </c>
      <c r="I517">
        <f t="shared" si="34"/>
        <v>-1.760829388494791</v>
      </c>
      <c r="K517">
        <f t="shared" si="35"/>
        <v>-2.2117104953556752</v>
      </c>
      <c r="M517">
        <v>516</v>
      </c>
      <c r="N517">
        <v>-2.2117104953556752</v>
      </c>
    </row>
    <row r="518" spans="1:14">
      <c r="A518">
        <v>517</v>
      </c>
      <c r="B518">
        <v>838</v>
      </c>
      <c r="C518">
        <v>3</v>
      </c>
      <c r="D518">
        <v>1</v>
      </c>
      <c r="E518">
        <v>0</v>
      </c>
      <c r="G518">
        <f t="shared" si="32"/>
        <v>-2.3271126666529507</v>
      </c>
      <c r="H518">
        <f t="shared" si="33"/>
        <v>-2.7764407683956338</v>
      </c>
      <c r="I518" t="e">
        <f t="shared" si="34"/>
        <v>#NUM!</v>
      </c>
      <c r="K518" t="e">
        <f t="shared" si="35"/>
        <v>#NUM!</v>
      </c>
      <c r="M518">
        <v>517</v>
      </c>
      <c r="N518">
        <v>-3</v>
      </c>
    </row>
    <row r="519" spans="1:14">
      <c r="A519">
        <v>518</v>
      </c>
      <c r="B519">
        <v>1791</v>
      </c>
      <c r="C519">
        <v>0</v>
      </c>
      <c r="D519">
        <v>0</v>
      </c>
      <c r="E519">
        <v>0</v>
      </c>
      <c r="G519" t="e">
        <f t="shared" si="32"/>
        <v>#NUM!</v>
      </c>
      <c r="H519" t="e">
        <f t="shared" si="33"/>
        <v>#NUM!</v>
      </c>
      <c r="I519" t="e">
        <f t="shared" si="34"/>
        <v>#NUM!</v>
      </c>
      <c r="K519" t="e">
        <f t="shared" si="35"/>
        <v>#NUM!</v>
      </c>
      <c r="M519">
        <v>518</v>
      </c>
      <c r="N519">
        <v>-3</v>
      </c>
    </row>
    <row r="520" spans="1:14">
      <c r="A520">
        <v>519</v>
      </c>
      <c r="B520">
        <v>449</v>
      </c>
      <c r="C520">
        <v>0</v>
      </c>
      <c r="D520">
        <v>0</v>
      </c>
      <c r="E520">
        <v>0</v>
      </c>
      <c r="G520" t="e">
        <f t="shared" si="32"/>
        <v>#NUM!</v>
      </c>
      <c r="H520" t="e">
        <f t="shared" si="33"/>
        <v>#NUM!</v>
      </c>
      <c r="I520" t="e">
        <f t="shared" si="34"/>
        <v>#NUM!</v>
      </c>
      <c r="K520" t="e">
        <f t="shared" si="35"/>
        <v>#NUM!</v>
      </c>
      <c r="M520">
        <v>519</v>
      </c>
      <c r="N520">
        <v>-3</v>
      </c>
    </row>
    <row r="521" spans="1:14">
      <c r="A521">
        <v>520</v>
      </c>
      <c r="B521">
        <v>847</v>
      </c>
      <c r="C521">
        <v>2</v>
      </c>
      <c r="D521">
        <v>0</v>
      </c>
      <c r="E521">
        <v>1</v>
      </c>
      <c r="G521">
        <f t="shared" si="32"/>
        <v>-2.5078433174090624</v>
      </c>
      <c r="H521" t="e">
        <f t="shared" si="33"/>
        <v>#NUM!</v>
      </c>
      <c r="I521">
        <f t="shared" si="34"/>
        <v>-2.144231337516918</v>
      </c>
      <c r="K521" t="e">
        <f t="shared" si="35"/>
        <v>#NUM!</v>
      </c>
      <c r="M521">
        <v>520</v>
      </c>
      <c r="N521">
        <v>-3</v>
      </c>
    </row>
    <row r="522" spans="1:14">
      <c r="A522">
        <v>521</v>
      </c>
      <c r="B522">
        <v>3138</v>
      </c>
      <c r="C522">
        <v>575</v>
      </c>
      <c r="D522">
        <v>23</v>
      </c>
      <c r="E522">
        <v>129</v>
      </c>
      <c r="G522">
        <f t="shared" si="32"/>
        <v>-0.61797499730362393</v>
      </c>
      <c r="H522">
        <f t="shared" si="33"/>
        <v>-1.9881218529986824</v>
      </c>
      <c r="I522">
        <f t="shared" si="34"/>
        <v>-0.60241115613787977</v>
      </c>
      <c r="K522">
        <f t="shared" si="35"/>
        <v>-1.0695026688133955</v>
      </c>
      <c r="M522">
        <v>521</v>
      </c>
      <c r="N522">
        <v>-1.0695026688133955</v>
      </c>
    </row>
    <row r="523" spans="1:14">
      <c r="A523">
        <v>522</v>
      </c>
      <c r="B523">
        <v>1748</v>
      </c>
      <c r="C523">
        <v>0</v>
      </c>
      <c r="D523">
        <v>0</v>
      </c>
      <c r="E523">
        <v>48</v>
      </c>
      <c r="G523" t="e">
        <f t="shared" si="32"/>
        <v>#NUM!</v>
      </c>
      <c r="H523" t="e">
        <f t="shared" si="33"/>
        <v>#NUM!</v>
      </c>
      <c r="I523">
        <f t="shared" si="34"/>
        <v>-0.77764811810900802</v>
      </c>
      <c r="K523" t="e">
        <f t="shared" si="35"/>
        <v>#NUM!</v>
      </c>
      <c r="M523">
        <v>522</v>
      </c>
      <c r="N523">
        <v>-3</v>
      </c>
    </row>
    <row r="524" spans="1:14">
      <c r="A524">
        <v>523</v>
      </c>
      <c r="B524">
        <v>675</v>
      </c>
      <c r="C524">
        <v>0</v>
      </c>
      <c r="D524">
        <v>0</v>
      </c>
      <c r="E524">
        <v>1</v>
      </c>
      <c r="G524" t="e">
        <f t="shared" si="32"/>
        <v>#NUM!</v>
      </c>
      <c r="H524" t="e">
        <f t="shared" si="33"/>
        <v>#NUM!</v>
      </c>
      <c r="I524">
        <f t="shared" si="34"/>
        <v>-2.0456517000172356</v>
      </c>
      <c r="K524" t="e">
        <f t="shared" si="35"/>
        <v>#NUM!</v>
      </c>
      <c r="M524">
        <v>523</v>
      </c>
      <c r="N524">
        <v>-3</v>
      </c>
    </row>
    <row r="525" spans="1:14">
      <c r="A525">
        <v>524</v>
      </c>
      <c r="B525">
        <v>567</v>
      </c>
      <c r="C525">
        <v>14</v>
      </c>
      <c r="D525">
        <v>3</v>
      </c>
      <c r="E525">
        <v>8</v>
      </c>
      <c r="G525">
        <f t="shared" si="32"/>
        <v>-1.4884449259570049</v>
      </c>
      <c r="H525">
        <f t="shared" si="33"/>
        <v>-2.1296585539386017</v>
      </c>
      <c r="I525">
        <f t="shared" si="34"/>
        <v>-1.0668409990871741</v>
      </c>
      <c r="K525">
        <f t="shared" si="35"/>
        <v>-1.5616481596609268</v>
      </c>
      <c r="M525">
        <v>524</v>
      </c>
      <c r="N525">
        <v>-1.5616481596609268</v>
      </c>
    </row>
    <row r="526" spans="1:14">
      <c r="A526">
        <v>525</v>
      </c>
      <c r="B526">
        <v>813</v>
      </c>
      <c r="C526">
        <v>0</v>
      </c>
      <c r="D526">
        <v>0</v>
      </c>
      <c r="E526">
        <v>0</v>
      </c>
      <c r="G526" t="e">
        <f t="shared" si="32"/>
        <v>#NUM!</v>
      </c>
      <c r="H526" t="e">
        <f t="shared" si="33"/>
        <v>#NUM!</v>
      </c>
      <c r="I526" t="e">
        <f t="shared" si="34"/>
        <v>#NUM!</v>
      </c>
      <c r="K526" t="e">
        <f t="shared" si="35"/>
        <v>#NUM!</v>
      </c>
      <c r="M526">
        <v>525</v>
      </c>
      <c r="N526">
        <v>-3</v>
      </c>
    </row>
    <row r="527" spans="1:14">
      <c r="A527">
        <v>526</v>
      </c>
      <c r="B527">
        <v>649</v>
      </c>
      <c r="C527">
        <v>2</v>
      </c>
      <c r="D527">
        <v>2</v>
      </c>
      <c r="E527">
        <v>1</v>
      </c>
      <c r="G527">
        <f t="shared" si="32"/>
        <v>-2.3922046038787244</v>
      </c>
      <c r="H527">
        <f t="shared" si="33"/>
        <v>-2.3644114509017453</v>
      </c>
      <c r="I527">
        <f t="shared" si="34"/>
        <v>-2.0285926239865804</v>
      </c>
      <c r="K527">
        <f t="shared" si="35"/>
        <v>-2.261736226255683</v>
      </c>
      <c r="M527">
        <v>526</v>
      </c>
      <c r="N527">
        <v>-2.261736226255683</v>
      </c>
    </row>
    <row r="528" spans="1:14">
      <c r="A528">
        <v>527</v>
      </c>
      <c r="B528">
        <v>719</v>
      </c>
      <c r="C528">
        <v>1</v>
      </c>
      <c r="D528">
        <v>0</v>
      </c>
      <c r="E528">
        <v>0</v>
      </c>
      <c r="G528">
        <f t="shared" si="32"/>
        <v>-2.7377187931252189</v>
      </c>
      <c r="H528" t="e">
        <f t="shared" si="33"/>
        <v>#NUM!</v>
      </c>
      <c r="I528" t="e">
        <f t="shared" si="34"/>
        <v>#NUM!</v>
      </c>
      <c r="K528" t="e">
        <f t="shared" si="35"/>
        <v>#NUM!</v>
      </c>
      <c r="M528">
        <v>527</v>
      </c>
      <c r="N528">
        <v>-3</v>
      </c>
    </row>
    <row r="529" spans="1:14">
      <c r="A529">
        <v>528</v>
      </c>
      <c r="B529">
        <v>273</v>
      </c>
      <c r="C529">
        <v>2</v>
      </c>
      <c r="D529">
        <v>0</v>
      </c>
      <c r="E529">
        <v>0</v>
      </c>
      <c r="G529">
        <f t="shared" si="32"/>
        <v>-2.0161225541191112</v>
      </c>
      <c r="H529" t="e">
        <f t="shared" si="33"/>
        <v>#NUM!</v>
      </c>
      <c r="I529" t="e">
        <f t="shared" si="34"/>
        <v>#NUM!</v>
      </c>
      <c r="K529" t="e">
        <f t="shared" si="35"/>
        <v>#NUM!</v>
      </c>
      <c r="M529">
        <v>528</v>
      </c>
      <c r="N529">
        <v>-3</v>
      </c>
    </row>
    <row r="530" spans="1:14">
      <c r="A530">
        <v>529</v>
      </c>
      <c r="B530">
        <v>498</v>
      </c>
      <c r="C530">
        <v>0</v>
      </c>
      <c r="D530">
        <v>0</v>
      </c>
      <c r="E530">
        <v>0</v>
      </c>
      <c r="G530" t="e">
        <f t="shared" si="32"/>
        <v>#NUM!</v>
      </c>
      <c r="H530" t="e">
        <f t="shared" si="33"/>
        <v>#NUM!</v>
      </c>
      <c r="I530" t="e">
        <f t="shared" si="34"/>
        <v>#NUM!</v>
      </c>
      <c r="K530" t="e">
        <f t="shared" si="35"/>
        <v>#NUM!</v>
      </c>
      <c r="M530">
        <v>529</v>
      </c>
      <c r="N530">
        <v>-3</v>
      </c>
    </row>
    <row r="531" spans="1:14">
      <c r="A531">
        <v>530</v>
      </c>
      <c r="B531">
        <v>1541</v>
      </c>
      <c r="C531">
        <v>0</v>
      </c>
      <c r="D531">
        <v>0</v>
      </c>
      <c r="E531">
        <v>0</v>
      </c>
      <c r="G531" t="e">
        <f t="shared" si="32"/>
        <v>#NUM!</v>
      </c>
      <c r="H531" t="e">
        <f t="shared" si="33"/>
        <v>#NUM!</v>
      </c>
      <c r="I531" t="e">
        <f t="shared" si="34"/>
        <v>#NUM!</v>
      </c>
      <c r="K531" t="e">
        <f t="shared" si="35"/>
        <v>#NUM!</v>
      </c>
      <c r="M531">
        <v>530</v>
      </c>
      <c r="N531">
        <v>-3</v>
      </c>
    </row>
    <row r="532" spans="1:14">
      <c r="A532">
        <v>531</v>
      </c>
      <c r="B532">
        <v>1592</v>
      </c>
      <c r="C532">
        <v>4</v>
      </c>
      <c r="D532">
        <v>0</v>
      </c>
      <c r="E532">
        <v>7</v>
      </c>
      <c r="G532">
        <f t="shared" si="32"/>
        <v>-2.4808729748160241</v>
      </c>
      <c r="H532" t="e">
        <f t="shared" si="33"/>
        <v>#NUM!</v>
      </c>
      <c r="I532">
        <f t="shared" si="34"/>
        <v>-1.5731929505736042</v>
      </c>
      <c r="K532" t="e">
        <f t="shared" si="35"/>
        <v>#NUM!</v>
      </c>
      <c r="M532">
        <v>531</v>
      </c>
      <c r="N532">
        <v>-3</v>
      </c>
    </row>
    <row r="533" spans="1:14">
      <c r="A533">
        <v>532</v>
      </c>
      <c r="B533">
        <v>1906</v>
      </c>
      <c r="C533">
        <v>2</v>
      </c>
      <c r="D533">
        <v>0</v>
      </c>
      <c r="E533">
        <v>0</v>
      </c>
      <c r="G533">
        <f t="shared" si="32"/>
        <v>-2.8600828033806627</v>
      </c>
      <c r="H533" t="e">
        <f t="shared" si="33"/>
        <v>#NUM!</v>
      </c>
      <c r="I533" t="e">
        <f t="shared" si="34"/>
        <v>#NUM!</v>
      </c>
      <c r="K533" t="e">
        <f t="shared" si="35"/>
        <v>#NUM!</v>
      </c>
      <c r="M533">
        <v>532</v>
      </c>
      <c r="N533">
        <v>-3</v>
      </c>
    </row>
    <row r="534" spans="1:14">
      <c r="A534">
        <v>533</v>
      </c>
      <c r="B534">
        <v>397</v>
      </c>
      <c r="C534">
        <v>0</v>
      </c>
      <c r="D534">
        <v>0</v>
      </c>
      <c r="E534">
        <v>0</v>
      </c>
      <c r="G534" t="e">
        <f t="shared" si="32"/>
        <v>#NUM!</v>
      </c>
      <c r="H534" t="e">
        <f t="shared" si="33"/>
        <v>#NUM!</v>
      </c>
      <c r="I534" t="e">
        <f t="shared" si="34"/>
        <v>#NUM!</v>
      </c>
      <c r="K534" t="e">
        <f t="shared" si="35"/>
        <v>#NUM!</v>
      </c>
      <c r="M534">
        <v>533</v>
      </c>
      <c r="N534">
        <v>-3</v>
      </c>
    </row>
    <row r="535" spans="1:14">
      <c r="A535">
        <v>534</v>
      </c>
      <c r="B535">
        <v>1466</v>
      </c>
      <c r="C535">
        <v>233</v>
      </c>
      <c r="D535">
        <v>0</v>
      </c>
      <c r="E535">
        <v>0</v>
      </c>
      <c r="G535">
        <f t="shared" si="32"/>
        <v>-0.6797679520214267</v>
      </c>
      <c r="H535" t="e">
        <f t="shared" si="33"/>
        <v>#NUM!</v>
      </c>
      <c r="I535" t="e">
        <f t="shared" si="34"/>
        <v>#NUM!</v>
      </c>
      <c r="K535" t="e">
        <f t="shared" si="35"/>
        <v>#NUM!</v>
      </c>
      <c r="M535">
        <v>534</v>
      </c>
      <c r="N535">
        <v>-3</v>
      </c>
    </row>
    <row r="536" spans="1:14">
      <c r="A536">
        <v>535</v>
      </c>
      <c r="B536">
        <v>823</v>
      </c>
      <c r="C536">
        <v>6</v>
      </c>
      <c r="D536">
        <v>0</v>
      </c>
      <c r="E536">
        <v>2</v>
      </c>
      <c r="G536">
        <f t="shared" si="32"/>
        <v>-2.0182384875709625</v>
      </c>
      <c r="H536" t="e">
        <f t="shared" si="33"/>
        <v>#NUM!</v>
      </c>
      <c r="I536">
        <f t="shared" si="34"/>
        <v>-1.8307177667344996</v>
      </c>
      <c r="K536" t="e">
        <f t="shared" si="35"/>
        <v>#NUM!</v>
      </c>
      <c r="M536">
        <v>535</v>
      </c>
      <c r="N536">
        <v>-3</v>
      </c>
    </row>
    <row r="537" spans="1:14">
      <c r="A537">
        <v>536</v>
      </c>
      <c r="B537">
        <v>715</v>
      </c>
      <c r="C537">
        <v>0</v>
      </c>
      <c r="D537">
        <v>0</v>
      </c>
      <c r="E537">
        <v>0</v>
      </c>
      <c r="G537" t="e">
        <f t="shared" si="32"/>
        <v>#NUM!</v>
      </c>
      <c r="H537" t="e">
        <f t="shared" si="33"/>
        <v>#NUM!</v>
      </c>
      <c r="I537" t="e">
        <f t="shared" si="34"/>
        <v>#NUM!</v>
      </c>
      <c r="K537" t="e">
        <f t="shared" si="35"/>
        <v>#NUM!</v>
      </c>
      <c r="M537">
        <v>536</v>
      </c>
      <c r="N537">
        <v>-3</v>
      </c>
    </row>
    <row r="538" spans="1:14">
      <c r="A538">
        <v>537</v>
      </c>
      <c r="B538">
        <v>739</v>
      </c>
      <c r="C538">
        <v>0</v>
      </c>
      <c r="D538">
        <v>0</v>
      </c>
      <c r="E538">
        <v>0</v>
      </c>
      <c r="G538" t="e">
        <f t="shared" si="32"/>
        <v>#NUM!</v>
      </c>
      <c r="H538" t="e">
        <f t="shared" si="33"/>
        <v>#NUM!</v>
      </c>
      <c r="I538" t="e">
        <f t="shared" si="34"/>
        <v>#NUM!</v>
      </c>
      <c r="K538" t="e">
        <f t="shared" si="35"/>
        <v>#NUM!</v>
      </c>
      <c r="M538">
        <v>537</v>
      </c>
      <c r="N538">
        <v>-3</v>
      </c>
    </row>
    <row r="539" spans="1:14">
      <c r="A539">
        <v>538</v>
      </c>
      <c r="B539">
        <v>2810</v>
      </c>
      <c r="C539">
        <v>0</v>
      </c>
      <c r="D539">
        <v>3</v>
      </c>
      <c r="E539">
        <v>6</v>
      </c>
      <c r="G539" t="e">
        <f t="shared" si="32"/>
        <v>#NUM!</v>
      </c>
      <c r="H539">
        <f t="shared" si="33"/>
        <v>-2.8247818149507746</v>
      </c>
      <c r="I539">
        <f t="shared" si="34"/>
        <v>-1.8869029967076474</v>
      </c>
      <c r="K539" t="e">
        <f t="shared" si="35"/>
        <v>#NUM!</v>
      </c>
      <c r="M539">
        <v>538</v>
      </c>
      <c r="N539">
        <v>-3</v>
      </c>
    </row>
    <row r="540" spans="1:14">
      <c r="A540">
        <v>539</v>
      </c>
      <c r="B540">
        <v>1255</v>
      </c>
      <c r="C540">
        <v>14</v>
      </c>
      <c r="D540">
        <v>11</v>
      </c>
      <c r="E540">
        <v>61</v>
      </c>
      <c r="G540">
        <f t="shared" si="32"/>
        <v>-1.8335055928811554</v>
      </c>
      <c r="H540">
        <f t="shared" si="33"/>
        <v>-1.9104477904241892</v>
      </c>
      <c r="I540">
        <f t="shared" si="34"/>
        <v>-0.52966181799250101</v>
      </c>
      <c r="K540">
        <f t="shared" si="35"/>
        <v>-1.4245384004326151</v>
      </c>
      <c r="M540">
        <v>539</v>
      </c>
      <c r="N540">
        <v>-1.4245384004326151</v>
      </c>
    </row>
    <row r="541" spans="1:14">
      <c r="A541">
        <v>540</v>
      </c>
      <c r="B541">
        <v>1580</v>
      </c>
      <c r="C541">
        <v>0</v>
      </c>
      <c r="D541">
        <v>1</v>
      </c>
      <c r="E541">
        <v>0</v>
      </c>
      <c r="G541" t="e">
        <f t="shared" si="32"/>
        <v>#NUM!</v>
      </c>
      <c r="H541">
        <f t="shared" si="33"/>
        <v>-3.0518538367197801</v>
      </c>
      <c r="I541" t="e">
        <f t="shared" si="34"/>
        <v>#NUM!</v>
      </c>
      <c r="K541" t="e">
        <f t="shared" si="35"/>
        <v>#NUM!</v>
      </c>
      <c r="M541">
        <v>540</v>
      </c>
      <c r="N541">
        <v>-3</v>
      </c>
    </row>
    <row r="542" spans="1:14">
      <c r="A542">
        <v>541</v>
      </c>
      <c r="B542">
        <v>3830</v>
      </c>
      <c r="C542">
        <v>0</v>
      </c>
      <c r="D542">
        <v>0</v>
      </c>
      <c r="E542">
        <v>1</v>
      </c>
      <c r="G542" t="e">
        <f t="shared" si="32"/>
        <v>#NUM!</v>
      </c>
      <c r="H542" t="e">
        <f t="shared" si="33"/>
        <v>#NUM!</v>
      </c>
      <c r="I542">
        <f t="shared" si="34"/>
        <v>-2.7995467011548341</v>
      </c>
      <c r="K542" t="e">
        <f t="shared" si="35"/>
        <v>#NUM!</v>
      </c>
      <c r="M542">
        <v>541</v>
      </c>
      <c r="N542">
        <v>-3</v>
      </c>
    </row>
    <row r="543" spans="1:14">
      <c r="A543">
        <v>542</v>
      </c>
      <c r="B543">
        <v>1384</v>
      </c>
      <c r="C543">
        <v>0</v>
      </c>
      <c r="D543">
        <v>0</v>
      </c>
      <c r="E543">
        <v>0</v>
      </c>
      <c r="G543" t="e">
        <f t="shared" si="32"/>
        <v>#NUM!</v>
      </c>
      <c r="H543" t="e">
        <f t="shared" si="33"/>
        <v>#NUM!</v>
      </c>
      <c r="I543" t="e">
        <f t="shared" si="34"/>
        <v>#NUM!</v>
      </c>
      <c r="K543" t="e">
        <f t="shared" si="35"/>
        <v>#NUM!</v>
      </c>
      <c r="M543">
        <v>542</v>
      </c>
      <c r="N543">
        <v>-3</v>
      </c>
    </row>
    <row r="544" spans="1:14">
      <c r="A544">
        <v>543</v>
      </c>
      <c r="B544">
        <v>2669</v>
      </c>
      <c r="C544">
        <v>0</v>
      </c>
      <c r="D544">
        <v>0</v>
      </c>
      <c r="E544">
        <v>0</v>
      </c>
      <c r="G544" t="e">
        <f t="shared" si="32"/>
        <v>#NUM!</v>
      </c>
      <c r="H544" t="e">
        <f t="shared" si="33"/>
        <v>#NUM!</v>
      </c>
      <c r="I544" t="e">
        <f t="shared" si="34"/>
        <v>#NUM!</v>
      </c>
      <c r="K544" t="e">
        <f t="shared" si="35"/>
        <v>#NUM!</v>
      </c>
      <c r="M544">
        <v>543</v>
      </c>
      <c r="N544">
        <v>-3</v>
      </c>
    </row>
    <row r="545" spans="1:14">
      <c r="A545">
        <v>544</v>
      </c>
      <c r="B545">
        <v>1150</v>
      </c>
      <c r="C545">
        <v>0</v>
      </c>
      <c r="D545">
        <v>3</v>
      </c>
      <c r="E545">
        <v>7</v>
      </c>
      <c r="G545" t="e">
        <f t="shared" si="32"/>
        <v>#NUM!</v>
      </c>
      <c r="H545">
        <f t="shared" si="33"/>
        <v>-2.4367733353993066</v>
      </c>
      <c r="I545">
        <f t="shared" si="34"/>
        <v>-1.4319477275255659</v>
      </c>
      <c r="K545" t="e">
        <f t="shared" si="35"/>
        <v>#NUM!</v>
      </c>
      <c r="M545">
        <v>544</v>
      </c>
      <c r="N545">
        <v>-3</v>
      </c>
    </row>
    <row r="546" spans="1:14">
      <c r="A546">
        <v>545</v>
      </c>
      <c r="B546">
        <v>1046</v>
      </c>
      <c r="C546">
        <v>0</v>
      </c>
      <c r="D546">
        <v>0</v>
      </c>
      <c r="E546">
        <v>0</v>
      </c>
      <c r="G546" t="e">
        <f t="shared" si="32"/>
        <v>#NUM!</v>
      </c>
      <c r="H546" t="e">
        <f t="shared" si="33"/>
        <v>#NUM!</v>
      </c>
      <c r="I546" t="e">
        <f t="shared" si="34"/>
        <v>#NUM!</v>
      </c>
      <c r="K546" t="e">
        <f t="shared" si="35"/>
        <v>#NUM!</v>
      </c>
      <c r="M546">
        <v>545</v>
      </c>
      <c r="N546">
        <v>-3</v>
      </c>
    </row>
    <row r="547" spans="1:14">
      <c r="A547">
        <v>546</v>
      </c>
      <c r="B547">
        <v>1360</v>
      </c>
      <c r="C547">
        <v>1</v>
      </c>
      <c r="D547">
        <v>0</v>
      </c>
      <c r="E547">
        <v>1</v>
      </c>
      <c r="G547">
        <f t="shared" si="32"/>
        <v>-3.0145288111125539</v>
      </c>
      <c r="H547" t="e">
        <f t="shared" si="33"/>
        <v>#NUM!</v>
      </c>
      <c r="I547">
        <f t="shared" si="34"/>
        <v>-2.3498868355564282</v>
      </c>
      <c r="K547" t="e">
        <f t="shared" si="35"/>
        <v>#NUM!</v>
      </c>
      <c r="M547">
        <v>546</v>
      </c>
      <c r="N547">
        <v>-3</v>
      </c>
    </row>
    <row r="548" spans="1:14">
      <c r="A548">
        <v>547</v>
      </c>
      <c r="B548">
        <v>1822</v>
      </c>
      <c r="C548">
        <v>201</v>
      </c>
      <c r="D548">
        <v>0</v>
      </c>
      <c r="E548">
        <v>134</v>
      </c>
      <c r="G548">
        <f t="shared" si="32"/>
        <v>-0.83834221795882713</v>
      </c>
      <c r="H548" t="e">
        <f t="shared" si="33"/>
        <v>#NUM!</v>
      </c>
      <c r="I548">
        <f t="shared" si="34"/>
        <v>-0.34979150145838278</v>
      </c>
      <c r="K548" t="e">
        <f t="shared" si="35"/>
        <v>#NUM!</v>
      </c>
      <c r="M548">
        <v>547</v>
      </c>
      <c r="N548">
        <v>-3</v>
      </c>
    </row>
    <row r="549" spans="1:14">
      <c r="A549">
        <v>548</v>
      </c>
      <c r="B549">
        <v>1443</v>
      </c>
      <c r="C549">
        <v>1</v>
      </c>
      <c r="D549">
        <v>1</v>
      </c>
      <c r="E549">
        <v>0</v>
      </c>
      <c r="G549">
        <f t="shared" si="32"/>
        <v>-3.0402562338358305</v>
      </c>
      <c r="H549">
        <f t="shared" si="33"/>
        <v>-3.0124630808588515</v>
      </c>
      <c r="I549" t="e">
        <f t="shared" si="34"/>
        <v>#NUM!</v>
      </c>
      <c r="K549" t="e">
        <f t="shared" si="35"/>
        <v>#NUM!</v>
      </c>
      <c r="M549">
        <v>548</v>
      </c>
      <c r="N549">
        <v>-3</v>
      </c>
    </row>
    <row r="550" spans="1:14">
      <c r="A550">
        <v>549</v>
      </c>
      <c r="B550">
        <v>394</v>
      </c>
      <c r="C550">
        <v>0</v>
      </c>
      <c r="D550">
        <v>0</v>
      </c>
      <c r="E550">
        <v>2</v>
      </c>
      <c r="G550" t="e">
        <f t="shared" si="32"/>
        <v>#NUM!</v>
      </c>
      <c r="H550" t="e">
        <f t="shared" si="33"/>
        <v>#NUM!</v>
      </c>
      <c r="I550">
        <f t="shared" si="34"/>
        <v>-1.5108141533478039</v>
      </c>
      <c r="K550" t="e">
        <f t="shared" si="35"/>
        <v>#NUM!</v>
      </c>
      <c r="M550">
        <v>549</v>
      </c>
      <c r="N550">
        <v>-3</v>
      </c>
    </row>
    <row r="551" spans="1:14">
      <c r="A551">
        <v>550</v>
      </c>
      <c r="B551">
        <v>990</v>
      </c>
      <c r="C551">
        <v>0</v>
      </c>
      <c r="D551">
        <v>0</v>
      </c>
      <c r="E551">
        <v>3</v>
      </c>
      <c r="G551" t="e">
        <f t="shared" si="32"/>
        <v>#NUM!</v>
      </c>
      <c r="H551" t="e">
        <f t="shared" si="33"/>
        <v>#NUM!</v>
      </c>
      <c r="I551">
        <f t="shared" si="34"/>
        <v>-1.7348618670640985</v>
      </c>
      <c r="K551" t="e">
        <f t="shared" si="35"/>
        <v>#NUM!</v>
      </c>
      <c r="M551">
        <v>550</v>
      </c>
      <c r="N551">
        <v>-3</v>
      </c>
    </row>
    <row r="552" spans="1:14">
      <c r="A552">
        <v>551</v>
      </c>
      <c r="B552">
        <v>732</v>
      </c>
      <c r="C552">
        <v>0</v>
      </c>
      <c r="D552">
        <v>0</v>
      </c>
      <c r="E552">
        <v>0</v>
      </c>
      <c r="G552" t="e">
        <f t="shared" si="32"/>
        <v>#NUM!</v>
      </c>
      <c r="H552" t="e">
        <f t="shared" si="33"/>
        <v>#NUM!</v>
      </c>
      <c r="I552" t="e">
        <f t="shared" si="34"/>
        <v>#NUM!</v>
      </c>
      <c r="K552" t="e">
        <f t="shared" si="35"/>
        <v>#NUM!</v>
      </c>
      <c r="M552">
        <v>551</v>
      </c>
      <c r="N552">
        <v>-3</v>
      </c>
    </row>
    <row r="553" spans="1:14">
      <c r="A553">
        <v>552</v>
      </c>
      <c r="B553">
        <v>630</v>
      </c>
      <c r="C553">
        <v>0</v>
      </c>
      <c r="D553">
        <v>0</v>
      </c>
      <c r="E553">
        <v>0</v>
      </c>
      <c r="G553" t="e">
        <f t="shared" si="32"/>
        <v>#NUM!</v>
      </c>
      <c r="H553" t="e">
        <f t="shared" si="33"/>
        <v>#NUM!</v>
      </c>
      <c r="I553" t="e">
        <f t="shared" si="34"/>
        <v>#NUM!</v>
      </c>
      <c r="K553" t="e">
        <f t="shared" si="35"/>
        <v>#NUM!</v>
      </c>
      <c r="M553">
        <v>552</v>
      </c>
      <c r="N553">
        <v>-3</v>
      </c>
    </row>
    <row r="554" spans="1:14">
      <c r="A554">
        <v>553</v>
      </c>
      <c r="B554">
        <v>675</v>
      </c>
      <c r="C554">
        <v>0</v>
      </c>
      <c r="D554">
        <v>0</v>
      </c>
      <c r="E554">
        <v>0</v>
      </c>
      <c r="G554" t="e">
        <f t="shared" si="32"/>
        <v>#NUM!</v>
      </c>
      <c r="H554" t="e">
        <f t="shared" si="33"/>
        <v>#NUM!</v>
      </c>
      <c r="I554" t="e">
        <f t="shared" si="34"/>
        <v>#NUM!</v>
      </c>
      <c r="K554" t="e">
        <f t="shared" si="35"/>
        <v>#NUM!</v>
      </c>
      <c r="M554">
        <v>553</v>
      </c>
      <c r="N554">
        <v>-3</v>
      </c>
    </row>
    <row r="555" spans="1:14">
      <c r="A555">
        <v>554</v>
      </c>
      <c r="B555">
        <v>1059</v>
      </c>
      <c r="C555">
        <v>0</v>
      </c>
      <c r="D555">
        <v>0</v>
      </c>
      <c r="E555">
        <v>0</v>
      </c>
      <c r="G555" t="e">
        <f t="shared" si="32"/>
        <v>#NUM!</v>
      </c>
      <c r="H555" t="e">
        <f t="shared" si="33"/>
        <v>#NUM!</v>
      </c>
      <c r="I555" t="e">
        <f t="shared" si="34"/>
        <v>#NUM!</v>
      </c>
      <c r="K555" t="e">
        <f t="shared" si="35"/>
        <v>#NUM!</v>
      </c>
      <c r="M555">
        <v>554</v>
      </c>
      <c r="N555">
        <v>-3</v>
      </c>
    </row>
    <row r="556" spans="1:14">
      <c r="A556">
        <v>555</v>
      </c>
      <c r="B556">
        <v>1683</v>
      </c>
      <c r="C556">
        <v>76</v>
      </c>
      <c r="D556">
        <v>83</v>
      </c>
      <c r="E556">
        <v>146</v>
      </c>
      <c r="G556">
        <f t="shared" si="32"/>
        <v>-1.2262604264373689</v>
      </c>
      <c r="H556">
        <f t="shared" si="33"/>
        <v>-1.1602027733651072</v>
      </c>
      <c r="I556">
        <f t="shared" si="34"/>
        <v>-0.27807918737759763</v>
      </c>
      <c r="K556">
        <f t="shared" si="35"/>
        <v>-0.88818079572669129</v>
      </c>
      <c r="M556">
        <v>555</v>
      </c>
      <c r="N556">
        <v>-0.88818079572669129</v>
      </c>
    </row>
    <row r="557" spans="1:14">
      <c r="A557">
        <v>556</v>
      </c>
      <c r="B557">
        <v>2059</v>
      </c>
      <c r="C557">
        <v>0</v>
      </c>
      <c r="D557">
        <v>0</v>
      </c>
      <c r="E557">
        <v>0</v>
      </c>
      <c r="G557" t="e">
        <f t="shared" si="32"/>
        <v>#NUM!</v>
      </c>
      <c r="H557" t="e">
        <f t="shared" si="33"/>
        <v>#NUM!</v>
      </c>
      <c r="I557" t="e">
        <f t="shared" si="34"/>
        <v>#NUM!</v>
      </c>
      <c r="K557" t="e">
        <f t="shared" si="35"/>
        <v>#NUM!</v>
      </c>
      <c r="M557">
        <v>556</v>
      </c>
      <c r="N557">
        <v>-3</v>
      </c>
    </row>
    <row r="558" spans="1:14">
      <c r="A558">
        <v>557</v>
      </c>
      <c r="B558">
        <v>1178</v>
      </c>
      <c r="C558">
        <v>0</v>
      </c>
      <c r="D558">
        <v>37</v>
      </c>
      <c r="E558">
        <v>0</v>
      </c>
      <c r="G558" t="e">
        <f t="shared" si="32"/>
        <v>#NUM!</v>
      </c>
      <c r="H558">
        <f t="shared" si="33"/>
        <v>-1.3561403161494452</v>
      </c>
      <c r="I558" t="e">
        <f t="shared" si="34"/>
        <v>#NUM!</v>
      </c>
      <c r="K558" t="e">
        <f t="shared" si="35"/>
        <v>#NUM!</v>
      </c>
      <c r="M558">
        <v>557</v>
      </c>
      <c r="N558">
        <v>-3</v>
      </c>
    </row>
    <row r="559" spans="1:14">
      <c r="A559">
        <v>558</v>
      </c>
      <c r="B559">
        <v>956</v>
      </c>
      <c r="C559">
        <v>1</v>
      </c>
      <c r="D559">
        <v>0</v>
      </c>
      <c r="E559">
        <v>1</v>
      </c>
      <c r="G559">
        <f t="shared" si="32"/>
        <v>-2.8614477950184365</v>
      </c>
      <c r="H559" t="e">
        <f t="shared" si="33"/>
        <v>#NUM!</v>
      </c>
      <c r="I559">
        <f t="shared" si="34"/>
        <v>-2.1968058194623108</v>
      </c>
      <c r="K559" t="e">
        <f t="shared" si="35"/>
        <v>#NUM!</v>
      </c>
      <c r="M559">
        <v>558</v>
      </c>
      <c r="N559">
        <v>-3</v>
      </c>
    </row>
    <row r="560" spans="1:14">
      <c r="A560">
        <v>559</v>
      </c>
      <c r="B560">
        <v>899</v>
      </c>
      <c r="C560">
        <v>11</v>
      </c>
      <c r="D560">
        <v>0</v>
      </c>
      <c r="E560">
        <v>0</v>
      </c>
      <c r="G560">
        <f t="shared" si="32"/>
        <v>-1.7933569093173403</v>
      </c>
      <c r="H560" t="e">
        <f t="shared" si="33"/>
        <v>#NUM!</v>
      </c>
      <c r="I560" t="e">
        <f t="shared" si="34"/>
        <v>#NUM!</v>
      </c>
      <c r="K560" t="e">
        <f t="shared" si="35"/>
        <v>#NUM!</v>
      </c>
      <c r="M560">
        <v>559</v>
      </c>
      <c r="N560">
        <v>-3</v>
      </c>
    </row>
    <row r="561" spans="1:14">
      <c r="A561">
        <v>560</v>
      </c>
      <c r="B561">
        <v>1510</v>
      </c>
      <c r="C561">
        <v>0</v>
      </c>
      <c r="D561">
        <v>10</v>
      </c>
      <c r="E561">
        <v>109</v>
      </c>
      <c r="G561" t="e">
        <f t="shared" si="32"/>
        <v>#NUM!</v>
      </c>
      <c r="H561">
        <f t="shared" si="33"/>
        <v>-2.0321736970585267</v>
      </c>
      <c r="I561">
        <f t="shared" si="34"/>
        <v>-0.35789837653875689</v>
      </c>
      <c r="K561" t="e">
        <f t="shared" si="35"/>
        <v>#NUM!</v>
      </c>
      <c r="M561">
        <v>560</v>
      </c>
      <c r="N561">
        <v>-3</v>
      </c>
    </row>
    <row r="562" spans="1:14">
      <c r="A562">
        <v>561</v>
      </c>
      <c r="B562">
        <v>2413</v>
      </c>
      <c r="C562">
        <v>0</v>
      </c>
      <c r="D562">
        <v>6</v>
      </c>
      <c r="E562">
        <v>1</v>
      </c>
      <c r="G562" t="e">
        <f t="shared" si="32"/>
        <v>#NUM!</v>
      </c>
      <c r="H562">
        <f t="shared" si="33"/>
        <v>-2.4576028212904997</v>
      </c>
      <c r="I562">
        <f t="shared" si="34"/>
        <v>-2.5989052490949964</v>
      </c>
      <c r="K562" t="e">
        <f t="shared" si="35"/>
        <v>#NUM!</v>
      </c>
      <c r="M562">
        <v>561</v>
      </c>
      <c r="N562">
        <v>-3</v>
      </c>
    </row>
    <row r="563" spans="1:14">
      <c r="A563">
        <v>562</v>
      </c>
      <c r="B563">
        <v>181</v>
      </c>
      <c r="C563">
        <v>0</v>
      </c>
      <c r="D563">
        <v>0</v>
      </c>
      <c r="E563">
        <v>0</v>
      </c>
      <c r="G563" t="e">
        <f t="shared" si="32"/>
        <v>#NUM!</v>
      </c>
      <c r="H563" t="e">
        <f t="shared" si="33"/>
        <v>#NUM!</v>
      </c>
      <c r="I563" t="e">
        <f t="shared" si="34"/>
        <v>#NUM!</v>
      </c>
      <c r="K563" t="e">
        <f t="shared" si="35"/>
        <v>#NUM!</v>
      </c>
      <c r="M563">
        <v>562</v>
      </c>
      <c r="N563">
        <v>-3</v>
      </c>
    </row>
    <row r="564" spans="1:14">
      <c r="A564">
        <v>563</v>
      </c>
      <c r="B564">
        <v>294</v>
      </c>
      <c r="C564">
        <v>2</v>
      </c>
      <c r="D564">
        <v>0</v>
      </c>
      <c r="E564">
        <v>0</v>
      </c>
      <c r="G564">
        <f t="shared" si="32"/>
        <v>-2.0483072374905125</v>
      </c>
      <c r="H564" t="e">
        <f t="shared" si="33"/>
        <v>#NUM!</v>
      </c>
      <c r="I564" t="e">
        <f t="shared" si="34"/>
        <v>#NUM!</v>
      </c>
      <c r="K564" t="e">
        <f t="shared" si="35"/>
        <v>#NUM!</v>
      </c>
      <c r="M564">
        <v>563</v>
      </c>
      <c r="N564">
        <v>-3</v>
      </c>
    </row>
    <row r="565" spans="1:14">
      <c r="A565">
        <v>564</v>
      </c>
      <c r="B565">
        <v>3382</v>
      </c>
      <c r="C565">
        <v>0</v>
      </c>
      <c r="D565">
        <v>3</v>
      </c>
      <c r="E565">
        <v>1</v>
      </c>
      <c r="G565" t="e">
        <f t="shared" si="32"/>
        <v>#NUM!</v>
      </c>
      <c r="H565">
        <f t="shared" si="33"/>
        <v>-2.9052490983074177</v>
      </c>
      <c r="I565">
        <f t="shared" si="34"/>
        <v>-2.7455215304479337</v>
      </c>
      <c r="K565" t="e">
        <f t="shared" si="35"/>
        <v>#NUM!</v>
      </c>
      <c r="M565">
        <v>564</v>
      </c>
      <c r="N565">
        <v>-3</v>
      </c>
    </row>
    <row r="566" spans="1:14">
      <c r="A566">
        <v>565</v>
      </c>
      <c r="B566">
        <v>2067</v>
      </c>
      <c r="C566">
        <v>0</v>
      </c>
      <c r="D566">
        <v>1</v>
      </c>
      <c r="E566">
        <v>2</v>
      </c>
      <c r="G566" t="e">
        <f t="shared" si="32"/>
        <v>#NUM!</v>
      </c>
      <c r="H566">
        <f t="shared" si="33"/>
        <v>-3.1685372263926457</v>
      </c>
      <c r="I566">
        <f t="shared" si="34"/>
        <v>-2.2306584081495178</v>
      </c>
      <c r="K566" t="e">
        <f t="shared" si="35"/>
        <v>#NUM!</v>
      </c>
      <c r="M566">
        <v>565</v>
      </c>
      <c r="N566">
        <v>-3</v>
      </c>
    </row>
    <row r="567" spans="1:14">
      <c r="A567">
        <v>566</v>
      </c>
      <c r="B567">
        <v>707</v>
      </c>
      <c r="C567">
        <v>354</v>
      </c>
      <c r="D567">
        <v>0</v>
      </c>
      <c r="E567">
        <v>180</v>
      </c>
      <c r="G567">
        <f t="shared" si="32"/>
        <v>-0.1814060545134481</v>
      </c>
      <c r="H567" t="e">
        <f t="shared" si="33"/>
        <v>#NUM!</v>
      </c>
      <c r="I567">
        <f t="shared" si="34"/>
        <v>0.18950516412019569</v>
      </c>
      <c r="K567" t="e">
        <f t="shared" si="35"/>
        <v>#NUM!</v>
      </c>
      <c r="M567">
        <v>566</v>
      </c>
      <c r="N567">
        <v>-3</v>
      </c>
    </row>
    <row r="568" spans="1:14">
      <c r="A568">
        <v>567</v>
      </c>
      <c r="B568">
        <v>2580</v>
      </c>
      <c r="C568">
        <v>73</v>
      </c>
      <c r="D568">
        <v>0</v>
      </c>
      <c r="E568">
        <v>0</v>
      </c>
      <c r="G568">
        <f t="shared" si="32"/>
        <v>-1.4292867485851106</v>
      </c>
      <c r="H568" t="e">
        <f t="shared" si="33"/>
        <v>#NUM!</v>
      </c>
      <c r="I568" t="e">
        <f t="shared" si="34"/>
        <v>#NUM!</v>
      </c>
      <c r="K568" t="e">
        <f t="shared" si="35"/>
        <v>#NUM!</v>
      </c>
      <c r="M568">
        <v>567</v>
      </c>
      <c r="N568">
        <v>-3</v>
      </c>
    </row>
    <row r="569" spans="1:14">
      <c r="A569">
        <v>568</v>
      </c>
      <c r="B569">
        <v>1259</v>
      </c>
      <c r="C569">
        <v>0</v>
      </c>
      <c r="D569">
        <v>0</v>
      </c>
      <c r="E569">
        <v>0</v>
      </c>
      <c r="G569" t="e">
        <f t="shared" si="32"/>
        <v>#NUM!</v>
      </c>
      <c r="H569" t="e">
        <f t="shared" si="33"/>
        <v>#NUM!</v>
      </c>
      <c r="I569" t="e">
        <f t="shared" si="34"/>
        <v>#NUM!</v>
      </c>
      <c r="K569" t="e">
        <f t="shared" si="35"/>
        <v>#NUM!</v>
      </c>
      <c r="M569">
        <v>568</v>
      </c>
      <c r="N569">
        <v>-3</v>
      </c>
    </row>
    <row r="570" spans="1:14">
      <c r="A570">
        <v>569</v>
      </c>
      <c r="B570">
        <v>660</v>
      </c>
      <c r="C570">
        <v>0</v>
      </c>
      <c r="D570">
        <v>0</v>
      </c>
      <c r="E570">
        <v>0</v>
      </c>
      <c r="G570" t="e">
        <f t="shared" si="32"/>
        <v>#NUM!</v>
      </c>
      <c r="H570" t="e">
        <f t="shared" si="33"/>
        <v>#NUM!</v>
      </c>
      <c r="I570" t="e">
        <f t="shared" si="34"/>
        <v>#NUM!</v>
      </c>
      <c r="K570" t="e">
        <f t="shared" si="35"/>
        <v>#NUM!</v>
      </c>
      <c r="M570">
        <v>569</v>
      </c>
      <c r="N570">
        <v>-3</v>
      </c>
    </row>
    <row r="571" spans="1:14">
      <c r="A571">
        <v>570</v>
      </c>
      <c r="B571">
        <v>2222</v>
      </c>
      <c r="C571">
        <v>0</v>
      </c>
      <c r="D571">
        <v>1</v>
      </c>
      <c r="E571">
        <v>4</v>
      </c>
      <c r="G571" t="e">
        <f t="shared" si="32"/>
        <v>#NUM!</v>
      </c>
      <c r="H571">
        <f t="shared" si="33"/>
        <v>-3.1999408043702062</v>
      </c>
      <c r="I571">
        <f t="shared" si="34"/>
        <v>-1.9610319904630973</v>
      </c>
      <c r="K571" t="e">
        <f t="shared" si="35"/>
        <v>#NUM!</v>
      </c>
      <c r="M571">
        <v>570</v>
      </c>
      <c r="N571">
        <v>-3</v>
      </c>
    </row>
    <row r="572" spans="1:14">
      <c r="A572">
        <v>571</v>
      </c>
      <c r="B572">
        <v>2581</v>
      </c>
      <c r="C572">
        <v>14</v>
      </c>
      <c r="D572">
        <v>1</v>
      </c>
      <c r="E572">
        <v>26</v>
      </c>
      <c r="G572">
        <f t="shared" si="32"/>
        <v>-2.1466498716079672</v>
      </c>
      <c r="H572">
        <f t="shared" si="33"/>
        <v>-3.2649847543092263</v>
      </c>
      <c r="I572">
        <f t="shared" si="34"/>
        <v>-1.2131625837592619</v>
      </c>
      <c r="K572">
        <f t="shared" si="35"/>
        <v>-2.2082657365588183</v>
      </c>
      <c r="M572">
        <v>571</v>
      </c>
      <c r="N572">
        <v>-2.2082657365588183</v>
      </c>
    </row>
    <row r="573" spans="1:14">
      <c r="A573">
        <v>572</v>
      </c>
      <c r="B573">
        <v>660</v>
      </c>
      <c r="C573">
        <v>2</v>
      </c>
      <c r="D573">
        <v>18</v>
      </c>
      <c r="E573">
        <v>0</v>
      </c>
      <c r="G573">
        <f t="shared" si="32"/>
        <v>-2.399503842620224</v>
      </c>
      <c r="H573">
        <f t="shared" si="33"/>
        <v>-1.41746818020392</v>
      </c>
      <c r="I573" t="e">
        <f t="shared" si="34"/>
        <v>#NUM!</v>
      </c>
      <c r="K573" t="e">
        <f t="shared" si="35"/>
        <v>#NUM!</v>
      </c>
      <c r="M573">
        <v>572</v>
      </c>
      <c r="N573">
        <v>-3</v>
      </c>
    </row>
    <row r="574" spans="1:14">
      <c r="A574">
        <v>573</v>
      </c>
      <c r="B574">
        <v>584</v>
      </c>
      <c r="C574">
        <v>1</v>
      </c>
      <c r="D574">
        <v>0</v>
      </c>
      <c r="E574">
        <v>0</v>
      </c>
      <c r="G574">
        <f t="shared" si="32"/>
        <v>-2.6474027498547361</v>
      </c>
      <c r="H574" t="e">
        <f t="shared" si="33"/>
        <v>#NUM!</v>
      </c>
      <c r="I574" t="e">
        <f t="shared" si="34"/>
        <v>#NUM!</v>
      </c>
      <c r="K574" t="e">
        <f t="shared" si="35"/>
        <v>#NUM!</v>
      </c>
      <c r="M574">
        <v>573</v>
      </c>
      <c r="N574">
        <v>-3</v>
      </c>
    </row>
    <row r="575" spans="1:14">
      <c r="A575">
        <v>574</v>
      </c>
      <c r="B575">
        <v>1100</v>
      </c>
      <c r="C575">
        <v>3</v>
      </c>
      <c r="D575">
        <v>0</v>
      </c>
      <c r="E575">
        <v>4</v>
      </c>
      <c r="G575">
        <f t="shared" si="32"/>
        <v>-2.4452613331808992</v>
      </c>
      <c r="H575" t="e">
        <f t="shared" si="33"/>
        <v>#NUM!</v>
      </c>
      <c r="I575">
        <f t="shared" si="34"/>
        <v>-1.6556806210164738</v>
      </c>
      <c r="K575" t="e">
        <f t="shared" si="35"/>
        <v>#NUM!</v>
      </c>
      <c r="M575">
        <v>574</v>
      </c>
      <c r="N575">
        <v>-3</v>
      </c>
    </row>
    <row r="576" spans="1:14">
      <c r="A576">
        <v>575</v>
      </c>
      <c r="B576">
        <v>377</v>
      </c>
      <c r="C576">
        <v>0</v>
      </c>
      <c r="D576">
        <v>0</v>
      </c>
      <c r="E576">
        <v>1</v>
      </c>
      <c r="G576" t="e">
        <f t="shared" si="32"/>
        <v>#NUM!</v>
      </c>
      <c r="H576" t="e">
        <f t="shared" si="33"/>
        <v>#NUM!</v>
      </c>
      <c r="I576">
        <f t="shared" si="34"/>
        <v>-1.792689277392004</v>
      </c>
      <c r="K576" t="e">
        <f t="shared" si="35"/>
        <v>#NUM!</v>
      </c>
      <c r="M576">
        <v>575</v>
      </c>
      <c r="N576">
        <v>-3</v>
      </c>
    </row>
    <row r="577" spans="1:14">
      <c r="A577">
        <v>576</v>
      </c>
      <c r="B577">
        <v>3500</v>
      </c>
      <c r="C577">
        <v>0</v>
      </c>
      <c r="D577">
        <v>0</v>
      </c>
      <c r="E577">
        <v>0</v>
      </c>
      <c r="G577" t="e">
        <f t="shared" si="32"/>
        <v>#NUM!</v>
      </c>
      <c r="H577" t="e">
        <f t="shared" si="33"/>
        <v>#NUM!</v>
      </c>
      <c r="I577" t="e">
        <f t="shared" si="34"/>
        <v>#NUM!</v>
      </c>
      <c r="K577" t="e">
        <f t="shared" si="35"/>
        <v>#NUM!</v>
      </c>
      <c r="M577">
        <v>576</v>
      </c>
      <c r="N577">
        <v>-3</v>
      </c>
    </row>
    <row r="578" spans="1:14">
      <c r="A578">
        <v>577</v>
      </c>
      <c r="B578">
        <v>826</v>
      </c>
      <c r="C578">
        <v>1</v>
      </c>
      <c r="D578">
        <v>20</v>
      </c>
      <c r="E578">
        <v>0</v>
      </c>
      <c r="G578">
        <f t="shared" si="32"/>
        <v>-2.7979699500627189</v>
      </c>
      <c r="H578">
        <f t="shared" si="33"/>
        <v>-1.4691468014217584</v>
      </c>
      <c r="I578" t="e">
        <f t="shared" si="34"/>
        <v>#NUM!</v>
      </c>
      <c r="K578" t="e">
        <f t="shared" si="35"/>
        <v>#NUM!</v>
      </c>
      <c r="M578">
        <v>577</v>
      </c>
      <c r="N578">
        <v>-3</v>
      </c>
    </row>
    <row r="579" spans="1:14">
      <c r="A579">
        <v>578</v>
      </c>
      <c r="B579">
        <v>1607</v>
      </c>
      <c r="C579">
        <v>0</v>
      </c>
      <c r="D579">
        <v>0</v>
      </c>
      <c r="E579">
        <v>0</v>
      </c>
      <c r="G579" t="e">
        <f t="shared" ref="G579:G642" si="36">LOG10(C579/B579)-LOG10(28875/37978)</f>
        <v>#NUM!</v>
      </c>
      <c r="H579" t="e">
        <f t="shared" ref="H579:H642" si="37">LOG10(D579/B579)-LOG10(27085/37978)</f>
        <v>#NUM!</v>
      </c>
      <c r="I579" t="e">
        <f t="shared" ref="I579:I642" si="38">LOG10(E579/B579)-LOG10(6250/37978)</f>
        <v>#NUM!</v>
      </c>
      <c r="K579" t="e">
        <f t="shared" ref="K579:K642" si="39">AVERAGE(G579:I579)</f>
        <v>#NUM!</v>
      </c>
      <c r="M579">
        <v>578</v>
      </c>
      <c r="N579">
        <v>-3</v>
      </c>
    </row>
    <row r="580" spans="1:14">
      <c r="A580">
        <v>579</v>
      </c>
      <c r="B580">
        <v>1012</v>
      </c>
      <c r="C580">
        <v>19</v>
      </c>
      <c r="D580">
        <v>0</v>
      </c>
      <c r="E580">
        <v>0</v>
      </c>
      <c r="G580">
        <f t="shared" si="36"/>
        <v>-1.6074168142932879</v>
      </c>
      <c r="H580" t="e">
        <f t="shared" si="37"/>
        <v>#NUM!</v>
      </c>
      <c r="I580" t="e">
        <f t="shared" si="38"/>
        <v>#NUM!</v>
      </c>
      <c r="K580" t="e">
        <f t="shared" si="39"/>
        <v>#NUM!</v>
      </c>
      <c r="M580">
        <v>579</v>
      </c>
      <c r="N580">
        <v>-3</v>
      </c>
    </row>
    <row r="581" spans="1:14">
      <c r="A581">
        <v>580</v>
      </c>
      <c r="B581">
        <v>1884</v>
      </c>
      <c r="C581">
        <v>0</v>
      </c>
      <c r="D581">
        <v>0</v>
      </c>
      <c r="E581">
        <v>0</v>
      </c>
      <c r="G581" t="e">
        <f t="shared" si="36"/>
        <v>#NUM!</v>
      </c>
      <c r="H581" t="e">
        <f t="shared" si="37"/>
        <v>#NUM!</v>
      </c>
      <c r="I581" t="e">
        <f t="shared" si="38"/>
        <v>#NUM!</v>
      </c>
      <c r="K581" t="e">
        <f t="shared" si="39"/>
        <v>#NUM!</v>
      </c>
      <c r="M581">
        <v>580</v>
      </c>
      <c r="N581">
        <v>-3</v>
      </c>
    </row>
    <row r="582" spans="1:14">
      <c r="A582">
        <v>581</v>
      </c>
      <c r="B582">
        <v>981</v>
      </c>
      <c r="C582">
        <v>2</v>
      </c>
      <c r="D582">
        <v>0</v>
      </c>
      <c r="E582">
        <v>29</v>
      </c>
      <c r="G582">
        <f t="shared" si="36"/>
        <v>-2.5716289144583038</v>
      </c>
      <c r="H582" t="e">
        <f t="shared" si="37"/>
        <v>#NUM!</v>
      </c>
      <c r="I582">
        <f t="shared" si="38"/>
        <v>-0.74561893666720347</v>
      </c>
      <c r="K582" t="e">
        <f t="shared" si="39"/>
        <v>#NUM!</v>
      </c>
      <c r="M582">
        <v>581</v>
      </c>
      <c r="N582">
        <v>-3</v>
      </c>
    </row>
    <row r="583" spans="1:14">
      <c r="A583">
        <v>582</v>
      </c>
      <c r="B583">
        <v>413</v>
      </c>
      <c r="C583">
        <v>0</v>
      </c>
      <c r="D583">
        <v>0</v>
      </c>
      <c r="E583">
        <v>0</v>
      </c>
      <c r="G583" t="e">
        <f t="shared" si="36"/>
        <v>#NUM!</v>
      </c>
      <c r="H583" t="e">
        <f t="shared" si="37"/>
        <v>#NUM!</v>
      </c>
      <c r="I583" t="e">
        <f t="shared" si="38"/>
        <v>#NUM!</v>
      </c>
      <c r="K583" t="e">
        <f t="shared" si="39"/>
        <v>#NUM!</v>
      </c>
      <c r="M583">
        <v>582</v>
      </c>
      <c r="N583">
        <v>-3</v>
      </c>
    </row>
    <row r="584" spans="1:14">
      <c r="A584">
        <v>583</v>
      </c>
      <c r="B584">
        <v>1032</v>
      </c>
      <c r="C584">
        <v>2</v>
      </c>
      <c r="D584">
        <v>93</v>
      </c>
      <c r="E584">
        <v>0</v>
      </c>
      <c r="G584">
        <f t="shared" si="36"/>
        <v>-2.5936396043695478</v>
      </c>
      <c r="H584">
        <f t="shared" si="37"/>
        <v>-0.89839349850261485</v>
      </c>
      <c r="I584" t="e">
        <f t="shared" si="38"/>
        <v>#NUM!</v>
      </c>
      <c r="K584" t="e">
        <f t="shared" si="39"/>
        <v>#NUM!</v>
      </c>
      <c r="M584">
        <v>583</v>
      </c>
      <c r="N584">
        <v>-3</v>
      </c>
    </row>
    <row r="585" spans="1:14">
      <c r="A585">
        <v>584</v>
      </c>
      <c r="B585">
        <v>390</v>
      </c>
      <c r="C585">
        <v>0</v>
      </c>
      <c r="D585">
        <v>0</v>
      </c>
      <c r="E585">
        <v>0</v>
      </c>
      <c r="G585" t="e">
        <f t="shared" si="36"/>
        <v>#NUM!</v>
      </c>
      <c r="H585" t="e">
        <f t="shared" si="37"/>
        <v>#NUM!</v>
      </c>
      <c r="I585" t="e">
        <f t="shared" si="38"/>
        <v>#NUM!</v>
      </c>
      <c r="K585" t="e">
        <f t="shared" si="39"/>
        <v>#NUM!</v>
      </c>
      <c r="M585">
        <v>584</v>
      </c>
      <c r="N585">
        <v>-3</v>
      </c>
    </row>
    <row r="586" spans="1:14">
      <c r="A586">
        <v>585</v>
      </c>
      <c r="B586">
        <v>812</v>
      </c>
      <c r="C586">
        <v>2</v>
      </c>
      <c r="D586">
        <v>0</v>
      </c>
      <c r="E586">
        <v>0</v>
      </c>
      <c r="G586">
        <f t="shared" si="36"/>
        <v>-2.4895159363195307</v>
      </c>
      <c r="H586" t="e">
        <f t="shared" si="37"/>
        <v>#NUM!</v>
      </c>
      <c r="I586" t="e">
        <f t="shared" si="38"/>
        <v>#NUM!</v>
      </c>
      <c r="K586" t="e">
        <f t="shared" si="39"/>
        <v>#NUM!</v>
      </c>
      <c r="M586">
        <v>585</v>
      </c>
      <c r="N586">
        <v>-3</v>
      </c>
    </row>
    <row r="587" spans="1:14">
      <c r="A587">
        <v>586</v>
      </c>
      <c r="B587">
        <v>533</v>
      </c>
      <c r="C587">
        <v>0</v>
      </c>
      <c r="D587">
        <v>0</v>
      </c>
      <c r="E587">
        <v>54</v>
      </c>
      <c r="G587" t="e">
        <f t="shared" si="36"/>
        <v>#NUM!</v>
      </c>
      <c r="H587" t="e">
        <f t="shared" si="37"/>
        <v>#NUM!</v>
      </c>
      <c r="I587">
        <f t="shared" si="38"/>
        <v>-0.21068137638981477</v>
      </c>
      <c r="K587" t="e">
        <f t="shared" si="39"/>
        <v>#NUM!</v>
      </c>
      <c r="M587">
        <v>586</v>
      </c>
      <c r="N587">
        <v>-3</v>
      </c>
    </row>
    <row r="588" spans="1:14">
      <c r="A588">
        <v>587</v>
      </c>
      <c r="B588">
        <v>589</v>
      </c>
      <c r="C588">
        <v>1</v>
      </c>
      <c r="D588">
        <v>0</v>
      </c>
      <c r="E588">
        <v>0</v>
      </c>
      <c r="G588">
        <f t="shared" si="36"/>
        <v>-2.651105197529438</v>
      </c>
      <c r="H588" t="e">
        <f t="shared" si="37"/>
        <v>#NUM!</v>
      </c>
      <c r="I588" t="e">
        <f t="shared" si="38"/>
        <v>#NUM!</v>
      </c>
      <c r="K588" t="e">
        <f t="shared" si="39"/>
        <v>#NUM!</v>
      </c>
      <c r="M588">
        <v>587</v>
      </c>
      <c r="N588">
        <v>-3</v>
      </c>
    </row>
    <row r="589" spans="1:14">
      <c r="A589">
        <v>588</v>
      </c>
      <c r="B589">
        <v>346</v>
      </c>
      <c r="C589">
        <v>0</v>
      </c>
      <c r="D589">
        <v>0</v>
      </c>
      <c r="E589">
        <v>0</v>
      </c>
      <c r="G589" t="e">
        <f t="shared" si="36"/>
        <v>#NUM!</v>
      </c>
      <c r="H589" t="e">
        <f t="shared" si="37"/>
        <v>#NUM!</v>
      </c>
      <c r="I589" t="e">
        <f t="shared" si="38"/>
        <v>#NUM!</v>
      </c>
      <c r="K589" t="e">
        <f t="shared" si="39"/>
        <v>#NUM!</v>
      </c>
      <c r="M589">
        <v>588</v>
      </c>
      <c r="N589">
        <v>-3</v>
      </c>
    </row>
    <row r="590" spans="1:14">
      <c r="A590">
        <v>589</v>
      </c>
      <c r="B590">
        <v>1202</v>
      </c>
      <c r="C590">
        <v>0</v>
      </c>
      <c r="D590">
        <v>0</v>
      </c>
      <c r="E590">
        <v>0</v>
      </c>
      <c r="G590" t="e">
        <f t="shared" si="36"/>
        <v>#NUM!</v>
      </c>
      <c r="H590" t="e">
        <f t="shared" si="37"/>
        <v>#NUM!</v>
      </c>
      <c r="I590" t="e">
        <f t="shared" si="38"/>
        <v>#NUM!</v>
      </c>
      <c r="K590" t="e">
        <f t="shared" si="39"/>
        <v>#NUM!</v>
      </c>
      <c r="M590">
        <v>589</v>
      </c>
      <c r="N590">
        <v>-3</v>
      </c>
    </row>
    <row r="591" spans="1:14">
      <c r="A591">
        <v>590</v>
      </c>
      <c r="B591">
        <v>1400</v>
      </c>
      <c r="C591">
        <v>12</v>
      </c>
      <c r="D591">
        <v>1</v>
      </c>
      <c r="E591">
        <v>0</v>
      </c>
      <c r="G591">
        <f t="shared" si="36"/>
        <v>-1.9479366923729495</v>
      </c>
      <c r="H591">
        <f t="shared" si="37"/>
        <v>-2.9993247854435956</v>
      </c>
      <c r="I591" t="e">
        <f t="shared" si="38"/>
        <v>#NUM!</v>
      </c>
      <c r="K591" t="e">
        <f t="shared" si="39"/>
        <v>#NUM!</v>
      </c>
      <c r="M591">
        <v>590</v>
      </c>
      <c r="N591">
        <v>-3</v>
      </c>
    </row>
    <row r="592" spans="1:14">
      <c r="A592">
        <v>591</v>
      </c>
      <c r="B592">
        <v>1520</v>
      </c>
      <c r="C592">
        <v>50</v>
      </c>
      <c r="D592">
        <v>0</v>
      </c>
      <c r="E592">
        <v>1</v>
      </c>
      <c r="G592">
        <f t="shared" si="36"/>
        <v>-1.3638634863510903</v>
      </c>
      <c r="H592" t="e">
        <f t="shared" si="37"/>
        <v>#NUM!</v>
      </c>
      <c r="I592">
        <f t="shared" si="38"/>
        <v>-2.3981915151309838</v>
      </c>
      <c r="K592" t="e">
        <f t="shared" si="39"/>
        <v>#NUM!</v>
      </c>
      <c r="M592">
        <v>591</v>
      </c>
      <c r="N592">
        <v>-3</v>
      </c>
    </row>
    <row r="593" spans="1:14">
      <c r="A593">
        <v>592</v>
      </c>
      <c r="B593">
        <v>1419</v>
      </c>
      <c r="C593">
        <v>268</v>
      </c>
      <c r="D593">
        <v>0</v>
      </c>
      <c r="E593">
        <v>159</v>
      </c>
      <c r="G593">
        <f t="shared" si="36"/>
        <v>-0.60483750417102178</v>
      </c>
      <c r="H593" t="e">
        <f t="shared" si="37"/>
        <v>#NUM!</v>
      </c>
      <c r="I593">
        <f t="shared" si="38"/>
        <v>-0.1669331983232335</v>
      </c>
      <c r="K593" t="e">
        <f t="shared" si="39"/>
        <v>#NUM!</v>
      </c>
      <c r="M593">
        <v>592</v>
      </c>
      <c r="N593">
        <v>-3</v>
      </c>
    </row>
    <row r="594" spans="1:14">
      <c r="A594">
        <v>593</v>
      </c>
      <c r="B594">
        <v>1940</v>
      </c>
      <c r="C594">
        <v>4</v>
      </c>
      <c r="D594">
        <v>0</v>
      </c>
      <c r="E594">
        <v>1</v>
      </c>
      <c r="G594">
        <f t="shared" si="36"/>
        <v>-2.5667316413446</v>
      </c>
      <c r="H594" t="e">
        <f t="shared" si="37"/>
        <v>#NUM!</v>
      </c>
      <c r="I594">
        <f t="shared" si="38"/>
        <v>-2.5041496571164368</v>
      </c>
      <c r="K594" t="e">
        <f t="shared" si="39"/>
        <v>#NUM!</v>
      </c>
      <c r="M594">
        <v>593</v>
      </c>
      <c r="N594">
        <v>-3</v>
      </c>
    </row>
    <row r="595" spans="1:14">
      <c r="A595">
        <v>594</v>
      </c>
      <c r="B595">
        <v>1681</v>
      </c>
      <c r="C595">
        <v>0</v>
      </c>
      <c r="D595">
        <v>0</v>
      </c>
      <c r="E595">
        <v>1</v>
      </c>
      <c r="G595" t="e">
        <f t="shared" si="36"/>
        <v>#NUM!</v>
      </c>
      <c r="H595" t="e">
        <f t="shared" si="37"/>
        <v>#NUM!</v>
      </c>
      <c r="I595">
        <f t="shared" si="38"/>
        <v>-2.4419156406256821</v>
      </c>
      <c r="K595" t="e">
        <f t="shared" si="39"/>
        <v>#NUM!</v>
      </c>
      <c r="M595">
        <v>594</v>
      </c>
      <c r="N595">
        <v>-3</v>
      </c>
    </row>
    <row r="596" spans="1:14">
      <c r="A596">
        <v>595</v>
      </c>
      <c r="B596">
        <v>543</v>
      </c>
      <c r="C596">
        <v>0</v>
      </c>
      <c r="D596">
        <v>0</v>
      </c>
      <c r="E596">
        <v>0</v>
      </c>
      <c r="G596" t="e">
        <f t="shared" si="36"/>
        <v>#NUM!</v>
      </c>
      <c r="H596" t="e">
        <f t="shared" si="37"/>
        <v>#NUM!</v>
      </c>
      <c r="I596" t="e">
        <f t="shared" si="38"/>
        <v>#NUM!</v>
      </c>
      <c r="K596" t="e">
        <f t="shared" si="39"/>
        <v>#NUM!</v>
      </c>
      <c r="M596">
        <v>595</v>
      </c>
      <c r="N596">
        <v>-3</v>
      </c>
    </row>
    <row r="597" spans="1:14">
      <c r="A597">
        <v>596</v>
      </c>
      <c r="B597">
        <v>960</v>
      </c>
      <c r="C597">
        <v>0</v>
      </c>
      <c r="D597">
        <v>0</v>
      </c>
      <c r="E597">
        <v>0</v>
      </c>
      <c r="G597" t="e">
        <f t="shared" si="36"/>
        <v>#NUM!</v>
      </c>
      <c r="H597" t="e">
        <f t="shared" si="37"/>
        <v>#NUM!</v>
      </c>
      <c r="I597" t="e">
        <f t="shared" si="38"/>
        <v>#NUM!</v>
      </c>
      <c r="K597" t="e">
        <f t="shared" si="39"/>
        <v>#NUM!</v>
      </c>
      <c r="M597">
        <v>596</v>
      </c>
      <c r="N597">
        <v>-3</v>
      </c>
    </row>
    <row r="598" spans="1:14">
      <c r="A598">
        <v>597</v>
      </c>
      <c r="B598">
        <v>1510</v>
      </c>
      <c r="C598">
        <v>96</v>
      </c>
      <c r="D598">
        <v>226</v>
      </c>
      <c r="E598">
        <v>89</v>
      </c>
      <c r="G598">
        <f t="shared" si="36"/>
        <v>-1.0776956169959375</v>
      </c>
      <c r="H598">
        <f t="shared" si="37"/>
        <v>-0.67806525791112582</v>
      </c>
      <c r="I598">
        <f t="shared" si="38"/>
        <v>-0.44593486783446767</v>
      </c>
      <c r="K598">
        <f t="shared" si="39"/>
        <v>-0.73389858091384363</v>
      </c>
      <c r="M598">
        <v>597</v>
      </c>
      <c r="N598">
        <v>-0.73389858091384363</v>
      </c>
    </row>
    <row r="599" spans="1:14">
      <c r="A599">
        <v>598</v>
      </c>
      <c r="B599">
        <v>921</v>
      </c>
      <c r="C599">
        <v>143</v>
      </c>
      <c r="D599">
        <v>402</v>
      </c>
      <c r="E599">
        <v>2432</v>
      </c>
      <c r="G599">
        <f t="shared" si="36"/>
        <v>-0.68991349547412362</v>
      </c>
      <c r="H599">
        <f t="shared" si="37"/>
        <v>-0.21323032687773616</v>
      </c>
      <c r="I599">
        <f t="shared" si="38"/>
        <v>1.2053560132176373</v>
      </c>
      <c r="K599">
        <f t="shared" si="39"/>
        <v>0.10073739695525918</v>
      </c>
      <c r="M599">
        <v>598</v>
      </c>
      <c r="N599">
        <v>0.10073739695525918</v>
      </c>
    </row>
    <row r="600" spans="1:14">
      <c r="A600">
        <v>599</v>
      </c>
      <c r="B600">
        <v>1368</v>
      </c>
      <c r="C600">
        <v>1113</v>
      </c>
      <c r="D600">
        <v>6</v>
      </c>
      <c r="E600">
        <v>44</v>
      </c>
      <c r="G600">
        <f t="shared" si="36"/>
        <v>2.9419164208274382E-2</v>
      </c>
      <c r="H600">
        <f t="shared" si="37"/>
        <v>-2.2111315967658114</v>
      </c>
      <c r="I600">
        <f t="shared" si="38"/>
        <v>-0.70898134808412094</v>
      </c>
      <c r="K600">
        <f t="shared" si="39"/>
        <v>-0.96356459354721924</v>
      </c>
      <c r="M600">
        <v>599</v>
      </c>
      <c r="N600">
        <v>-0.96356459354721924</v>
      </c>
    </row>
    <row r="601" spans="1:14">
      <c r="A601">
        <v>600</v>
      </c>
      <c r="B601">
        <v>2692</v>
      </c>
      <c r="C601">
        <v>1642</v>
      </c>
      <c r="D601">
        <v>27</v>
      </c>
      <c r="E601">
        <v>1317</v>
      </c>
      <c r="G601">
        <f t="shared" si="36"/>
        <v>-9.5691805510853753E-2</v>
      </c>
      <c r="H601">
        <f t="shared" si="37"/>
        <v>-1.8519080411583093</v>
      </c>
      <c r="I601">
        <f t="shared" si="38"/>
        <v>0.47316279222363355</v>
      </c>
      <c r="K601">
        <f t="shared" si="39"/>
        <v>-0.49147901814850981</v>
      </c>
      <c r="M601">
        <v>600</v>
      </c>
      <c r="N601">
        <v>-0.49147901814850981</v>
      </c>
    </row>
    <row r="602" spans="1:14">
      <c r="A602">
        <v>601</v>
      </c>
      <c r="B602">
        <v>2183</v>
      </c>
      <c r="C602">
        <v>143</v>
      </c>
      <c r="D602">
        <v>744</v>
      </c>
      <c r="E602">
        <v>280</v>
      </c>
      <c r="G602">
        <f t="shared" si="36"/>
        <v>-1.0647076009864138</v>
      </c>
      <c r="H602">
        <f t="shared" si="37"/>
        <v>-0.32067754992861786</v>
      </c>
      <c r="I602">
        <f t="shared" si="38"/>
        <v>-0.10824363155313099</v>
      </c>
      <c r="K602">
        <f t="shared" si="39"/>
        <v>-0.49787626082272091</v>
      </c>
      <c r="M602">
        <v>601</v>
      </c>
      <c r="N602">
        <v>-0.49787626082272091</v>
      </c>
    </row>
    <row r="603" spans="1:14">
      <c r="A603">
        <v>602</v>
      </c>
      <c r="B603">
        <v>1259</v>
      </c>
      <c r="C603">
        <v>572</v>
      </c>
      <c r="D603">
        <v>6</v>
      </c>
      <c r="E603">
        <v>36</v>
      </c>
      <c r="G603">
        <f t="shared" si="36"/>
        <v>-0.22361960405717496</v>
      </c>
      <c r="H603">
        <f t="shared" si="37"/>
        <v>-2.1750712294895762</v>
      </c>
      <c r="I603">
        <f t="shared" si="38"/>
        <v>-0.76007115652678636</v>
      </c>
      <c r="K603">
        <f t="shared" si="39"/>
        <v>-1.0529206633578456</v>
      </c>
      <c r="M603">
        <v>602</v>
      </c>
      <c r="N603">
        <v>-1.0529206633578456</v>
      </c>
    </row>
    <row r="604" spans="1:14">
      <c r="A604">
        <v>603</v>
      </c>
      <c r="B604">
        <v>2604</v>
      </c>
      <c r="C604">
        <v>3074</v>
      </c>
      <c r="D604">
        <v>204</v>
      </c>
      <c r="E604">
        <v>4205</v>
      </c>
      <c r="G604">
        <f t="shared" si="36"/>
        <v>0.19107298052523541</v>
      </c>
      <c r="H604">
        <f t="shared" si="37"/>
        <v>-0.95920756223561299</v>
      </c>
      <c r="I604">
        <f t="shared" si="38"/>
        <v>0.99177709305156569</v>
      </c>
      <c r="K604">
        <f t="shared" si="39"/>
        <v>7.4547503780396054E-2</v>
      </c>
      <c r="M604">
        <v>603</v>
      </c>
      <c r="N604">
        <v>7.4547503780396054E-2</v>
      </c>
    </row>
    <row r="605" spans="1:14">
      <c r="A605">
        <v>604</v>
      </c>
      <c r="B605">
        <v>1799</v>
      </c>
      <c r="C605">
        <v>4084</v>
      </c>
      <c r="D605">
        <v>2172</v>
      </c>
      <c r="E605">
        <v>4643</v>
      </c>
      <c r="G605">
        <f t="shared" si="36"/>
        <v>0.47506466732698471</v>
      </c>
      <c r="H605">
        <f t="shared" si="37"/>
        <v>0.22863190780590059</v>
      </c>
      <c r="I605">
        <f t="shared" si="38"/>
        <v>1.1954195931344118</v>
      </c>
      <c r="K605">
        <f t="shared" si="39"/>
        <v>0.63303872275576578</v>
      </c>
      <c r="M605">
        <v>604</v>
      </c>
      <c r="N605">
        <v>0.63303872275576578</v>
      </c>
    </row>
    <row r="606" spans="1:14">
      <c r="A606">
        <v>605</v>
      </c>
      <c r="B606">
        <v>1231</v>
      </c>
      <c r="C606">
        <v>1055</v>
      </c>
      <c r="D606">
        <v>4</v>
      </c>
      <c r="E606">
        <v>103</v>
      </c>
      <c r="G606">
        <f t="shared" si="36"/>
        <v>5.2004503960058637E-2</v>
      </c>
      <c r="H606">
        <f t="shared" si="37"/>
        <v>-2.3413948113687115</v>
      </c>
      <c r="I606">
        <f t="shared" si="38"/>
        <v>-0.29376875541235514</v>
      </c>
      <c r="K606">
        <f t="shared" si="39"/>
        <v>-0.86105302094033609</v>
      </c>
      <c r="M606">
        <v>605</v>
      </c>
      <c r="N606">
        <v>-0.86105302094033609</v>
      </c>
    </row>
    <row r="607" spans="1:14">
      <c r="A607">
        <v>606</v>
      </c>
      <c r="B607">
        <v>2042</v>
      </c>
      <c r="C607">
        <v>574</v>
      </c>
      <c r="D607">
        <v>95</v>
      </c>
      <c r="E607">
        <v>2489</v>
      </c>
      <c r="G607">
        <f t="shared" si="36"/>
        <v>-0.43213374809525446</v>
      </c>
      <c r="H607">
        <f t="shared" si="37"/>
        <v>-1.185528882227401</v>
      </c>
      <c r="I607">
        <f t="shared" si="38"/>
        <v>0.86962123167149086</v>
      </c>
      <c r="K607">
        <f t="shared" si="39"/>
        <v>-0.24934713288372157</v>
      </c>
      <c r="M607">
        <v>606</v>
      </c>
      <c r="N607">
        <v>-0.24934713288372157</v>
      </c>
    </row>
    <row r="608" spans="1:14">
      <c r="A608">
        <v>607</v>
      </c>
      <c r="B608">
        <v>1480</v>
      </c>
      <c r="C608">
        <v>1044</v>
      </c>
      <c r="D608">
        <v>700</v>
      </c>
      <c r="E608">
        <v>259</v>
      </c>
      <c r="G608">
        <f t="shared" si="36"/>
        <v>-3.2551119471050563E-2</v>
      </c>
      <c r="H608">
        <f t="shared" si="37"/>
        <v>-0.1783604251460579</v>
      </c>
      <c r="I608">
        <f t="shared" si="38"/>
        <v>2.669012150008343E-2</v>
      </c>
      <c r="K608">
        <f t="shared" si="39"/>
        <v>-6.1407141039008351E-2</v>
      </c>
      <c r="M608">
        <v>607</v>
      </c>
      <c r="N608">
        <v>-6.1407141039008351E-2</v>
      </c>
    </row>
    <row r="609" spans="1:14">
      <c r="A609">
        <v>608</v>
      </c>
      <c r="B609">
        <v>453</v>
      </c>
      <c r="C609">
        <v>2126</v>
      </c>
      <c r="D609">
        <v>20</v>
      </c>
      <c r="E609">
        <v>931</v>
      </c>
      <c r="G609">
        <f t="shared" si="36"/>
        <v>0.79047515543210956</v>
      </c>
      <c r="H609">
        <f t="shared" si="37"/>
        <v>-1.208264956114208</v>
      </c>
      <c r="I609">
        <f t="shared" si="38"/>
        <v>1.0965035517822999</v>
      </c>
      <c r="K609">
        <f t="shared" si="39"/>
        <v>0.22623791703340046</v>
      </c>
      <c r="M609">
        <v>608</v>
      </c>
      <c r="N609">
        <v>0.22623791703340046</v>
      </c>
    </row>
    <row r="610" spans="1:14">
      <c r="A610">
        <v>609</v>
      </c>
      <c r="B610">
        <v>2747</v>
      </c>
      <c r="C610">
        <v>96</v>
      </c>
      <c r="D610">
        <v>13</v>
      </c>
      <c r="E610">
        <v>1384</v>
      </c>
      <c r="G610">
        <f t="shared" si="36"/>
        <v>-1.3375773291233299</v>
      </c>
      <c r="H610">
        <f t="shared" si="37"/>
        <v>-2.1781120568790828</v>
      </c>
      <c r="I610">
        <f t="shared" si="38"/>
        <v>0.48592950351396608</v>
      </c>
      <c r="K610">
        <f t="shared" si="39"/>
        <v>-1.0099199608294822</v>
      </c>
      <c r="M610">
        <v>609</v>
      </c>
      <c r="N610">
        <v>-1.0099199608294822</v>
      </c>
    </row>
    <row r="611" spans="1:14">
      <c r="A611">
        <v>610</v>
      </c>
      <c r="B611">
        <v>1016</v>
      </c>
      <c r="C611">
        <v>17</v>
      </c>
      <c r="D611">
        <v>1</v>
      </c>
      <c r="E611">
        <v>2659</v>
      </c>
      <c r="G611">
        <f t="shared" si="36"/>
        <v>-1.6574346893119629</v>
      </c>
      <c r="H611">
        <f t="shared" si="37"/>
        <v>-2.860090457713258</v>
      </c>
      <c r="I611">
        <f t="shared" si="38"/>
        <v>1.2014767021974557</v>
      </c>
      <c r="K611">
        <f t="shared" si="39"/>
        <v>-1.1053494816092553</v>
      </c>
      <c r="M611">
        <v>610</v>
      </c>
      <c r="N611">
        <v>-1.1053494816092553</v>
      </c>
    </row>
    <row r="612" spans="1:14">
      <c r="A612">
        <v>611</v>
      </c>
      <c r="B612">
        <v>791</v>
      </c>
      <c r="C612">
        <v>1653</v>
      </c>
      <c r="D612">
        <v>18</v>
      </c>
      <c r="E612">
        <v>253</v>
      </c>
      <c r="G612">
        <f t="shared" si="36"/>
        <v>0.43910646733143438</v>
      </c>
      <c r="H612">
        <f t="shared" si="37"/>
        <v>-1.4961007281597278</v>
      </c>
      <c r="I612">
        <f t="shared" si="38"/>
        <v>0.28859611049193035</v>
      </c>
      <c r="K612">
        <f t="shared" si="39"/>
        <v>-0.25613271677878768</v>
      </c>
      <c r="M612">
        <v>611</v>
      </c>
      <c r="N612">
        <v>-0.25613271677878768</v>
      </c>
    </row>
    <row r="613" spans="1:14">
      <c r="A613">
        <v>612</v>
      </c>
      <c r="B613">
        <v>1969</v>
      </c>
      <c r="C613">
        <v>16</v>
      </c>
      <c r="D613">
        <v>1</v>
      </c>
      <c r="E613">
        <v>6</v>
      </c>
      <c r="G613">
        <f t="shared" si="36"/>
        <v>-1.9711156362245301</v>
      </c>
      <c r="H613">
        <f t="shared" si="37"/>
        <v>-3.1474424659034757</v>
      </c>
      <c r="I613">
        <f t="shared" si="38"/>
        <v>-1.7324423929406854</v>
      </c>
      <c r="K613">
        <f t="shared" si="39"/>
        <v>-2.2836668316895636</v>
      </c>
      <c r="M613">
        <v>612</v>
      </c>
      <c r="N613">
        <v>-2.2836668316895636</v>
      </c>
    </row>
    <row r="614" spans="1:14">
      <c r="A614">
        <v>613</v>
      </c>
      <c r="B614">
        <v>2407</v>
      </c>
      <c r="C614">
        <v>165</v>
      </c>
      <c r="D614">
        <v>90</v>
      </c>
      <c r="E614">
        <v>2300</v>
      </c>
      <c r="G614">
        <f t="shared" si="36"/>
        <v>-1.0449820488034602</v>
      </c>
      <c r="H614">
        <f t="shared" si="37"/>
        <v>-1.2804303306010625</v>
      </c>
      <c r="I614">
        <f t="shared" si="38"/>
        <v>0.76390381855635192</v>
      </c>
      <c r="K614">
        <f t="shared" si="39"/>
        <v>-0.52050285361605697</v>
      </c>
      <c r="M614">
        <v>613</v>
      </c>
      <c r="N614">
        <v>-0.52050285361605697</v>
      </c>
    </row>
    <row r="615" spans="1:14">
      <c r="A615">
        <v>614</v>
      </c>
      <c r="B615">
        <v>1436</v>
      </c>
      <c r="C615">
        <v>929</v>
      </c>
      <c r="D615">
        <v>19</v>
      </c>
      <c r="E615">
        <v>32</v>
      </c>
      <c r="G615">
        <f t="shared" si="36"/>
        <v>-7.0128628654976308E-2</v>
      </c>
      <c r="H615">
        <f t="shared" si="37"/>
        <v>-1.73159758871881</v>
      </c>
      <c r="I615">
        <f t="shared" si="38"/>
        <v>-0.86835238877258658</v>
      </c>
      <c r="K615">
        <f t="shared" si="39"/>
        <v>-0.8900262020487909</v>
      </c>
      <c r="M615">
        <v>614</v>
      </c>
      <c r="N615">
        <v>-0.8900262020487909</v>
      </c>
    </row>
    <row r="616" spans="1:14">
      <c r="A616">
        <v>615</v>
      </c>
      <c r="B616">
        <v>1454</v>
      </c>
      <c r="C616">
        <v>40</v>
      </c>
      <c r="D616">
        <v>857</v>
      </c>
      <c r="E616">
        <v>27</v>
      </c>
      <c r="G616">
        <f t="shared" si="36"/>
        <v>-1.4414943179373931</v>
      </c>
      <c r="H616">
        <f t="shared" si="37"/>
        <v>-8.2780334365178176E-2</v>
      </c>
      <c r="I616">
        <f t="shared" si="38"/>
        <v>-0.9475485695502428</v>
      </c>
      <c r="K616">
        <f t="shared" si="39"/>
        <v>-0.82394107395093796</v>
      </c>
      <c r="M616">
        <v>615</v>
      </c>
      <c r="N616">
        <v>-0.82394107395093796</v>
      </c>
    </row>
    <row r="617" spans="1:14">
      <c r="A617">
        <v>616</v>
      </c>
      <c r="B617">
        <v>3612</v>
      </c>
      <c r="C617">
        <v>360</v>
      </c>
      <c r="D617">
        <v>511</v>
      </c>
      <c r="E617">
        <v>20541</v>
      </c>
      <c r="G617">
        <f t="shared" si="36"/>
        <v>-0.88243514361651754</v>
      </c>
      <c r="H617">
        <f t="shared" si="37"/>
        <v>-0.70252359127211272</v>
      </c>
      <c r="I617">
        <f t="shared" si="38"/>
        <v>1.5385259137593019</v>
      </c>
      <c r="K617">
        <f t="shared" si="39"/>
        <v>-1.5477607043109446E-2</v>
      </c>
      <c r="M617">
        <v>616</v>
      </c>
      <c r="N617">
        <v>-1.5477607043109446E-2</v>
      </c>
    </row>
    <row r="618" spans="1:14">
      <c r="A618">
        <v>617</v>
      </c>
      <c r="B618">
        <v>1229</v>
      </c>
      <c r="C618">
        <v>1098</v>
      </c>
      <c r="D618">
        <v>30</v>
      </c>
      <c r="E618">
        <v>335</v>
      </c>
      <c r="G618">
        <f t="shared" si="36"/>
        <v>7.0060554485282506E-2</v>
      </c>
      <c r="H618">
        <f t="shared" si="37"/>
        <v>-1.4656273779321491</v>
      </c>
      <c r="I618">
        <f t="shared" si="38"/>
        <v>0.21914499696418022</v>
      </c>
      <c r="K618">
        <f t="shared" si="39"/>
        <v>-0.39214060882756208</v>
      </c>
      <c r="M618">
        <v>617</v>
      </c>
      <c r="N618">
        <v>-0.39214060882756208</v>
      </c>
    </row>
    <row r="619" spans="1:14">
      <c r="A619">
        <v>618</v>
      </c>
      <c r="B619">
        <v>3198</v>
      </c>
      <c r="C619">
        <v>745</v>
      </c>
      <c r="D619">
        <v>5289</v>
      </c>
      <c r="E619">
        <v>1037</v>
      </c>
      <c r="G619">
        <f t="shared" si="36"/>
        <v>-0.51371208940425961</v>
      </c>
      <c r="H619">
        <f t="shared" si="37"/>
        <v>0.36529835784341119</v>
      </c>
      <c r="I619">
        <f t="shared" si="38"/>
        <v>0.29455236979261412</v>
      </c>
      <c r="K619">
        <f t="shared" si="39"/>
        <v>4.8712879410588571E-2</v>
      </c>
      <c r="M619">
        <v>618</v>
      </c>
      <c r="N619">
        <v>4.8712879410588571E-2</v>
      </c>
    </row>
    <row r="620" spans="1:14">
      <c r="A620">
        <v>619</v>
      </c>
      <c r="B620">
        <v>1407</v>
      </c>
      <c r="C620">
        <v>159</v>
      </c>
      <c r="D620">
        <v>49</v>
      </c>
      <c r="E620">
        <v>1275</v>
      </c>
      <c r="G620">
        <f t="shared" si="36"/>
        <v>-0.82788687585663079</v>
      </c>
      <c r="H620">
        <f t="shared" si="37"/>
        <v>-1.3112947671715895</v>
      </c>
      <c r="I620">
        <f t="shared" si="38"/>
        <v>0.74086816014901724</v>
      </c>
      <c r="K620">
        <f t="shared" si="39"/>
        <v>-0.46610449429306766</v>
      </c>
      <c r="M620">
        <v>619</v>
      </c>
      <c r="N620">
        <v>-0.46610449429306766</v>
      </c>
    </row>
    <row r="621" spans="1:14">
      <c r="A621">
        <v>620</v>
      </c>
      <c r="B621">
        <v>939</v>
      </c>
      <c r="C621">
        <v>429</v>
      </c>
      <c r="D621">
        <v>10</v>
      </c>
      <c r="E621">
        <v>5096</v>
      </c>
      <c r="G621">
        <f t="shared" si="36"/>
        <v>-0.22119820282372321</v>
      </c>
      <c r="H621">
        <f t="shared" si="37"/>
        <v>-1.8258623420314684</v>
      </c>
      <c r="I621">
        <f t="shared" si="38"/>
        <v>1.518215899874972</v>
      </c>
      <c r="K621">
        <f t="shared" si="39"/>
        <v>-0.17628154832673992</v>
      </c>
      <c r="M621">
        <v>620</v>
      </c>
      <c r="N621">
        <v>-0.17628154832673992</v>
      </c>
    </row>
    <row r="622" spans="1:14">
      <c r="A622">
        <v>621</v>
      </c>
      <c r="B622">
        <v>2325</v>
      </c>
      <c r="C622">
        <v>179</v>
      </c>
      <c r="D622">
        <v>47</v>
      </c>
      <c r="E622">
        <v>196</v>
      </c>
      <c r="G622">
        <f t="shared" si="36"/>
        <v>-0.99455982898841599</v>
      </c>
      <c r="H622">
        <f t="shared" si="37"/>
        <v>-1.5475218490556126</v>
      </c>
      <c r="I622">
        <f t="shared" si="38"/>
        <v>-0.29051481305570759</v>
      </c>
      <c r="K622">
        <f t="shared" si="39"/>
        <v>-0.9441988303665787</v>
      </c>
      <c r="M622">
        <v>621</v>
      </c>
      <c r="N622">
        <v>-0.9441988303665787</v>
      </c>
    </row>
    <row r="623" spans="1:14">
      <c r="A623">
        <v>622</v>
      </c>
      <c r="B623">
        <v>2335</v>
      </c>
      <c r="C623">
        <v>527</v>
      </c>
      <c r="D623">
        <v>291</v>
      </c>
      <c r="E623">
        <v>1473</v>
      </c>
      <c r="G623">
        <f t="shared" si="36"/>
        <v>-0.52746617243192095</v>
      </c>
      <c r="H623">
        <f t="shared" si="37"/>
        <v>-0.75759064568158097</v>
      </c>
      <c r="I623">
        <f t="shared" si="38"/>
        <v>0.58356793475428892</v>
      </c>
      <c r="K623">
        <f t="shared" si="39"/>
        <v>-0.23382962778640429</v>
      </c>
      <c r="M623">
        <v>622</v>
      </c>
      <c r="N623">
        <v>-0.23382962778640429</v>
      </c>
    </row>
    <row r="624" spans="1:14">
      <c r="A624">
        <v>623</v>
      </c>
      <c r="B624">
        <v>1527</v>
      </c>
      <c r="C624">
        <v>366</v>
      </c>
      <c r="D624">
        <v>47</v>
      </c>
      <c r="E624">
        <v>8180</v>
      </c>
      <c r="G624">
        <f t="shared" si="36"/>
        <v>-0.50134785440434715</v>
      </c>
      <c r="H624">
        <f t="shared" si="37"/>
        <v>-1.3649379288860612</v>
      </c>
      <c r="I624">
        <f t="shared" si="38"/>
        <v>1.512566339428691</v>
      </c>
      <c r="K624">
        <f t="shared" si="39"/>
        <v>-0.11790648128723917</v>
      </c>
      <c r="M624">
        <v>623</v>
      </c>
      <c r="N624">
        <v>-0.11790648128723917</v>
      </c>
    </row>
    <row r="625" spans="1:14">
      <c r="A625">
        <v>624</v>
      </c>
      <c r="B625">
        <v>979</v>
      </c>
      <c r="C625">
        <v>92</v>
      </c>
      <c r="D625">
        <v>918</v>
      </c>
      <c r="E625">
        <v>683</v>
      </c>
      <c r="G625">
        <f t="shared" si="36"/>
        <v>-0.90798476719991916</v>
      </c>
      <c r="H625">
        <f t="shared" si="37"/>
        <v>0.11886323963274728</v>
      </c>
      <c r="I625">
        <f t="shared" si="38"/>
        <v>0.62729008469218372</v>
      </c>
      <c r="K625">
        <f t="shared" si="39"/>
        <v>-5.3943814291662728E-2</v>
      </c>
      <c r="M625">
        <v>624</v>
      </c>
      <c r="N625">
        <v>-5.3943814291662728E-2</v>
      </c>
    </row>
    <row r="626" spans="1:14">
      <c r="A626">
        <v>625</v>
      </c>
      <c r="B626">
        <v>3173</v>
      </c>
      <c r="C626">
        <v>3568</v>
      </c>
      <c r="D626">
        <v>33</v>
      </c>
      <c r="E626">
        <v>704</v>
      </c>
      <c r="G626">
        <f t="shared" si="36"/>
        <v>0.16996487086133671</v>
      </c>
      <c r="H626">
        <f t="shared" si="37"/>
        <v>-1.8361528819878821</v>
      </c>
      <c r="I626">
        <f t="shared" si="38"/>
        <v>0.12975465985548895</v>
      </c>
      <c r="K626">
        <f t="shared" si="39"/>
        <v>-0.5121444504236855</v>
      </c>
      <c r="M626">
        <v>625</v>
      </c>
      <c r="N626">
        <v>-0.5121444504236855</v>
      </c>
    </row>
    <row r="627" spans="1:14">
      <c r="A627">
        <v>626</v>
      </c>
      <c r="B627">
        <v>1204</v>
      </c>
      <c r="C627">
        <v>114</v>
      </c>
      <c r="D627">
        <v>53</v>
      </c>
      <c r="E627">
        <v>173</v>
      </c>
      <c r="G627">
        <f t="shared" si="36"/>
        <v>-0.90471153832766971</v>
      </c>
      <c r="H627">
        <f t="shared" si="37"/>
        <v>-1.2095473670863741</v>
      </c>
      <c r="I627">
        <f t="shared" si="38"/>
        <v>-5.8928310979221354E-2</v>
      </c>
      <c r="K627">
        <f t="shared" si="39"/>
        <v>-0.72439573879775498</v>
      </c>
      <c r="M627">
        <v>626</v>
      </c>
      <c r="N627">
        <v>-0.72439573879775498</v>
      </c>
    </row>
    <row r="628" spans="1:14">
      <c r="A628">
        <v>627</v>
      </c>
      <c r="B628">
        <v>949</v>
      </c>
      <c r="C628">
        <v>50</v>
      </c>
      <c r="D628">
        <v>41</v>
      </c>
      <c r="E628">
        <v>189</v>
      </c>
      <c r="G628">
        <f t="shared" si="36"/>
        <v>-1.1592861108336103</v>
      </c>
      <c r="H628">
        <f t="shared" si="37"/>
        <v>-1.2176791054729146</v>
      </c>
      <c r="I628">
        <f t="shared" si="38"/>
        <v>8.2847664559740464E-2</v>
      </c>
      <c r="K628">
        <f t="shared" si="39"/>
        <v>-0.76470585058226137</v>
      </c>
      <c r="M628">
        <v>627</v>
      </c>
      <c r="N628">
        <v>-0.76470585058226137</v>
      </c>
    </row>
    <row r="629" spans="1:14">
      <c r="A629">
        <v>628</v>
      </c>
      <c r="B629">
        <v>1407</v>
      </c>
      <c r="C629">
        <v>3174</v>
      </c>
      <c r="D629">
        <v>83</v>
      </c>
      <c r="E629">
        <v>686</v>
      </c>
      <c r="G629">
        <f t="shared" si="36"/>
        <v>0.47232292224174716</v>
      </c>
      <c r="H629">
        <f t="shared" si="37"/>
        <v>-1.0824127548240292</v>
      </c>
      <c r="I629">
        <f t="shared" si="38"/>
        <v>0.47168209108579501</v>
      </c>
      <c r="K629">
        <f t="shared" si="39"/>
        <v>-4.6135913832162367E-2</v>
      </c>
      <c r="M629">
        <v>628</v>
      </c>
      <c r="N629">
        <v>-4.6135913832162367E-2</v>
      </c>
    </row>
    <row r="630" spans="1:14">
      <c r="A630">
        <v>629</v>
      </c>
      <c r="B630">
        <v>1213</v>
      </c>
      <c r="C630">
        <v>180</v>
      </c>
      <c r="D630">
        <v>0</v>
      </c>
      <c r="E630">
        <v>11</v>
      </c>
      <c r="G630">
        <f t="shared" si="36"/>
        <v>-0.70957819850560344</v>
      </c>
      <c r="H630" t="e">
        <f t="shared" si="37"/>
        <v>#NUM!</v>
      </c>
      <c r="I630">
        <f t="shared" si="38"/>
        <v>-1.2588160428945587</v>
      </c>
      <c r="K630" t="e">
        <f t="shared" si="39"/>
        <v>#NUM!</v>
      </c>
      <c r="M630">
        <v>629</v>
      </c>
      <c r="N630">
        <v>-3</v>
      </c>
    </row>
    <row r="631" spans="1:14">
      <c r="A631">
        <v>630</v>
      </c>
      <c r="B631">
        <v>4126</v>
      </c>
      <c r="C631">
        <v>146</v>
      </c>
      <c r="D631">
        <v>11</v>
      </c>
      <c r="E631">
        <v>345</v>
      </c>
      <c r="G631">
        <f t="shared" si="36"/>
        <v>-1.3321662705950321</v>
      </c>
      <c r="H631">
        <f t="shared" si="37"/>
        <v>-2.4273332882442653</v>
      </c>
      <c r="I631">
        <f t="shared" si="38"/>
        <v>-0.2940580557500696</v>
      </c>
      <c r="K631">
        <f t="shared" si="39"/>
        <v>-1.3511858715297891</v>
      </c>
      <c r="M631">
        <v>630</v>
      </c>
      <c r="N631">
        <v>-1.3511858715297891</v>
      </c>
    </row>
    <row r="632" spans="1:14">
      <c r="A632">
        <v>631</v>
      </c>
      <c r="B632">
        <v>3008</v>
      </c>
      <c r="C632">
        <v>2581</v>
      </c>
      <c r="D632">
        <v>2201</v>
      </c>
      <c r="E632">
        <v>169</v>
      </c>
      <c r="G632">
        <f t="shared" si="36"/>
        <v>5.252026988192772E-2</v>
      </c>
      <c r="H632">
        <f t="shared" si="37"/>
        <v>1.1145460868386026E-2</v>
      </c>
      <c r="I632">
        <f t="shared" si="38"/>
        <v>-0.46673905449214215</v>
      </c>
      <c r="K632">
        <f t="shared" si="39"/>
        <v>-0.13435777458060946</v>
      </c>
      <c r="M632">
        <v>631</v>
      </c>
      <c r="N632">
        <v>-0.13435777458060946</v>
      </c>
    </row>
    <row r="633" spans="1:14">
      <c r="A633">
        <v>632</v>
      </c>
      <c r="B633">
        <v>2980</v>
      </c>
      <c r="C633">
        <v>682</v>
      </c>
      <c r="D633">
        <v>152</v>
      </c>
      <c r="E633">
        <v>8971</v>
      </c>
      <c r="G633">
        <f t="shared" si="36"/>
        <v>-0.52142179216211293</v>
      </c>
      <c r="H633">
        <f t="shared" si="37"/>
        <v>-1.1455694258968401</v>
      </c>
      <c r="I633">
        <f t="shared" si="38"/>
        <v>1.2622766654132354</v>
      </c>
      <c r="K633">
        <f t="shared" si="39"/>
        <v>-0.13490485088190587</v>
      </c>
      <c r="M633">
        <v>632</v>
      </c>
      <c r="N633">
        <v>-0.13490485088190587</v>
      </c>
    </row>
    <row r="634" spans="1:14">
      <c r="A634">
        <v>633</v>
      </c>
      <c r="B634">
        <v>2279</v>
      </c>
      <c r="C634">
        <v>488</v>
      </c>
      <c r="D634">
        <v>585</v>
      </c>
      <c r="E634">
        <v>2896</v>
      </c>
      <c r="G634">
        <f t="shared" si="36"/>
        <v>-0.55031440592000158</v>
      </c>
      <c r="H634">
        <f t="shared" si="37"/>
        <v>-0.44378520886355244</v>
      </c>
      <c r="I634">
        <f t="shared" si="38"/>
        <v>0.88770630515852267</v>
      </c>
      <c r="K634">
        <f t="shared" si="39"/>
        <v>-3.5464436541677115E-2</v>
      </c>
      <c r="M634">
        <v>633</v>
      </c>
      <c r="N634">
        <v>-3.5464436541677115E-2</v>
      </c>
    </row>
    <row r="635" spans="1:14">
      <c r="A635">
        <v>634</v>
      </c>
      <c r="B635">
        <v>1072</v>
      </c>
      <c r="C635">
        <v>0</v>
      </c>
      <c r="D635">
        <v>0</v>
      </c>
      <c r="E635">
        <v>0</v>
      </c>
      <c r="G635" t="e">
        <f t="shared" si="36"/>
        <v>#NUM!</v>
      </c>
      <c r="H635" t="e">
        <f t="shared" si="37"/>
        <v>#NUM!</v>
      </c>
      <c r="I635" t="e">
        <f t="shared" si="38"/>
        <v>#NUM!</v>
      </c>
      <c r="K635" t="e">
        <f t="shared" si="39"/>
        <v>#NUM!</v>
      </c>
      <c r="M635">
        <v>634</v>
      </c>
      <c r="N635">
        <v>-3</v>
      </c>
    </row>
    <row r="636" spans="1:14">
      <c r="A636">
        <v>635</v>
      </c>
      <c r="B636">
        <v>2564</v>
      </c>
      <c r="C636">
        <v>3482</v>
      </c>
      <c r="D636">
        <v>406</v>
      </c>
      <c r="E636">
        <v>2018</v>
      </c>
      <c r="G636">
        <f t="shared" si="36"/>
        <v>0.25192084319219604</v>
      </c>
      <c r="H636">
        <f t="shared" si="37"/>
        <v>-0.65358873703494302</v>
      </c>
      <c r="I636">
        <f t="shared" si="38"/>
        <v>0.67965521386790084</v>
      </c>
      <c r="K636">
        <f t="shared" si="39"/>
        <v>9.2662440008384625E-2</v>
      </c>
      <c r="M636">
        <v>635</v>
      </c>
      <c r="N636">
        <v>9.2662440008384625E-2</v>
      </c>
    </row>
    <row r="637" spans="1:14">
      <c r="A637">
        <v>636</v>
      </c>
      <c r="B637">
        <v>1891</v>
      </c>
      <c r="C637">
        <v>12046</v>
      </c>
      <c r="D637">
        <v>16</v>
      </c>
      <c r="E637">
        <v>3349</v>
      </c>
      <c r="G637">
        <f t="shared" si="36"/>
        <v>0.92316142724718542</v>
      </c>
      <c r="H637">
        <f t="shared" si="37"/>
        <v>-1.9257682959544722</v>
      </c>
      <c r="I637">
        <f t="shared" si="38"/>
        <v>1.0318756915086162</v>
      </c>
      <c r="K637">
        <f t="shared" si="39"/>
        <v>9.7562742671098625E-3</v>
      </c>
      <c r="M637">
        <v>636</v>
      </c>
      <c r="N637">
        <v>9.7562742671098625E-3</v>
      </c>
    </row>
    <row r="638" spans="1:14">
      <c r="A638">
        <v>637</v>
      </c>
      <c r="B638">
        <v>747</v>
      </c>
      <c r="C638">
        <v>587</v>
      </c>
      <c r="D638">
        <v>28</v>
      </c>
      <c r="E638">
        <v>344</v>
      </c>
      <c r="G638">
        <f t="shared" si="36"/>
        <v>1.4327596689879166E-2</v>
      </c>
      <c r="H638">
        <f t="shared" si="37"/>
        <v>-1.2793593202385369</v>
      </c>
      <c r="I638">
        <f t="shared" si="38"/>
        <v>0.44688991356992036</v>
      </c>
      <c r="K638">
        <f t="shared" si="39"/>
        <v>-0.2727139366595791</v>
      </c>
      <c r="M638">
        <v>637</v>
      </c>
      <c r="N638">
        <v>-0.2727139366595791</v>
      </c>
    </row>
    <row r="639" spans="1:14">
      <c r="A639">
        <v>638</v>
      </c>
      <c r="B639">
        <v>2393</v>
      </c>
      <c r="C639">
        <v>4620</v>
      </c>
      <c r="D639">
        <v>5314</v>
      </c>
      <c r="E639">
        <v>2301</v>
      </c>
      <c r="G639">
        <f t="shared" si="36"/>
        <v>0.40470937420035163</v>
      </c>
      <c r="H639">
        <f t="shared" si="37"/>
        <v>0.49328210169546405</v>
      </c>
      <c r="I639">
        <f t="shared" si="38"/>
        <v>0.76662599286899502</v>
      </c>
      <c r="K639">
        <f t="shared" si="39"/>
        <v>0.55487248958827029</v>
      </c>
      <c r="M639">
        <v>638</v>
      </c>
      <c r="N639">
        <v>0.55487248958827029</v>
      </c>
    </row>
    <row r="640" spans="1:14">
      <c r="A640">
        <v>639</v>
      </c>
      <c r="B640">
        <v>1379</v>
      </c>
      <c r="C640">
        <v>653</v>
      </c>
      <c r="D640">
        <v>97</v>
      </c>
      <c r="E640">
        <v>319</v>
      </c>
      <c r="G640">
        <f t="shared" si="36"/>
        <v>-0.20564098764311234</v>
      </c>
      <c r="H640">
        <f t="shared" si="37"/>
        <v>-1.0059892816749623</v>
      </c>
      <c r="I640">
        <f t="shared" si="38"/>
        <v>0.14787848969512041</v>
      </c>
      <c r="K640">
        <f t="shared" si="39"/>
        <v>-0.3545839265409847</v>
      </c>
      <c r="M640">
        <v>639</v>
      </c>
      <c r="N640">
        <v>-0.3545839265409847</v>
      </c>
    </row>
    <row r="641" spans="1:14">
      <c r="A641">
        <v>640</v>
      </c>
      <c r="B641">
        <v>1222</v>
      </c>
      <c r="C641">
        <v>2</v>
      </c>
      <c r="D641">
        <v>2</v>
      </c>
      <c r="E641">
        <v>35</v>
      </c>
      <c r="G641">
        <f t="shared" si="36"/>
        <v>-2.6670311129848905</v>
      </c>
      <c r="H641">
        <f t="shared" si="37"/>
        <v>-2.6392379600079114</v>
      </c>
      <c r="I641">
        <f t="shared" si="38"/>
        <v>-0.75935108874247081</v>
      </c>
      <c r="K641">
        <f t="shared" si="39"/>
        <v>-2.0218733872450909</v>
      </c>
      <c r="M641">
        <v>640</v>
      </c>
      <c r="N641">
        <v>-2.0218733872450909</v>
      </c>
    </row>
    <row r="642" spans="1:14">
      <c r="A642">
        <v>641</v>
      </c>
      <c r="B642">
        <v>2179</v>
      </c>
      <c r="C642">
        <v>6368</v>
      </c>
      <c r="D642">
        <v>46</v>
      </c>
      <c r="E642">
        <v>2011</v>
      </c>
      <c r="G642">
        <f t="shared" si="36"/>
        <v>0.58475592174102042</v>
      </c>
      <c r="H642">
        <f t="shared" si="37"/>
        <v>-1.528696148330039</v>
      </c>
      <c r="I642">
        <f t="shared" si="38"/>
        <v>0.74880691316427528</v>
      </c>
      <c r="K642">
        <f t="shared" si="39"/>
        <v>-6.5044437808247757E-2</v>
      </c>
      <c r="M642">
        <v>641</v>
      </c>
      <c r="N642">
        <v>-6.5044437808247757E-2</v>
      </c>
    </row>
    <row r="643" spans="1:14">
      <c r="A643">
        <v>642</v>
      </c>
      <c r="B643">
        <v>3594</v>
      </c>
      <c r="C643">
        <v>1154</v>
      </c>
      <c r="D643">
        <v>223</v>
      </c>
      <c r="E643">
        <v>822</v>
      </c>
      <c r="G643">
        <f t="shared" ref="G643:G706" si="40">LOG10(C643/B643)-LOG10(28875/37978)</f>
        <v>-0.37436216669557887</v>
      </c>
      <c r="H643">
        <f t="shared" ref="H643:H706" si="41">LOG10(D643/B643)-LOG10(27085/37978)</f>
        <v>-1.0604699594901519</v>
      </c>
      <c r="I643">
        <f t="shared" ref="I643:I706" si="42">LOG10(E643/B643)-LOG10(6250/37978)</f>
        <v>0.14294581758088443</v>
      </c>
      <c r="K643">
        <f t="shared" ref="K643:K706" si="43">AVERAGE(G643:I643)</f>
        <v>-0.43062876953494883</v>
      </c>
      <c r="M643">
        <v>642</v>
      </c>
      <c r="N643">
        <v>-0.43062876953494883</v>
      </c>
    </row>
    <row r="644" spans="1:14">
      <c r="A644">
        <v>643</v>
      </c>
      <c r="B644">
        <v>4578</v>
      </c>
      <c r="C644">
        <v>119</v>
      </c>
      <c r="D644">
        <v>28</v>
      </c>
      <c r="E644">
        <v>408</v>
      </c>
      <c r="G644">
        <f t="shared" si="40"/>
        <v>-1.4661187296883298</v>
      </c>
      <c r="H644">
        <f t="shared" si="41"/>
        <v>-2.0667145067616621</v>
      </c>
      <c r="I644">
        <f t="shared" si="42"/>
        <v>-0.2663635524348551</v>
      </c>
      <c r="K644">
        <f t="shared" si="43"/>
        <v>-1.2663989296282825</v>
      </c>
      <c r="M644">
        <v>643</v>
      </c>
      <c r="N644">
        <v>-1.2663989296282825</v>
      </c>
    </row>
    <row r="645" spans="1:14">
      <c r="A645">
        <v>644</v>
      </c>
      <c r="B645">
        <v>1195</v>
      </c>
      <c r="C645">
        <v>107</v>
      </c>
      <c r="D645">
        <v>42</v>
      </c>
      <c r="E645">
        <v>600</v>
      </c>
      <c r="G645">
        <f t="shared" si="40"/>
        <v>-0.92897403034128334</v>
      </c>
      <c r="H645">
        <f t="shared" si="41"/>
        <v>-1.3073153646516134</v>
      </c>
      <c r="I645">
        <f t="shared" si="42"/>
        <v>0.48443541791327616</v>
      </c>
      <c r="K645">
        <f t="shared" si="43"/>
        <v>-0.58395132569320685</v>
      </c>
      <c r="M645">
        <v>644</v>
      </c>
      <c r="N645">
        <v>-0.58395132569320685</v>
      </c>
    </row>
    <row r="646" spans="1:14">
      <c r="A646">
        <v>645</v>
      </c>
      <c r="B646">
        <v>1434</v>
      </c>
      <c r="C646">
        <v>474</v>
      </c>
      <c r="D646">
        <v>54</v>
      </c>
      <c r="E646">
        <v>128</v>
      </c>
      <c r="G646">
        <f t="shared" si="40"/>
        <v>-0.36176071240003282</v>
      </c>
      <c r="H646">
        <f t="shared" si="41"/>
        <v>-1.2773521412741702</v>
      </c>
      <c r="I646">
        <f t="shared" si="42"/>
        <v>-0.26568710887012403</v>
      </c>
      <c r="K646">
        <f t="shared" si="43"/>
        <v>-0.63493332084810905</v>
      </c>
      <c r="M646">
        <v>645</v>
      </c>
      <c r="N646">
        <v>-0.63493332084810905</v>
      </c>
    </row>
    <row r="647" spans="1:14">
      <c r="A647">
        <v>646</v>
      </c>
      <c r="B647">
        <v>960</v>
      </c>
      <c r="C647">
        <v>6</v>
      </c>
      <c r="D647">
        <v>15</v>
      </c>
      <c r="E647">
        <v>18</v>
      </c>
      <c r="G647">
        <f t="shared" si="40"/>
        <v>-2.085109885398261</v>
      </c>
      <c r="H647">
        <f t="shared" si="41"/>
        <v>-1.6593767237492445</v>
      </c>
      <c r="I647">
        <f t="shared" si="42"/>
        <v>-0.9433466551224734</v>
      </c>
      <c r="K647">
        <f t="shared" si="43"/>
        <v>-1.5626110880899928</v>
      </c>
      <c r="M647">
        <v>646</v>
      </c>
      <c r="N647">
        <v>-1.5626110880899928</v>
      </c>
    </row>
    <row r="648" spans="1:14">
      <c r="A648">
        <v>647</v>
      </c>
      <c r="B648">
        <v>598</v>
      </c>
      <c r="C648">
        <v>266</v>
      </c>
      <c r="D648">
        <v>92</v>
      </c>
      <c r="E648">
        <v>529</v>
      </c>
      <c r="G648">
        <f t="shared" si="40"/>
        <v>-0.2328094500996804</v>
      </c>
      <c r="H648">
        <f t="shared" si="41"/>
        <v>-0.66611010640821289</v>
      </c>
      <c r="I648">
        <f t="shared" si="42"/>
        <v>0.73040656086056388</v>
      </c>
      <c r="K648">
        <f t="shared" si="43"/>
        <v>-5.617099854910982E-2</v>
      </c>
      <c r="M648">
        <v>647</v>
      </c>
      <c r="N648">
        <v>-5.617099854910982E-2</v>
      </c>
    </row>
    <row r="649" spans="1:14">
      <c r="A649">
        <v>648</v>
      </c>
      <c r="B649">
        <v>2036</v>
      </c>
      <c r="C649">
        <v>43</v>
      </c>
      <c r="D649">
        <v>29</v>
      </c>
      <c r="E649">
        <v>128</v>
      </c>
      <c r="G649">
        <f t="shared" si="40"/>
        <v>-1.5562992208274711</v>
      </c>
      <c r="H649">
        <f t="shared" si="41"/>
        <v>-1.6995765255311226</v>
      </c>
      <c r="I649">
        <f t="shared" si="42"/>
        <v>-0.41791573120306369</v>
      </c>
      <c r="K649">
        <f t="shared" si="43"/>
        <v>-1.2245971591872191</v>
      </c>
      <c r="M649">
        <v>648</v>
      </c>
      <c r="N649">
        <v>-1.2245971591872191</v>
      </c>
    </row>
    <row r="650" spans="1:14">
      <c r="A650">
        <v>649</v>
      </c>
      <c r="B650">
        <v>8200</v>
      </c>
      <c r="C650">
        <v>15046</v>
      </c>
      <c r="D650">
        <v>39</v>
      </c>
      <c r="E650">
        <v>6660</v>
      </c>
      <c r="G650">
        <f t="shared" si="40"/>
        <v>0.38261730235711561</v>
      </c>
      <c r="H650">
        <f t="shared" si="41"/>
        <v>-2.175945995122575</v>
      </c>
      <c r="I650">
        <f t="shared" si="42"/>
        <v>0.69331244960037341</v>
      </c>
      <c r="K650">
        <f t="shared" si="43"/>
        <v>-0.36667208105502863</v>
      </c>
      <c r="M650">
        <v>649</v>
      </c>
      <c r="N650">
        <v>-0.36667208105502863</v>
      </c>
    </row>
    <row r="651" spans="1:14">
      <c r="A651">
        <v>650</v>
      </c>
      <c r="B651">
        <v>1717</v>
      </c>
      <c r="C651">
        <v>0</v>
      </c>
      <c r="D651">
        <v>72</v>
      </c>
      <c r="E651">
        <v>4</v>
      </c>
      <c r="G651" t="e">
        <f t="shared" si="40"/>
        <v>#NUM!</v>
      </c>
      <c r="H651">
        <f t="shared" si="41"/>
        <v>-1.2306345484950054</v>
      </c>
      <c r="I651">
        <f t="shared" si="42"/>
        <v>-1.8490582310191652</v>
      </c>
      <c r="K651" t="e">
        <f t="shared" si="43"/>
        <v>#NUM!</v>
      </c>
      <c r="M651">
        <v>650</v>
      </c>
      <c r="N651">
        <v>-3</v>
      </c>
    </row>
    <row r="652" spans="1:14">
      <c r="A652">
        <v>651</v>
      </c>
      <c r="B652">
        <v>1888</v>
      </c>
      <c r="C652">
        <v>187</v>
      </c>
      <c r="D652">
        <v>96</v>
      </c>
      <c r="E652">
        <v>4718</v>
      </c>
      <c r="G652">
        <f t="shared" si="40"/>
        <v>-0.88515028616788782</v>
      </c>
      <c r="H652">
        <f t="shared" si="41"/>
        <v>-1.146927506687839</v>
      </c>
      <c r="I652">
        <f t="shared" si="42"/>
        <v>1.1814080194013155</v>
      </c>
      <c r="K652">
        <f t="shared" si="43"/>
        <v>-0.28355659115147053</v>
      </c>
      <c r="M652">
        <v>651</v>
      </c>
      <c r="N652">
        <v>-0.28355659115147053</v>
      </c>
    </row>
    <row r="653" spans="1:14">
      <c r="A653">
        <v>652</v>
      </c>
      <c r="B653">
        <v>1604</v>
      </c>
      <c r="C653">
        <v>1863</v>
      </c>
      <c r="D653">
        <v>89</v>
      </c>
      <c r="E653">
        <v>1077</v>
      </c>
      <c r="G653">
        <f t="shared" si="40"/>
        <v>0.18401858820576139</v>
      </c>
      <c r="H653">
        <f t="shared" si="41"/>
        <v>-1.1090111070685893</v>
      </c>
      <c r="I653">
        <f t="shared" si="42"/>
        <v>0.61066341216362585</v>
      </c>
      <c r="K653">
        <f t="shared" si="43"/>
        <v>-0.104776368899734</v>
      </c>
      <c r="M653">
        <v>652</v>
      </c>
      <c r="N653">
        <v>-0.104776368899734</v>
      </c>
    </row>
    <row r="654" spans="1:14">
      <c r="A654">
        <v>653</v>
      </c>
      <c r="B654">
        <v>1840</v>
      </c>
      <c r="C654">
        <v>1369</v>
      </c>
      <c r="D654">
        <v>356</v>
      </c>
      <c r="E654">
        <v>14454</v>
      </c>
      <c r="G654">
        <f t="shared" si="40"/>
        <v>-9.4042776178829973E-3</v>
      </c>
      <c r="H654">
        <f t="shared" si="41"/>
        <v>-0.56656457480201861</v>
      </c>
      <c r="I654">
        <f t="shared" si="42"/>
        <v>1.6788223001862397</v>
      </c>
      <c r="K654">
        <f t="shared" si="43"/>
        <v>0.36761781592211268</v>
      </c>
      <c r="M654">
        <v>653</v>
      </c>
      <c r="N654">
        <v>0.36761781592211268</v>
      </c>
    </row>
    <row r="655" spans="1:14">
      <c r="A655">
        <v>654</v>
      </c>
      <c r="B655">
        <v>2414</v>
      </c>
      <c r="C655">
        <v>167</v>
      </c>
      <c r="D655">
        <v>5</v>
      </c>
      <c r="E655">
        <v>76</v>
      </c>
      <c r="G655">
        <f t="shared" si="40"/>
        <v>-1.0410106973560835</v>
      </c>
      <c r="H655">
        <f t="shared" si="41"/>
        <v>-2.5369640111906691</v>
      </c>
      <c r="I655">
        <f t="shared" si="42"/>
        <v>-0.71827160066675</v>
      </c>
      <c r="K655">
        <f t="shared" si="43"/>
        <v>-1.4320821030711677</v>
      </c>
      <c r="M655">
        <v>654</v>
      </c>
      <c r="N655">
        <v>-1.4320821030711677</v>
      </c>
    </row>
    <row r="656" spans="1:14">
      <c r="A656">
        <v>655</v>
      </c>
      <c r="B656">
        <v>919</v>
      </c>
      <c r="C656">
        <v>2561</v>
      </c>
      <c r="D656">
        <v>574</v>
      </c>
      <c r="E656">
        <v>233</v>
      </c>
      <c r="G656">
        <f t="shared" si="40"/>
        <v>0.5641041643399819</v>
      </c>
      <c r="H656">
        <f t="shared" si="41"/>
        <v>-5.7600368753495085E-2</v>
      </c>
      <c r="I656">
        <f t="shared" si="42"/>
        <v>0.18769248245369663</v>
      </c>
      <c r="K656">
        <f t="shared" si="43"/>
        <v>0.23139875934672782</v>
      </c>
      <c r="M656">
        <v>655</v>
      </c>
      <c r="N656">
        <v>0.23139875934672782</v>
      </c>
    </row>
    <row r="657" spans="1:14">
      <c r="A657">
        <v>656</v>
      </c>
      <c r="B657">
        <v>5341</v>
      </c>
      <c r="C657">
        <v>13053</v>
      </c>
      <c r="D657">
        <v>953</v>
      </c>
      <c r="E657">
        <v>5678</v>
      </c>
      <c r="G657">
        <f t="shared" si="40"/>
        <v>0.50709785730090562</v>
      </c>
      <c r="H657">
        <f t="shared" si="41"/>
        <v>-0.60172642709616819</v>
      </c>
      <c r="I657">
        <f t="shared" si="42"/>
        <v>0.81022488303449014</v>
      </c>
      <c r="K657">
        <f t="shared" si="43"/>
        <v>0.23853210441307585</v>
      </c>
      <c r="M657">
        <v>656</v>
      </c>
      <c r="N657">
        <v>0.23853210441307585</v>
      </c>
    </row>
    <row r="658" spans="1:14">
      <c r="A658">
        <v>657</v>
      </c>
      <c r="B658">
        <v>1198</v>
      </c>
      <c r="C658">
        <v>3597</v>
      </c>
      <c r="D658">
        <v>105</v>
      </c>
      <c r="E658">
        <v>530</v>
      </c>
      <c r="G658">
        <f t="shared" si="40"/>
        <v>0.59649371702288201</v>
      </c>
      <c r="H658">
        <f t="shared" si="41"/>
        <v>-0.91046426874871178</v>
      </c>
      <c r="I658">
        <f t="shared" si="42"/>
        <v>0.42947112436128548</v>
      </c>
      <c r="K658">
        <f t="shared" si="43"/>
        <v>3.850019087848524E-2</v>
      </c>
      <c r="M658">
        <v>657</v>
      </c>
      <c r="N658">
        <v>3.850019087848524E-2</v>
      </c>
    </row>
    <row r="659" spans="1:14">
      <c r="A659">
        <v>658</v>
      </c>
      <c r="B659">
        <v>1846</v>
      </c>
      <c r="C659">
        <v>250</v>
      </c>
      <c r="D659">
        <v>133</v>
      </c>
      <c r="E659">
        <v>597</v>
      </c>
      <c r="G659">
        <f t="shared" si="40"/>
        <v>-0.74928159076019218</v>
      </c>
      <c r="H659">
        <f t="shared" si="41"/>
        <v>-0.99557680548816474</v>
      </c>
      <c r="I659">
        <f t="shared" si="42"/>
        <v>0.29339470725326489</v>
      </c>
      <c r="K659">
        <f t="shared" si="43"/>
        <v>-0.48382122966503066</v>
      </c>
      <c r="M659">
        <v>658</v>
      </c>
      <c r="N659">
        <v>-0.48382122966503066</v>
      </c>
    </row>
    <row r="660" spans="1:14">
      <c r="A660">
        <v>659</v>
      </c>
      <c r="B660">
        <v>1218</v>
      </c>
      <c r="C660">
        <v>202</v>
      </c>
      <c r="D660">
        <v>356</v>
      </c>
      <c r="E660">
        <v>27673</v>
      </c>
      <c r="G660">
        <f t="shared" si="40"/>
        <v>-0.66128582159256932</v>
      </c>
      <c r="H660">
        <f t="shared" si="41"/>
        <v>-0.38739404008933875</v>
      </c>
      <c r="I660">
        <f t="shared" si="42"/>
        <v>2.1400610276051584</v>
      </c>
      <c r="K660">
        <f t="shared" si="43"/>
        <v>0.36379372197441678</v>
      </c>
      <c r="M660">
        <v>659</v>
      </c>
      <c r="N660">
        <v>0.36379372197441678</v>
      </c>
    </row>
    <row r="661" spans="1:14">
      <c r="A661">
        <v>660</v>
      </c>
      <c r="B661">
        <v>3292</v>
      </c>
      <c r="C661">
        <v>4912</v>
      </c>
      <c r="D661">
        <v>237</v>
      </c>
      <c r="E661">
        <v>2036</v>
      </c>
      <c r="G661">
        <f t="shared" si="40"/>
        <v>0.29280862885054254</v>
      </c>
      <c r="H661">
        <f t="shared" si="41"/>
        <v>-0.9959082302954857</v>
      </c>
      <c r="I661">
        <f t="shared" si="42"/>
        <v>0.5749700199382779</v>
      </c>
      <c r="K661">
        <f t="shared" si="43"/>
        <v>-4.2709860502221732E-2</v>
      </c>
      <c r="M661">
        <v>660</v>
      </c>
      <c r="N661">
        <v>-4.2709860502221732E-2</v>
      </c>
    </row>
    <row r="662" spans="1:14">
      <c r="A662">
        <v>661</v>
      </c>
      <c r="B662">
        <v>1195</v>
      </c>
      <c r="C662">
        <v>82</v>
      </c>
      <c r="D662">
        <v>64</v>
      </c>
      <c r="E662">
        <v>531</v>
      </c>
      <c r="G662">
        <f t="shared" si="40"/>
        <v>-1.0445439556427762</v>
      </c>
      <c r="H662">
        <f t="shared" si="41"/>
        <v>-1.1243846810656268</v>
      </c>
      <c r="I662">
        <f t="shared" si="42"/>
        <v>0.43137868861110157</v>
      </c>
      <c r="K662">
        <f t="shared" si="43"/>
        <v>-0.57918331603243389</v>
      </c>
      <c r="M662">
        <v>661</v>
      </c>
      <c r="N662">
        <v>-0.57918331603243389</v>
      </c>
    </row>
    <row r="663" spans="1:14">
      <c r="A663">
        <v>662</v>
      </c>
      <c r="B663">
        <v>1342</v>
      </c>
      <c r="C663">
        <v>17</v>
      </c>
      <c r="D663">
        <v>13</v>
      </c>
      <c r="E663">
        <v>1197</v>
      </c>
      <c r="G663">
        <f t="shared" si="40"/>
        <v>-1.7782934971970359</v>
      </c>
      <c r="H663">
        <f t="shared" si="41"/>
        <v>-1.8670059132914938</v>
      </c>
      <c r="I663">
        <f t="shared" si="42"/>
        <v>0.73399370738722647</v>
      </c>
      <c r="K663">
        <f t="shared" si="43"/>
        <v>-0.97043523436710111</v>
      </c>
      <c r="M663">
        <v>662</v>
      </c>
      <c r="N663">
        <v>-0.97043523436710111</v>
      </c>
    </row>
    <row r="664" spans="1:14">
      <c r="A664">
        <v>663</v>
      </c>
      <c r="B664">
        <v>2483</v>
      </c>
      <c r="C664">
        <v>232</v>
      </c>
      <c r="D664">
        <v>109</v>
      </c>
      <c r="E664">
        <v>1576</v>
      </c>
      <c r="G664">
        <f t="shared" si="40"/>
        <v>-0.9104786374060011</v>
      </c>
      <c r="H664">
        <f t="shared" si="41"/>
        <v>-1.2107469713792982</v>
      </c>
      <c r="I664">
        <f t="shared" si="42"/>
        <v>0.5862315664127612</v>
      </c>
      <c r="K664">
        <f t="shared" si="43"/>
        <v>-0.51166468079084604</v>
      </c>
      <c r="M664">
        <v>663</v>
      </c>
      <c r="N664">
        <v>-0.51166468079084604</v>
      </c>
    </row>
    <row r="665" spans="1:14">
      <c r="A665">
        <v>664</v>
      </c>
      <c r="B665">
        <v>1543</v>
      </c>
      <c r="C665">
        <v>2276</v>
      </c>
      <c r="D665">
        <v>3</v>
      </c>
      <c r="E665">
        <v>38</v>
      </c>
      <c r="G665">
        <f t="shared" si="40"/>
        <v>0.28781642891754877</v>
      </c>
      <c r="H665">
        <f t="shared" si="41"/>
        <v>-2.5644414211088433</v>
      </c>
      <c r="I665">
        <f t="shared" si="42"/>
        <v>-0.82493025663254915</v>
      </c>
      <c r="K665">
        <f t="shared" si="43"/>
        <v>-1.0338517496079478</v>
      </c>
      <c r="M665">
        <v>664</v>
      </c>
      <c r="N665">
        <v>-1.0338517496079478</v>
      </c>
    </row>
    <row r="666" spans="1:14">
      <c r="A666">
        <v>665</v>
      </c>
      <c r="B666">
        <v>4101</v>
      </c>
      <c r="C666">
        <v>5734</v>
      </c>
      <c r="D666">
        <v>231</v>
      </c>
      <c r="E666">
        <v>1776</v>
      </c>
      <c r="G666">
        <f t="shared" si="40"/>
        <v>0.26457801658064445</v>
      </c>
      <c r="H666">
        <f t="shared" si="41"/>
        <v>-1.1024745391606978</v>
      </c>
      <c r="I666">
        <f t="shared" si="42"/>
        <v>0.42020526496888655</v>
      </c>
      <c r="K666">
        <f t="shared" si="43"/>
        <v>-0.13923041920372228</v>
      </c>
      <c r="M666">
        <v>665</v>
      </c>
      <c r="N666">
        <v>-0.13923041920372228</v>
      </c>
    </row>
    <row r="667" spans="1:14">
      <c r="A667">
        <v>666</v>
      </c>
      <c r="B667">
        <v>820</v>
      </c>
      <c r="C667">
        <v>22</v>
      </c>
      <c r="D667">
        <v>156</v>
      </c>
      <c r="E667">
        <v>24</v>
      </c>
      <c r="G667">
        <f t="shared" si="40"/>
        <v>-1.452381074303847</v>
      </c>
      <c r="H667">
        <f t="shared" si="41"/>
        <v>-0.57388600379461241</v>
      </c>
      <c r="I667">
        <f t="shared" si="42"/>
        <v>-0.74995053785832155</v>
      </c>
      <c r="K667">
        <f t="shared" si="43"/>
        <v>-0.92540587198559365</v>
      </c>
      <c r="M667">
        <v>666</v>
      </c>
      <c r="N667">
        <v>-0.92540587198559365</v>
      </c>
    </row>
    <row r="668" spans="1:14">
      <c r="A668">
        <v>667</v>
      </c>
      <c r="B668">
        <v>2409</v>
      </c>
      <c r="C668">
        <v>79</v>
      </c>
      <c r="D668">
        <v>164</v>
      </c>
      <c r="E668">
        <v>786</v>
      </c>
      <c r="G668">
        <f t="shared" si="40"/>
        <v>-1.3651996114502385</v>
      </c>
      <c r="H668">
        <f t="shared" si="41"/>
        <v>-1.0201897017160029</v>
      </c>
      <c r="I668">
        <f t="shared" si="42"/>
        <v>0.29723781885485356</v>
      </c>
      <c r="K668">
        <f t="shared" si="43"/>
        <v>-0.69605049810379593</v>
      </c>
      <c r="M668">
        <v>667</v>
      </c>
      <c r="N668">
        <v>-0.69605049810379593</v>
      </c>
    </row>
    <row r="669" spans="1:14">
      <c r="A669">
        <v>668</v>
      </c>
      <c r="B669">
        <v>2393</v>
      </c>
      <c r="C669">
        <v>1184</v>
      </c>
      <c r="D669">
        <v>36</v>
      </c>
      <c r="E669">
        <v>588</v>
      </c>
      <c r="G669">
        <f t="shared" si="40"/>
        <v>-0.18658089896887287</v>
      </c>
      <c r="H669">
        <f t="shared" si="41"/>
        <v>-1.6758369476115076</v>
      </c>
      <c r="I669">
        <f t="shared" si="42"/>
        <v>0.1740867002764902</v>
      </c>
      <c r="K669">
        <f t="shared" si="43"/>
        <v>-0.56277704876796342</v>
      </c>
      <c r="M669">
        <v>668</v>
      </c>
      <c r="N669">
        <v>-0.56277704876796342</v>
      </c>
    </row>
    <row r="670" spans="1:14">
      <c r="A670">
        <v>669</v>
      </c>
      <c r="B670">
        <v>2091</v>
      </c>
      <c r="C670">
        <v>620</v>
      </c>
      <c r="D670">
        <v>36</v>
      </c>
      <c r="E670">
        <v>61</v>
      </c>
      <c r="G670">
        <f t="shared" si="40"/>
        <v>-0.40895224606175445</v>
      </c>
      <c r="H670">
        <f t="shared" si="41"/>
        <v>-1.6172482818157421</v>
      </c>
      <c r="I670">
        <f t="shared" si="42"/>
        <v>-0.75137212499311579</v>
      </c>
      <c r="K670">
        <f t="shared" si="43"/>
        <v>-0.92585755095687083</v>
      </c>
      <c r="M670">
        <v>669</v>
      </c>
      <c r="N670">
        <v>-0.92585755095687083</v>
      </c>
    </row>
    <row r="671" spans="1:14">
      <c r="A671">
        <v>670</v>
      </c>
      <c r="B671">
        <v>867</v>
      </c>
      <c r="C671">
        <v>507</v>
      </c>
      <c r="D671">
        <v>9</v>
      </c>
      <c r="E671">
        <v>201</v>
      </c>
      <c r="G671">
        <f t="shared" si="40"/>
        <v>-0.11400104088521086</v>
      </c>
      <c r="H671">
        <f t="shared" si="41"/>
        <v>-1.8369733378022428</v>
      </c>
      <c r="I671">
        <f t="shared" si="42"/>
        <v>0.14882903275806758</v>
      </c>
      <c r="K671">
        <f t="shared" si="43"/>
        <v>-0.60071511530979527</v>
      </c>
      <c r="M671">
        <v>670</v>
      </c>
      <c r="N671">
        <v>-0.60071511530979527</v>
      </c>
    </row>
    <row r="672" spans="1:14">
      <c r="A672">
        <v>671</v>
      </c>
      <c r="B672">
        <v>2657</v>
      </c>
      <c r="C672">
        <v>21604</v>
      </c>
      <c r="D672">
        <v>62</v>
      </c>
      <c r="E672">
        <v>2341</v>
      </c>
      <c r="G672">
        <f t="shared" si="40"/>
        <v>1.0291527114565417</v>
      </c>
      <c r="H672">
        <f t="shared" si="41"/>
        <v>-1.485196614677381</v>
      </c>
      <c r="I672">
        <f t="shared" si="42"/>
        <v>0.72866193210013586</v>
      </c>
      <c r="K672">
        <f t="shared" si="43"/>
        <v>9.0872676293098878E-2</v>
      </c>
      <c r="M672">
        <v>671</v>
      </c>
      <c r="N672">
        <v>9.0872676293098878E-2</v>
      </c>
    </row>
    <row r="673" spans="1:14">
      <c r="A673">
        <v>672</v>
      </c>
      <c r="B673">
        <v>878</v>
      </c>
      <c r="C673">
        <v>9469</v>
      </c>
      <c r="D673">
        <v>643</v>
      </c>
      <c r="E673">
        <v>756</v>
      </c>
      <c r="G673">
        <f t="shared" si="40"/>
        <v>1.1518196979035638</v>
      </c>
      <c r="H673">
        <f t="shared" si="41"/>
        <v>1.1519707252762162E-2</v>
      </c>
      <c r="I673">
        <f t="shared" si="42"/>
        <v>0.71867935240889302</v>
      </c>
      <c r="K673">
        <f t="shared" si="43"/>
        <v>0.62733958585507299</v>
      </c>
      <c r="M673">
        <v>672</v>
      </c>
      <c r="N673">
        <v>0.62733958585507299</v>
      </c>
    </row>
    <row r="674" spans="1:14">
      <c r="A674">
        <v>673</v>
      </c>
      <c r="B674">
        <v>1115</v>
      </c>
      <c r="C674">
        <v>625</v>
      </c>
      <c r="D674">
        <v>140</v>
      </c>
      <c r="E674">
        <v>473</v>
      </c>
      <c r="G674">
        <f t="shared" si="40"/>
        <v>-0.13238475278244083</v>
      </c>
      <c r="H674">
        <f t="shared" si="41"/>
        <v>-0.75434358147129876</v>
      </c>
      <c r="I674">
        <f t="shared" si="42"/>
        <v>0.41123834616742111</v>
      </c>
      <c r="K674">
        <f t="shared" si="43"/>
        <v>-0.15849666269543947</v>
      </c>
      <c r="M674">
        <v>673</v>
      </c>
      <c r="N674">
        <v>-0.15849666269543947</v>
      </c>
    </row>
    <row r="675" spans="1:14">
      <c r="A675">
        <v>674</v>
      </c>
      <c r="B675">
        <v>1844</v>
      </c>
      <c r="C675">
        <v>869</v>
      </c>
      <c r="D675">
        <v>385</v>
      </c>
      <c r="E675">
        <v>3543</v>
      </c>
      <c r="G675">
        <f t="shared" si="40"/>
        <v>-0.20773104301128059</v>
      </c>
      <c r="H675">
        <f t="shared" si="41"/>
        <v>-0.5334969369744671</v>
      </c>
      <c r="I675">
        <f t="shared" si="42"/>
        <v>1.0672623084293558</v>
      </c>
      <c r="K675">
        <f t="shared" si="43"/>
        <v>0.10867810948120267</v>
      </c>
      <c r="M675">
        <v>674</v>
      </c>
      <c r="N675">
        <v>0.10867810948120267</v>
      </c>
    </row>
    <row r="676" spans="1:14">
      <c r="A676">
        <v>675</v>
      </c>
      <c r="B676">
        <v>1950</v>
      </c>
      <c r="C676">
        <v>9</v>
      </c>
      <c r="D676">
        <v>1</v>
      </c>
      <c r="E676">
        <v>3</v>
      </c>
      <c r="G676">
        <f t="shared" si="40"/>
        <v>-2.2167820046655295</v>
      </c>
      <c r="H676">
        <f t="shared" si="41"/>
        <v>-3.1432313611278753</v>
      </c>
      <c r="I676">
        <f t="shared" si="42"/>
        <v>-2.0292612838290669</v>
      </c>
      <c r="K676">
        <f t="shared" si="43"/>
        <v>-2.4630915498741572</v>
      </c>
      <c r="M676">
        <v>675</v>
      </c>
      <c r="N676">
        <v>-2.4630915498741572</v>
      </c>
    </row>
    <row r="677" spans="1:14">
      <c r="A677">
        <v>676</v>
      </c>
      <c r="B677">
        <v>726</v>
      </c>
      <c r="C677">
        <v>1</v>
      </c>
      <c r="D677">
        <v>0</v>
      </c>
      <c r="E677">
        <v>5</v>
      </c>
      <c r="G677">
        <f t="shared" si="40"/>
        <v>-2.7419265234424302</v>
      </c>
      <c r="H677" t="e">
        <f t="shared" si="41"/>
        <v>#NUM!</v>
      </c>
      <c r="I677">
        <f t="shared" si="42"/>
        <v>-1.3783145435502859</v>
      </c>
      <c r="K677" t="e">
        <f t="shared" si="43"/>
        <v>#NUM!</v>
      </c>
      <c r="M677">
        <v>676</v>
      </c>
      <c r="N677">
        <v>-3</v>
      </c>
    </row>
    <row r="678" spans="1:14">
      <c r="A678">
        <v>677</v>
      </c>
      <c r="B678">
        <v>835</v>
      </c>
      <c r="C678">
        <v>9</v>
      </c>
      <c r="D678">
        <v>0</v>
      </c>
      <c r="E678">
        <v>2</v>
      </c>
      <c r="G678">
        <f t="shared" si="40"/>
        <v>-1.8484338687866138</v>
      </c>
      <c r="H678" t="e">
        <f t="shared" si="41"/>
        <v>#NUM!</v>
      </c>
      <c r="I678">
        <f t="shared" si="42"/>
        <v>-1.8370044070058318</v>
      </c>
      <c r="K678" t="e">
        <f t="shared" si="43"/>
        <v>#NUM!</v>
      </c>
      <c r="M678">
        <v>677</v>
      </c>
      <c r="N678">
        <v>-3</v>
      </c>
    </row>
    <row r="679" spans="1:14">
      <c r="A679">
        <v>678</v>
      </c>
      <c r="B679">
        <v>1148</v>
      </c>
      <c r="C679">
        <v>39</v>
      </c>
      <c r="D679">
        <v>0</v>
      </c>
      <c r="E679">
        <v>24</v>
      </c>
      <c r="G679">
        <f t="shared" si="40"/>
        <v>-1.349867183777792</v>
      </c>
      <c r="H679" t="e">
        <f t="shared" si="41"/>
        <v>#NUM!</v>
      </c>
      <c r="I679">
        <f t="shared" si="42"/>
        <v>-0.89607857353655973</v>
      </c>
      <c r="K679" t="e">
        <f t="shared" si="43"/>
        <v>#NUM!</v>
      </c>
      <c r="M679">
        <v>678</v>
      </c>
      <c r="N679">
        <v>-3</v>
      </c>
    </row>
    <row r="680" spans="1:14">
      <c r="A680">
        <v>679</v>
      </c>
      <c r="B680">
        <v>1492</v>
      </c>
      <c r="C680">
        <v>0</v>
      </c>
      <c r="D680">
        <v>1</v>
      </c>
      <c r="E680">
        <v>0</v>
      </c>
      <c r="G680" t="e">
        <f t="shared" si="40"/>
        <v>#NUM!</v>
      </c>
      <c r="H680">
        <f t="shared" si="41"/>
        <v>-3.0269655729020073</v>
      </c>
      <c r="I680" t="e">
        <f t="shared" si="42"/>
        <v>#NUM!</v>
      </c>
      <c r="K680" t="e">
        <f t="shared" si="43"/>
        <v>#NUM!</v>
      </c>
      <c r="M680">
        <v>679</v>
      </c>
      <c r="N680">
        <v>-3</v>
      </c>
    </row>
    <row r="681" spans="1:14">
      <c r="A681">
        <v>680</v>
      </c>
      <c r="B681">
        <v>2546</v>
      </c>
      <c r="C681">
        <v>77</v>
      </c>
      <c r="D681">
        <v>8</v>
      </c>
      <c r="E681">
        <v>98</v>
      </c>
      <c r="G681">
        <f t="shared" si="40"/>
        <v>-1.4003575768874912</v>
      </c>
      <c r="H681">
        <f t="shared" si="41"/>
        <v>-2.3559651620910502</v>
      </c>
      <c r="I681">
        <f t="shared" si="42"/>
        <v>-0.63098025081135267</v>
      </c>
      <c r="K681">
        <f t="shared" si="43"/>
        <v>-1.4624343299299649</v>
      </c>
      <c r="M681">
        <v>680</v>
      </c>
      <c r="N681">
        <v>-1.4624343299299649</v>
      </c>
    </row>
    <row r="682" spans="1:14">
      <c r="A682">
        <v>681</v>
      </c>
      <c r="B682">
        <v>1842</v>
      </c>
      <c r="C682">
        <v>270</v>
      </c>
      <c r="D682">
        <v>159</v>
      </c>
      <c r="E682">
        <v>525</v>
      </c>
      <c r="G682">
        <f t="shared" si="40"/>
        <v>-0.71491576444417937</v>
      </c>
      <c r="H682">
        <f t="shared" si="41"/>
        <v>-0.91708925130573593</v>
      </c>
      <c r="I682">
        <f t="shared" si="42"/>
        <v>0.23852175035891576</v>
      </c>
      <c r="K682">
        <f t="shared" si="43"/>
        <v>-0.4644944217969999</v>
      </c>
      <c r="M682">
        <v>681</v>
      </c>
      <c r="N682">
        <v>-0.4644944217969999</v>
      </c>
    </row>
    <row r="683" spans="1:14">
      <c r="A683">
        <v>682</v>
      </c>
      <c r="B683">
        <v>941</v>
      </c>
      <c r="C683">
        <v>532</v>
      </c>
      <c r="D683">
        <v>33</v>
      </c>
      <c r="E683">
        <v>527</v>
      </c>
      <c r="G683">
        <f t="shared" si="40"/>
        <v>-0.12866789387454525</v>
      </c>
      <c r="H683">
        <f t="shared" si="41"/>
        <v>-1.3082724333147269</v>
      </c>
      <c r="I683">
        <f t="shared" si="42"/>
        <v>0.53187306459907879</v>
      </c>
      <c r="K683">
        <f t="shared" si="43"/>
        <v>-0.3016890875300644</v>
      </c>
      <c r="M683">
        <v>682</v>
      </c>
      <c r="N683">
        <v>-0.3016890875300644</v>
      </c>
    </row>
    <row r="684" spans="1:14">
      <c r="A684">
        <v>683</v>
      </c>
      <c r="B684">
        <v>998</v>
      </c>
      <c r="C684">
        <v>361</v>
      </c>
      <c r="D684">
        <v>5</v>
      </c>
      <c r="E684">
        <v>44</v>
      </c>
      <c r="G684">
        <f t="shared" si="40"/>
        <v>-0.32261324212404974</v>
      </c>
      <c r="H684">
        <f t="shared" si="41"/>
        <v>-2.1533572867167097</v>
      </c>
      <c r="I684">
        <f t="shared" si="42"/>
        <v>-0.57202579198739456</v>
      </c>
      <c r="K684">
        <f t="shared" si="43"/>
        <v>-1.0159987736093845</v>
      </c>
      <c r="M684">
        <v>683</v>
      </c>
      <c r="N684">
        <v>-1.0159987736093845</v>
      </c>
    </row>
    <row r="685" spans="1:14">
      <c r="A685">
        <v>684</v>
      </c>
      <c r="B685">
        <v>509</v>
      </c>
      <c r="C685">
        <v>79</v>
      </c>
      <c r="D685">
        <v>31</v>
      </c>
      <c r="E685">
        <v>352</v>
      </c>
      <c r="G685">
        <f t="shared" si="40"/>
        <v>-0.69008059378865394</v>
      </c>
      <c r="H685">
        <f t="shared" si="41"/>
        <v>-1.0685528382678435</v>
      </c>
      <c r="I685">
        <f t="shared" si="42"/>
        <v>0.62347695395516123</v>
      </c>
      <c r="K685">
        <f t="shared" si="43"/>
        <v>-0.37838549270044536</v>
      </c>
      <c r="M685">
        <v>684</v>
      </c>
      <c r="N685">
        <v>-0.37838549270044536</v>
      </c>
    </row>
    <row r="686" spans="1:14">
      <c r="A686">
        <v>685</v>
      </c>
      <c r="B686">
        <v>2525</v>
      </c>
      <c r="C686">
        <v>2564</v>
      </c>
      <c r="D686">
        <v>8</v>
      </c>
      <c r="E686">
        <v>5991</v>
      </c>
      <c r="G686">
        <f t="shared" si="40"/>
        <v>0.12566673564976311</v>
      </c>
      <c r="H686">
        <f t="shared" si="41"/>
        <v>-2.3523681452280938</v>
      </c>
      <c r="I686">
        <f t="shared" si="42"/>
        <v>1.1588900099494739</v>
      </c>
      <c r="K686">
        <f t="shared" si="43"/>
        <v>-0.35593713320961889</v>
      </c>
      <c r="M686">
        <v>685</v>
      </c>
      <c r="N686">
        <v>-0.35593713320961889</v>
      </c>
    </row>
    <row r="687" spans="1:14">
      <c r="A687">
        <v>686</v>
      </c>
      <c r="B687">
        <v>1126</v>
      </c>
      <c r="C687">
        <v>243</v>
      </c>
      <c r="D687">
        <v>8</v>
      </c>
      <c r="E687">
        <v>1083</v>
      </c>
      <c r="G687">
        <f t="shared" si="40"/>
        <v>-0.54692201965935183</v>
      </c>
      <c r="H687">
        <f t="shared" si="41"/>
        <v>-2.0016451532887412</v>
      </c>
      <c r="I687">
        <f t="shared" si="42"/>
        <v>0.76674213892378196</v>
      </c>
      <c r="K687">
        <f t="shared" si="43"/>
        <v>-0.5939416780081036</v>
      </c>
      <c r="M687">
        <v>686</v>
      </c>
      <c r="N687">
        <v>-0.5939416780081036</v>
      </c>
    </row>
    <row r="688" spans="1:14">
      <c r="A688">
        <v>687</v>
      </c>
      <c r="B688">
        <v>2907</v>
      </c>
      <c r="C688">
        <v>814</v>
      </c>
      <c r="D688">
        <v>69</v>
      </c>
      <c r="E688">
        <v>4018</v>
      </c>
      <c r="G688">
        <f t="shared" si="40"/>
        <v>-0.43381052962356309</v>
      </c>
      <c r="H688">
        <f t="shared" si="41"/>
        <v>-1.4777926907985299</v>
      </c>
      <c r="I688">
        <f t="shared" si="42"/>
        <v>0.92421697345559162</v>
      </c>
      <c r="K688">
        <f t="shared" si="43"/>
        <v>-0.32912874898883376</v>
      </c>
      <c r="M688">
        <v>687</v>
      </c>
      <c r="N688">
        <v>-0.32912874898883376</v>
      </c>
    </row>
    <row r="689" spans="1:14">
      <c r="A689">
        <v>688</v>
      </c>
      <c r="B689">
        <v>1885</v>
      </c>
      <c r="C689">
        <v>77</v>
      </c>
      <c r="D689">
        <v>903</v>
      </c>
      <c r="E689">
        <v>2061</v>
      </c>
      <c r="G689">
        <f t="shared" si="40"/>
        <v>-1.2698105321116664</v>
      </c>
      <c r="H689">
        <f t="shared" si="41"/>
        <v>-0.17282035399366322</v>
      </c>
      <c r="I689">
        <f t="shared" si="42"/>
        <v>0.82241871005119016</v>
      </c>
      <c r="K689">
        <f t="shared" si="43"/>
        <v>-0.2067373920180465</v>
      </c>
      <c r="M689">
        <v>688</v>
      </c>
      <c r="N689">
        <v>-0.2067373920180465</v>
      </c>
    </row>
    <row r="690" spans="1:14">
      <c r="A690">
        <v>689</v>
      </c>
      <c r="B690">
        <v>1494</v>
      </c>
      <c r="C690">
        <v>2141</v>
      </c>
      <c r="D690">
        <v>378</v>
      </c>
      <c r="E690">
        <v>862</v>
      </c>
      <c r="G690">
        <f t="shared" si="40"/>
        <v>0.27527616707272184</v>
      </c>
      <c r="H690">
        <f t="shared" si="41"/>
        <v>-0.45005554740751197</v>
      </c>
      <c r="I690">
        <f t="shared" si="42"/>
        <v>0.54480874115912181</v>
      </c>
      <c r="K690">
        <f t="shared" si="43"/>
        <v>0.12334312027477723</v>
      </c>
      <c r="M690">
        <v>689</v>
      </c>
      <c r="N690">
        <v>0.12334312027477723</v>
      </c>
    </row>
    <row r="691" spans="1:14">
      <c r="A691">
        <v>690</v>
      </c>
      <c r="B691">
        <v>740</v>
      </c>
      <c r="C691">
        <v>13</v>
      </c>
      <c r="D691">
        <v>0</v>
      </c>
      <c r="E691">
        <v>14</v>
      </c>
      <c r="G691">
        <f t="shared" si="40"/>
        <v>-1.6362782701664758</v>
      </c>
      <c r="H691" t="e">
        <f t="shared" si="41"/>
        <v>#NUM!</v>
      </c>
      <c r="I691">
        <f t="shared" si="42"/>
        <v>-0.93945161123894905</v>
      </c>
      <c r="K691" t="e">
        <f t="shared" si="43"/>
        <v>#NUM!</v>
      </c>
      <c r="M691">
        <v>690</v>
      </c>
      <c r="N691">
        <v>-3</v>
      </c>
    </row>
    <row r="692" spans="1:14">
      <c r="A692">
        <v>691</v>
      </c>
      <c r="B692">
        <v>1305</v>
      </c>
      <c r="C692">
        <v>9037</v>
      </c>
      <c r="D692">
        <v>126</v>
      </c>
      <c r="E692">
        <v>44</v>
      </c>
      <c r="G692">
        <f t="shared" si="40"/>
        <v>0.95942386786404077</v>
      </c>
      <c r="H692">
        <f t="shared" si="41"/>
        <v>-0.86843671632209418</v>
      </c>
      <c r="I692">
        <f t="shared" si="42"/>
        <v>-0.68850576237432337</v>
      </c>
      <c r="K692">
        <f t="shared" si="43"/>
        <v>-0.19917287027745892</v>
      </c>
      <c r="M692">
        <v>691</v>
      </c>
      <c r="N692">
        <v>-0.19917287027745892</v>
      </c>
    </row>
    <row r="693" spans="1:14">
      <c r="A693">
        <v>692</v>
      </c>
      <c r="B693">
        <v>2080</v>
      </c>
      <c r="C693">
        <v>839</v>
      </c>
      <c r="D693">
        <v>856</v>
      </c>
      <c r="E693">
        <v>1610</v>
      </c>
      <c r="G693">
        <f t="shared" si="40"/>
        <v>-0.27529127687639776</v>
      </c>
      <c r="H693">
        <f t="shared" si="41"/>
        <v>-0.2387863200509657</v>
      </c>
      <c r="I693">
        <f t="shared" si="42"/>
        <v>0.67241461388287715</v>
      </c>
      <c r="K693">
        <f t="shared" si="43"/>
        <v>5.2779005651837907E-2</v>
      </c>
      <c r="M693">
        <v>692</v>
      </c>
      <c r="N693">
        <v>5.2779005651837907E-2</v>
      </c>
    </row>
    <row r="694" spans="1:14">
      <c r="A694">
        <v>693</v>
      </c>
      <c r="B694">
        <v>2729</v>
      </c>
      <c r="C694">
        <v>3118</v>
      </c>
      <c r="D694">
        <v>1968</v>
      </c>
      <c r="E694">
        <v>6132</v>
      </c>
      <c r="G694">
        <f t="shared" si="40"/>
        <v>0.17688267244058981</v>
      </c>
      <c r="H694">
        <f t="shared" si="41"/>
        <v>4.8248086600688189E-3</v>
      </c>
      <c r="I694">
        <f t="shared" si="42"/>
        <v>1.1352506833262299</v>
      </c>
      <c r="K694">
        <f t="shared" si="43"/>
        <v>0.43898605480896286</v>
      </c>
      <c r="M694">
        <v>693</v>
      </c>
      <c r="N694">
        <v>0.43898605480896286</v>
      </c>
    </row>
    <row r="695" spans="1:14">
      <c r="A695">
        <v>694</v>
      </c>
      <c r="B695">
        <v>883</v>
      </c>
      <c r="C695">
        <v>256</v>
      </c>
      <c r="D695">
        <v>0</v>
      </c>
      <c r="E695">
        <v>492</v>
      </c>
      <c r="G695">
        <f t="shared" si="40"/>
        <v>-0.4187106410080555</v>
      </c>
      <c r="H695" t="e">
        <f t="shared" si="41"/>
        <v>#NUM!</v>
      </c>
      <c r="I695">
        <f t="shared" si="42"/>
        <v>0.52965647200358079</v>
      </c>
      <c r="K695" t="e">
        <f t="shared" si="43"/>
        <v>#NUM!</v>
      </c>
      <c r="M695">
        <v>694</v>
      </c>
      <c r="N695">
        <v>-3</v>
      </c>
    </row>
    <row r="696" spans="1:14">
      <c r="A696">
        <v>695</v>
      </c>
      <c r="B696">
        <v>1032</v>
      </c>
      <c r="C696">
        <v>13</v>
      </c>
      <c r="D696">
        <v>242</v>
      </c>
      <c r="E696">
        <v>43</v>
      </c>
      <c r="G696">
        <f t="shared" si="40"/>
        <v>-1.7807262477266923</v>
      </c>
      <c r="H696">
        <f t="shared" si="41"/>
        <v>-0.48306108107611856</v>
      </c>
      <c r="I696">
        <f t="shared" si="42"/>
        <v>-0.59655916889781713</v>
      </c>
      <c r="K696">
        <f t="shared" si="43"/>
        <v>-0.95344883256687607</v>
      </c>
      <c r="M696">
        <v>695</v>
      </c>
      <c r="N696">
        <v>-0.95344883256687607</v>
      </c>
    </row>
    <row r="697" spans="1:14">
      <c r="A697">
        <v>696</v>
      </c>
      <c r="B697">
        <v>998</v>
      </c>
      <c r="C697">
        <v>2161</v>
      </c>
      <c r="D697">
        <v>480</v>
      </c>
      <c r="E697">
        <v>5</v>
      </c>
      <c r="G697">
        <f t="shared" si="40"/>
        <v>0.45453432285353373</v>
      </c>
      <c r="H697">
        <f t="shared" si="41"/>
        <v>-0.17108605367714122</v>
      </c>
      <c r="I697">
        <f t="shared" si="42"/>
        <v>-1.5165084641375632</v>
      </c>
      <c r="K697">
        <f t="shared" si="43"/>
        <v>-0.41102006498705695</v>
      </c>
      <c r="M697">
        <v>696</v>
      </c>
      <c r="N697">
        <v>-0.41102006498705695</v>
      </c>
    </row>
    <row r="698" spans="1:14">
      <c r="A698">
        <v>697</v>
      </c>
      <c r="B698">
        <v>743</v>
      </c>
      <c r="C698">
        <v>669</v>
      </c>
      <c r="D698">
        <v>74</v>
      </c>
      <c r="E698">
        <v>175</v>
      </c>
      <c r="G698">
        <f t="shared" si="40"/>
        <v>7.3447401264911283E-2</v>
      </c>
      <c r="H698">
        <f t="shared" si="41"/>
        <v>-0.85495384379495631</v>
      </c>
      <c r="I698">
        <f t="shared" si="42"/>
        <v>0.15570130773950819</v>
      </c>
      <c r="K698">
        <f t="shared" si="43"/>
        <v>-0.20860171159684562</v>
      </c>
      <c r="M698">
        <v>697</v>
      </c>
      <c r="N698">
        <v>-0.20860171159684562</v>
      </c>
    </row>
    <row r="699" spans="1:14">
      <c r="A699">
        <v>698</v>
      </c>
      <c r="B699">
        <v>2754</v>
      </c>
      <c r="C699">
        <v>4959</v>
      </c>
      <c r="D699">
        <v>0</v>
      </c>
      <c r="E699">
        <v>1465</v>
      </c>
      <c r="G699">
        <f t="shared" si="40"/>
        <v>0.37444026962786853</v>
      </c>
      <c r="H699" t="e">
        <f t="shared" si="41"/>
        <v>#NUM!</v>
      </c>
      <c r="I699">
        <f t="shared" si="42"/>
        <v>0.50952576158301244</v>
      </c>
      <c r="K699" t="e">
        <f t="shared" si="43"/>
        <v>#NUM!</v>
      </c>
      <c r="M699">
        <v>698</v>
      </c>
      <c r="N699">
        <v>-3</v>
      </c>
    </row>
    <row r="700" spans="1:14">
      <c r="A700">
        <v>699</v>
      </c>
      <c r="B700">
        <v>2884</v>
      </c>
      <c r="C700">
        <v>2857</v>
      </c>
      <c r="D700">
        <v>847</v>
      </c>
      <c r="E700">
        <v>2779</v>
      </c>
      <c r="G700">
        <f t="shared" si="40"/>
        <v>0.11492508159301505</v>
      </c>
      <c r="H700">
        <f t="shared" si="41"/>
        <v>-0.38530859548204188</v>
      </c>
      <c r="I700">
        <f t="shared" si="42"/>
        <v>0.76754536354376945</v>
      </c>
      <c r="K700">
        <f t="shared" si="43"/>
        <v>0.16572061655158088</v>
      </c>
      <c r="M700">
        <v>699</v>
      </c>
      <c r="N700">
        <v>0.16572061655158088</v>
      </c>
    </row>
    <row r="701" spans="1:14">
      <c r="A701">
        <v>700</v>
      </c>
      <c r="B701">
        <v>763</v>
      </c>
      <c r="C701">
        <v>2036</v>
      </c>
      <c r="D701">
        <v>5</v>
      </c>
      <c r="E701">
        <v>299</v>
      </c>
      <c r="G701">
        <f t="shared" si="40"/>
        <v>0.54526333296750418</v>
      </c>
      <c r="H701">
        <f t="shared" si="41"/>
        <v>-2.036751283384219</v>
      </c>
      <c r="I701">
        <f t="shared" si="42"/>
        <v>0.37679872318333818</v>
      </c>
      <c r="K701">
        <f t="shared" si="43"/>
        <v>-0.37156307574445896</v>
      </c>
      <c r="M701">
        <v>700</v>
      </c>
      <c r="N701">
        <v>-0.37156307574445896</v>
      </c>
    </row>
    <row r="702" spans="1:14">
      <c r="A702">
        <v>701</v>
      </c>
      <c r="B702">
        <v>1608</v>
      </c>
      <c r="C702">
        <v>46</v>
      </c>
      <c r="D702">
        <v>9</v>
      </c>
      <c r="E702">
        <v>2</v>
      </c>
      <c r="G702">
        <f t="shared" si="40"/>
        <v>-1.4245181154731947</v>
      </c>
      <c r="H702">
        <f t="shared" si="41"/>
        <v>-2.105240284738465</v>
      </c>
      <c r="I702">
        <f t="shared" si="42"/>
        <v>-2.1216039759346623</v>
      </c>
      <c r="K702">
        <f t="shared" si="43"/>
        <v>-1.8837874587154406</v>
      </c>
      <c r="M702">
        <v>701</v>
      </c>
      <c r="N702">
        <v>-1.8837874587154406</v>
      </c>
    </row>
    <row r="703" spans="1:14">
      <c r="A703">
        <v>702</v>
      </c>
      <c r="B703">
        <v>1699</v>
      </c>
      <c r="C703">
        <v>18</v>
      </c>
      <c r="D703">
        <v>4</v>
      </c>
      <c r="E703">
        <v>33</v>
      </c>
      <c r="G703">
        <f t="shared" si="40"/>
        <v>-1.855910776508076</v>
      </c>
      <c r="H703">
        <f t="shared" si="41"/>
        <v>-2.4813301373064407</v>
      </c>
      <c r="I703">
        <f t="shared" si="42"/>
        <v>-0.92802736617736903</v>
      </c>
      <c r="K703">
        <f t="shared" si="43"/>
        <v>-1.7550894266639621</v>
      </c>
      <c r="M703">
        <v>702</v>
      </c>
      <c r="N703">
        <v>-1.7550894266639621</v>
      </c>
    </row>
    <row r="704" spans="1:14">
      <c r="A704">
        <v>703</v>
      </c>
      <c r="B704">
        <v>1564</v>
      </c>
      <c r="C704">
        <v>43</v>
      </c>
      <c r="D704">
        <v>13</v>
      </c>
      <c r="E704">
        <v>127</v>
      </c>
      <c r="G704">
        <f t="shared" si="40"/>
        <v>-1.4417581958865791</v>
      </c>
      <c r="H704">
        <f t="shared" si="41"/>
        <v>-1.9334901461823497</v>
      </c>
      <c r="I704">
        <f t="shared" si="42"/>
        <v>-0.30678095495408342</v>
      </c>
      <c r="K704">
        <f t="shared" si="43"/>
        <v>-1.2273430990076708</v>
      </c>
      <c r="M704">
        <v>703</v>
      </c>
      <c r="N704">
        <v>-1.2273430990076708</v>
      </c>
    </row>
    <row r="705" spans="1:14">
      <c r="A705">
        <v>704</v>
      </c>
      <c r="B705">
        <v>4443</v>
      </c>
      <c r="C705">
        <v>18690</v>
      </c>
      <c r="D705">
        <v>271</v>
      </c>
      <c r="E705">
        <v>2685</v>
      </c>
      <c r="G705">
        <f t="shared" si="40"/>
        <v>0.74294308539562459</v>
      </c>
      <c r="H705">
        <f t="shared" si="41"/>
        <v>-1.0679037721318225</v>
      </c>
      <c r="I705">
        <f t="shared" si="42"/>
        <v>0.56492004960849251</v>
      </c>
      <c r="K705">
        <f t="shared" si="43"/>
        <v>7.9986454290764855E-2</v>
      </c>
      <c r="M705">
        <v>704</v>
      </c>
      <c r="N705">
        <v>7.9986454290764855E-2</v>
      </c>
    </row>
    <row r="706" spans="1:14">
      <c r="A706">
        <v>705</v>
      </c>
      <c r="B706">
        <v>1015</v>
      </c>
      <c r="C706">
        <v>5996</v>
      </c>
      <c r="D706">
        <v>722</v>
      </c>
      <c r="E706">
        <v>258</v>
      </c>
      <c r="G706">
        <f t="shared" si="40"/>
        <v>0.8904056791846735</v>
      </c>
      <c r="H706">
        <f t="shared" si="41"/>
        <v>-1.1255944449499178E-3</v>
      </c>
      <c r="I706">
        <f t="shared" si="42"/>
        <v>0.18880573652778743</v>
      </c>
      <c r="K706">
        <f t="shared" si="43"/>
        <v>0.35936194042250369</v>
      </c>
      <c r="M706">
        <v>705</v>
      </c>
      <c r="N706">
        <v>0.35936194042250369</v>
      </c>
    </row>
    <row r="707" spans="1:14">
      <c r="A707">
        <v>706</v>
      </c>
      <c r="B707">
        <v>960</v>
      </c>
      <c r="C707">
        <v>2030</v>
      </c>
      <c r="D707">
        <v>95</v>
      </c>
      <c r="E707">
        <v>90</v>
      </c>
      <c r="G707">
        <f t="shared" ref="G707:G770" si="44">LOG10(C707/B707)-LOG10(28875/37978)</f>
        <v>0.44423490213130801</v>
      </c>
      <c r="H707">
        <f t="shared" ref="H707:H770" si="45">LOG10(D707/B707)-LOG10(27085/37978)</f>
        <v>-0.8577443775160779</v>
      </c>
      <c r="I707">
        <f t="shared" ref="I707:I770" si="46">LOG10(E707/B707)-LOG10(6250/37978)</f>
        <v>-0.24437665078645443</v>
      </c>
      <c r="K707">
        <f t="shared" ref="K707:K770" si="47">AVERAGE(G707:I707)</f>
        <v>-0.21929537539040811</v>
      </c>
      <c r="M707">
        <v>706</v>
      </c>
      <c r="N707">
        <v>-0.21929537539040811</v>
      </c>
    </row>
    <row r="708" spans="1:14">
      <c r="A708">
        <v>707</v>
      </c>
      <c r="B708">
        <v>1567</v>
      </c>
      <c r="C708">
        <v>214</v>
      </c>
      <c r="D708">
        <v>5</v>
      </c>
      <c r="E708">
        <v>97</v>
      </c>
      <c r="G708">
        <f t="shared" si="44"/>
        <v>-0.74564512586173581</v>
      </c>
      <c r="H708">
        <f t="shared" si="45"/>
        <v>-2.3492957418979286</v>
      </c>
      <c r="I708">
        <f t="shared" si="46"/>
        <v>-0.42464518938855633</v>
      </c>
      <c r="K708">
        <f t="shared" si="47"/>
        <v>-1.1731953523827403</v>
      </c>
      <c r="M708">
        <v>707</v>
      </c>
      <c r="N708">
        <v>-1.1731953523827403</v>
      </c>
    </row>
    <row r="709" spans="1:14">
      <c r="A709">
        <v>708</v>
      </c>
      <c r="B709">
        <v>1531</v>
      </c>
      <c r="C709">
        <v>1007</v>
      </c>
      <c r="D709">
        <v>2067</v>
      </c>
      <c r="E709">
        <v>134</v>
      </c>
      <c r="G709">
        <f t="shared" si="44"/>
        <v>-6.2935622886979556E-2</v>
      </c>
      <c r="H709">
        <f t="shared" si="45"/>
        <v>0.27716853616366988</v>
      </c>
      <c r="I709">
        <f t="shared" si="46"/>
        <v>-0.27421831951966436</v>
      </c>
      <c r="K709">
        <f t="shared" si="47"/>
        <v>-1.9995135414324683E-2</v>
      </c>
      <c r="M709">
        <v>708</v>
      </c>
      <c r="N709">
        <v>-1.9995135414324683E-2</v>
      </c>
    </row>
    <row r="710" spans="1:14">
      <c r="A710">
        <v>709</v>
      </c>
      <c r="B710">
        <v>6649</v>
      </c>
      <c r="C710">
        <v>6409</v>
      </c>
      <c r="D710">
        <v>503</v>
      </c>
      <c r="E710">
        <v>4035</v>
      </c>
      <c r="G710">
        <f t="shared" si="44"/>
        <v>0.10304403589033957</v>
      </c>
      <c r="H710">
        <f t="shared" si="45"/>
        <v>-0.97438509766082049</v>
      </c>
      <c r="I710">
        <f t="shared" si="46"/>
        <v>0.56673927892048759</v>
      </c>
      <c r="K710">
        <f t="shared" si="47"/>
        <v>-0.10153392761666442</v>
      </c>
      <c r="M710">
        <v>709</v>
      </c>
      <c r="N710">
        <v>-0.10153392761666442</v>
      </c>
    </row>
    <row r="711" spans="1:14">
      <c r="A711">
        <v>710</v>
      </c>
      <c r="B711">
        <v>2080</v>
      </c>
      <c r="C711">
        <v>0</v>
      </c>
      <c r="D711">
        <v>8</v>
      </c>
      <c r="E711">
        <v>6</v>
      </c>
      <c r="G711" t="e">
        <f t="shared" si="44"/>
        <v>#NUM!</v>
      </c>
      <c r="H711">
        <f t="shared" si="45"/>
        <v>-2.2681700977361752</v>
      </c>
      <c r="I711">
        <f t="shared" si="46"/>
        <v>-1.7562600117653291</v>
      </c>
      <c r="K711" t="e">
        <f t="shared" si="47"/>
        <v>#NUM!</v>
      </c>
      <c r="M711">
        <v>710</v>
      </c>
      <c r="N711">
        <v>-3</v>
      </c>
    </row>
    <row r="712" spans="1:14">
      <c r="A712">
        <v>711</v>
      </c>
      <c r="B712">
        <v>2393</v>
      </c>
      <c r="C712">
        <v>288</v>
      </c>
      <c r="D712">
        <v>165</v>
      </c>
      <c r="E712">
        <v>383</v>
      </c>
      <c r="G712">
        <f t="shared" si="44"/>
        <v>-0.80054011359654309</v>
      </c>
      <c r="H712">
        <f t="shared" si="45"/>
        <v>-1.0146555041648884</v>
      </c>
      <c r="I712">
        <f t="shared" si="46"/>
        <v>-1.2091851831025568E-2</v>
      </c>
      <c r="K712">
        <f t="shared" si="47"/>
        <v>-0.60909582319748568</v>
      </c>
      <c r="M712">
        <v>711</v>
      </c>
      <c r="N712">
        <v>-0.60909582319748568</v>
      </c>
    </row>
    <row r="713" spans="1:14">
      <c r="A713">
        <v>712</v>
      </c>
      <c r="B713">
        <v>928</v>
      </c>
      <c r="C713">
        <v>10</v>
      </c>
      <c r="D713">
        <v>83</v>
      </c>
      <c r="E713">
        <v>94</v>
      </c>
      <c r="G713">
        <f t="shared" si="44"/>
        <v>-1.8485378789611986</v>
      </c>
      <c r="H713">
        <f t="shared" si="45"/>
        <v>-0.90166663360814547</v>
      </c>
      <c r="I713">
        <f t="shared" si="46"/>
        <v>-0.21076804980537445</v>
      </c>
      <c r="K713">
        <f t="shared" si="47"/>
        <v>-0.98699085412490606</v>
      </c>
      <c r="M713">
        <v>712</v>
      </c>
      <c r="N713">
        <v>-0.98699085412490606</v>
      </c>
    </row>
    <row r="714" spans="1:14">
      <c r="A714">
        <v>713</v>
      </c>
      <c r="B714">
        <v>3480</v>
      </c>
      <c r="C714">
        <v>600</v>
      </c>
      <c r="D714">
        <v>164</v>
      </c>
      <c r="E714">
        <v>544</v>
      </c>
      <c r="G714">
        <f t="shared" si="44"/>
        <v>-0.6444178963052738</v>
      </c>
      <c r="H714">
        <f t="shared" si="45"/>
        <v>-1.1799321456642404</v>
      </c>
      <c r="I714">
        <f t="shared" si="46"/>
        <v>-2.2328271434612024E-2</v>
      </c>
      <c r="K714">
        <f t="shared" si="47"/>
        <v>-0.61555943780137545</v>
      </c>
      <c r="M714">
        <v>713</v>
      </c>
      <c r="N714">
        <v>-0.61555943780137545</v>
      </c>
    </row>
    <row r="715" spans="1:14">
      <c r="A715">
        <v>714</v>
      </c>
      <c r="B715">
        <v>3657</v>
      </c>
      <c r="C715">
        <v>6742</v>
      </c>
      <c r="D715">
        <v>9159</v>
      </c>
      <c r="E715">
        <v>3006</v>
      </c>
      <c r="G715">
        <f t="shared" si="44"/>
        <v>0.38467388510457223</v>
      </c>
      <c r="H715">
        <f t="shared" si="45"/>
        <v>0.54552634891492258</v>
      </c>
      <c r="I715">
        <f t="shared" si="46"/>
        <v>0.69851608872663395</v>
      </c>
      <c r="K715">
        <f t="shared" si="47"/>
        <v>0.54290544091537629</v>
      </c>
      <c r="M715">
        <v>714</v>
      </c>
      <c r="N715">
        <v>0.54290544091537629</v>
      </c>
    </row>
    <row r="716" spans="1:14">
      <c r="A716">
        <v>715</v>
      </c>
      <c r="B716">
        <v>2794</v>
      </c>
      <c r="C716">
        <v>16</v>
      </c>
      <c r="D716">
        <v>339</v>
      </c>
      <c r="E716">
        <v>315</v>
      </c>
      <c r="G716">
        <f t="shared" si="44"/>
        <v>-2.1230963218645749</v>
      </c>
      <c r="H716">
        <f t="shared" si="45"/>
        <v>-0.76922345334043829</v>
      </c>
      <c r="I716">
        <f t="shared" si="46"/>
        <v>-0.16426377517477353</v>
      </c>
      <c r="K716">
        <f t="shared" si="47"/>
        <v>-1.018861183459929</v>
      </c>
      <c r="M716">
        <v>715</v>
      </c>
      <c r="N716">
        <v>-1.018861183459929</v>
      </c>
    </row>
    <row r="717" spans="1:14">
      <c r="A717">
        <v>716</v>
      </c>
      <c r="B717">
        <v>2274</v>
      </c>
      <c r="C717">
        <v>41</v>
      </c>
      <c r="D717">
        <v>4</v>
      </c>
      <c r="E717">
        <v>1669</v>
      </c>
      <c r="G717">
        <f t="shared" si="44"/>
        <v>-1.624996506374317</v>
      </c>
      <c r="H717">
        <f t="shared" si="45"/>
        <v>-2.6079272187891109</v>
      </c>
      <c r="I717">
        <f t="shared" si="46"/>
        <v>0.64931794914131968</v>
      </c>
      <c r="K717">
        <f t="shared" si="47"/>
        <v>-1.1945352586740359</v>
      </c>
      <c r="M717">
        <v>716</v>
      </c>
      <c r="N717">
        <v>-1.1945352586740359</v>
      </c>
    </row>
    <row r="718" spans="1:14">
      <c r="A718">
        <v>717</v>
      </c>
      <c r="B718">
        <v>4815</v>
      </c>
      <c r="C718">
        <v>1828</v>
      </c>
      <c r="D718">
        <v>96</v>
      </c>
      <c r="E718">
        <v>203</v>
      </c>
      <c r="G718">
        <f t="shared" si="44"/>
        <v>-0.30161000280507722</v>
      </c>
      <c r="H718">
        <f t="shared" si="45"/>
        <v>-1.5535218081863422</v>
      </c>
      <c r="I718">
        <f t="shared" si="46"/>
        <v>-0.59144818073355143</v>
      </c>
      <c r="K718">
        <f t="shared" si="47"/>
        <v>-0.81552666390832362</v>
      </c>
      <c r="M718">
        <v>717</v>
      </c>
      <c r="N718">
        <v>-0.81552666390832362</v>
      </c>
    </row>
    <row r="719" spans="1:14">
      <c r="A719">
        <v>718</v>
      </c>
      <c r="B719">
        <v>4296</v>
      </c>
      <c r="C719">
        <v>150</v>
      </c>
      <c r="D719">
        <v>636</v>
      </c>
      <c r="E719">
        <v>1519</v>
      </c>
      <c r="G719">
        <f t="shared" si="44"/>
        <v>-1.3379629163781543</v>
      </c>
      <c r="H719">
        <f t="shared" si="45"/>
        <v>-0.68280390680844261</v>
      </c>
      <c r="I719">
        <f t="shared" si="46"/>
        <v>0.33214557398507616</v>
      </c>
      <c r="K719">
        <f t="shared" si="47"/>
        <v>-0.56287374973384041</v>
      </c>
      <c r="M719">
        <v>718</v>
      </c>
      <c r="N719">
        <v>-0.56287374973384041</v>
      </c>
    </row>
    <row r="720" spans="1:14">
      <c r="A720">
        <v>719</v>
      </c>
      <c r="B720">
        <v>1865</v>
      </c>
      <c r="C720">
        <v>468</v>
      </c>
      <c r="D720">
        <v>164</v>
      </c>
      <c r="E720">
        <v>780</v>
      </c>
      <c r="G720">
        <f t="shared" si="44"/>
        <v>-0.48142288581291887</v>
      </c>
      <c r="H720">
        <f t="shared" si="45"/>
        <v>-0.90903173786236591</v>
      </c>
      <c r="I720">
        <f t="shared" si="46"/>
        <v>0.40506783935956303</v>
      </c>
      <c r="K720">
        <f t="shared" si="47"/>
        <v>-0.32846226143857393</v>
      </c>
      <c r="M720">
        <v>719</v>
      </c>
      <c r="N720">
        <v>-0.32846226143857393</v>
      </c>
    </row>
    <row r="721" spans="1:14">
      <c r="A721">
        <v>720</v>
      </c>
      <c r="B721">
        <v>1989</v>
      </c>
      <c r="C721">
        <v>10</v>
      </c>
      <c r="D721">
        <v>10</v>
      </c>
      <c r="E721">
        <v>8840</v>
      </c>
      <c r="G721">
        <f t="shared" si="44"/>
        <v>-2.1796246858667718</v>
      </c>
      <c r="H721">
        <f t="shared" si="45"/>
        <v>-2.1518315328897928</v>
      </c>
      <c r="I721">
        <f t="shared" si="46"/>
        <v>1.4314695547024265</v>
      </c>
      <c r="K721">
        <f t="shared" si="47"/>
        <v>-0.96666222135137925</v>
      </c>
      <c r="M721">
        <v>720</v>
      </c>
      <c r="N721">
        <v>-0.96666222135137925</v>
      </c>
    </row>
    <row r="722" spans="1:14">
      <c r="A722">
        <v>721</v>
      </c>
      <c r="B722">
        <v>1736</v>
      </c>
      <c r="C722">
        <v>38987</v>
      </c>
      <c r="D722">
        <v>1910</v>
      </c>
      <c r="E722">
        <v>2638</v>
      </c>
      <c r="G722">
        <f t="shared" si="44"/>
        <v>1.4703801944835544</v>
      </c>
      <c r="H722">
        <f t="shared" si="45"/>
        <v>0.18828689664189713</v>
      </c>
      <c r="I722">
        <f t="shared" si="46"/>
        <v>0.96537714318366241</v>
      </c>
      <c r="K722">
        <f t="shared" si="47"/>
        <v>0.87468141143637135</v>
      </c>
      <c r="M722">
        <v>721</v>
      </c>
      <c r="N722">
        <v>0.87468141143637135</v>
      </c>
    </row>
    <row r="723" spans="1:14">
      <c r="A723">
        <v>722</v>
      </c>
      <c r="B723">
        <v>1252</v>
      </c>
      <c r="C723">
        <v>71</v>
      </c>
      <c r="D723">
        <v>55</v>
      </c>
      <c r="E723">
        <v>130</v>
      </c>
      <c r="G723">
        <f t="shared" si="44"/>
        <v>-1.1273358828976721</v>
      </c>
      <c r="H723">
        <f t="shared" si="45"/>
        <v>-1.2104383891455244</v>
      </c>
      <c r="I723">
        <f t="shared" si="46"/>
        <v>-0.20000890375378511</v>
      </c>
      <c r="K723">
        <f t="shared" si="47"/>
        <v>-0.84592772526566051</v>
      </c>
      <c r="M723">
        <v>722</v>
      </c>
      <c r="N723">
        <v>-0.84592772526566051</v>
      </c>
    </row>
    <row r="724" spans="1:14">
      <c r="A724">
        <v>723</v>
      </c>
      <c r="B724">
        <v>2915</v>
      </c>
      <c r="C724">
        <v>62217</v>
      </c>
      <c r="D724">
        <v>1271</v>
      </c>
      <c r="E724">
        <v>10815</v>
      </c>
      <c r="G724">
        <f t="shared" si="44"/>
        <v>1.448280604484389</v>
      </c>
      <c r="H724">
        <f t="shared" si="45"/>
        <v>-0.21368975830638207</v>
      </c>
      <c r="I724">
        <f t="shared" si="46"/>
        <v>1.3530400374938663</v>
      </c>
      <c r="K724">
        <f t="shared" si="47"/>
        <v>0.86254362789062444</v>
      </c>
      <c r="M724">
        <v>723</v>
      </c>
      <c r="N724">
        <v>0.86254362789062444</v>
      </c>
    </row>
    <row r="725" spans="1:14">
      <c r="A725">
        <v>724</v>
      </c>
      <c r="B725">
        <v>1470</v>
      </c>
      <c r="C725">
        <v>1034</v>
      </c>
      <c r="D725">
        <v>172</v>
      </c>
      <c r="E725">
        <v>111</v>
      </c>
      <c r="G725">
        <f t="shared" si="44"/>
        <v>-3.3786698732588952E-2</v>
      </c>
      <c r="H725">
        <f t="shared" si="45"/>
        <v>-0.7849856376059845</v>
      </c>
      <c r="I725">
        <f t="shared" si="46"/>
        <v>-0.33834228314772963</v>
      </c>
      <c r="K725">
        <f t="shared" si="47"/>
        <v>-0.38570487316210106</v>
      </c>
      <c r="M725">
        <v>724</v>
      </c>
      <c r="N725">
        <v>-0.38570487316210106</v>
      </c>
    </row>
    <row r="726" spans="1:14">
      <c r="A726">
        <v>725</v>
      </c>
      <c r="B726">
        <v>1441</v>
      </c>
      <c r="C726">
        <v>403</v>
      </c>
      <c r="D726">
        <v>3</v>
      </c>
      <c r="E726">
        <v>459</v>
      </c>
      <c r="G726">
        <f t="shared" si="44"/>
        <v>-0.4343488374152164</v>
      </c>
      <c r="H726">
        <f t="shared" si="45"/>
        <v>-2.5347394758596842</v>
      </c>
      <c r="I726">
        <f t="shared" si="46"/>
        <v>0.28680077753706096</v>
      </c>
      <c r="K726">
        <f t="shared" si="47"/>
        <v>-0.89409584524594654</v>
      </c>
      <c r="M726">
        <v>725</v>
      </c>
      <c r="N726">
        <v>-0.89409584524594654</v>
      </c>
    </row>
    <row r="727" spans="1:14">
      <c r="A727">
        <v>726</v>
      </c>
      <c r="B727">
        <v>1384</v>
      </c>
      <c r="C727">
        <v>6906</v>
      </c>
      <c r="D727">
        <v>248</v>
      </c>
      <c r="E727">
        <v>133</v>
      </c>
      <c r="G727">
        <f t="shared" si="44"/>
        <v>0.81710058115035988</v>
      </c>
      <c r="H727">
        <f t="shared" si="45"/>
        <v>-0.59988115905988004</v>
      </c>
      <c r="I727">
        <f t="shared" si="46"/>
        <v>-0.23363237633986422</v>
      </c>
      <c r="K727">
        <f t="shared" si="47"/>
        <v>-5.4709847497947939E-3</v>
      </c>
      <c r="M727">
        <v>726</v>
      </c>
      <c r="N727">
        <v>-5.4709847497947939E-3</v>
      </c>
    </row>
    <row r="728" spans="1:14">
      <c r="A728">
        <v>727</v>
      </c>
      <c r="B728">
        <v>1258</v>
      </c>
      <c r="C728">
        <v>1903</v>
      </c>
      <c r="D728">
        <v>48</v>
      </c>
      <c r="E728">
        <v>2</v>
      </c>
      <c r="G728">
        <f t="shared" si="44"/>
        <v>0.29876824443543382</v>
      </c>
      <c r="H728">
        <f t="shared" si="45"/>
        <v>-1.2716361534990204</v>
      </c>
      <c r="I728">
        <f t="shared" si="46"/>
        <v>-2.0149985726314803</v>
      </c>
      <c r="K728">
        <f t="shared" si="47"/>
        <v>-0.99595549389835558</v>
      </c>
      <c r="M728">
        <v>727</v>
      </c>
      <c r="N728">
        <v>-0.99595549389835558</v>
      </c>
    </row>
    <row r="729" spans="1:14">
      <c r="A729">
        <v>728</v>
      </c>
      <c r="B729">
        <v>1716</v>
      </c>
      <c r="C729">
        <v>67</v>
      </c>
      <c r="D729">
        <v>83</v>
      </c>
      <c r="E729">
        <v>12</v>
      </c>
      <c r="G729">
        <f t="shared" si="44"/>
        <v>-1.2894323835541965</v>
      </c>
      <c r="H729">
        <f t="shared" si="45"/>
        <v>-1.1686359409019702</v>
      </c>
      <c r="I729">
        <f t="shared" si="46"/>
        <v>-1.3716839646512728</v>
      </c>
      <c r="K729">
        <f t="shared" si="47"/>
        <v>-1.2765840963691464</v>
      </c>
      <c r="M729">
        <v>728</v>
      </c>
      <c r="N729">
        <v>-1.2765840963691464</v>
      </c>
    </row>
    <row r="730" spans="1:14">
      <c r="A730">
        <v>729</v>
      </c>
      <c r="B730">
        <v>1035</v>
      </c>
      <c r="C730">
        <v>272</v>
      </c>
      <c r="D730">
        <v>24</v>
      </c>
      <c r="E730">
        <v>722</v>
      </c>
      <c r="G730">
        <f t="shared" si="44"/>
        <v>-0.4613613485010743</v>
      </c>
      <c r="H730">
        <f t="shared" si="45"/>
        <v>-1.4879258578466878</v>
      </c>
      <c r="I730">
        <f t="shared" si="46"/>
        <v>0.62724892059049153</v>
      </c>
      <c r="K730">
        <f t="shared" si="47"/>
        <v>-0.44067942858575693</v>
      </c>
      <c r="M730">
        <v>729</v>
      </c>
      <c r="N730">
        <v>-0.44067942858575693</v>
      </c>
    </row>
    <row r="731" spans="1:14">
      <c r="A731">
        <v>730</v>
      </c>
      <c r="B731">
        <v>2726</v>
      </c>
      <c r="C731">
        <v>1004</v>
      </c>
      <c r="D731">
        <v>486</v>
      </c>
      <c r="E731">
        <v>4474</v>
      </c>
      <c r="G731">
        <f t="shared" si="44"/>
        <v>-0.31478204143199073</v>
      </c>
      <c r="H731">
        <f t="shared" si="45"/>
        <v>-0.60208633200171868</v>
      </c>
      <c r="I731">
        <f t="shared" si="46"/>
        <v>0.99882220107574515</v>
      </c>
      <c r="K731">
        <f t="shared" si="47"/>
        <v>2.7317942547345247E-2</v>
      </c>
      <c r="M731">
        <v>730</v>
      </c>
      <c r="N731">
        <v>2.7317942547345247E-2</v>
      </c>
    </row>
    <row r="732" spans="1:14">
      <c r="A732">
        <v>731</v>
      </c>
      <c r="B732">
        <v>2544</v>
      </c>
      <c r="C732">
        <v>1709</v>
      </c>
      <c r="D732">
        <v>916</v>
      </c>
      <c r="E732">
        <v>1858</v>
      </c>
      <c r="G732">
        <f t="shared" si="44"/>
        <v>-5.3764946997975946E-2</v>
      </c>
      <c r="H732">
        <f t="shared" si="45"/>
        <v>-0.2968183830738832</v>
      </c>
      <c r="I732">
        <f t="shared" si="46"/>
        <v>0.64718067549503577</v>
      </c>
      <c r="K732">
        <f t="shared" si="47"/>
        <v>9.8865781807725539E-2</v>
      </c>
      <c r="M732">
        <v>731</v>
      </c>
      <c r="N732">
        <v>9.8865781807725539E-2</v>
      </c>
    </row>
    <row r="733" spans="1:14">
      <c r="A733">
        <v>732</v>
      </c>
      <c r="B733">
        <v>1181</v>
      </c>
      <c r="C733">
        <v>2685</v>
      </c>
      <c r="D733">
        <v>6</v>
      </c>
      <c r="E733">
        <v>290</v>
      </c>
      <c r="G733">
        <f t="shared" si="44"/>
        <v>0.47570448967972306</v>
      </c>
      <c r="H733">
        <f t="shared" si="45"/>
        <v>-2.1472953969952284</v>
      </c>
      <c r="I733">
        <f t="shared" si="46"/>
        <v>0.17380017309923035</v>
      </c>
      <c r="K733">
        <f t="shared" si="47"/>
        <v>-0.49926357807209171</v>
      </c>
      <c r="M733">
        <v>732</v>
      </c>
      <c r="N733">
        <v>-0.49926357807209171</v>
      </c>
    </row>
    <row r="734" spans="1:14">
      <c r="A734">
        <v>733</v>
      </c>
      <c r="B734">
        <v>2635</v>
      </c>
      <c r="C734">
        <v>536</v>
      </c>
      <c r="D734">
        <v>20</v>
      </c>
      <c r="E734">
        <v>485</v>
      </c>
      <c r="G734">
        <f t="shared" si="44"/>
        <v>-0.57260573259813197</v>
      </c>
      <c r="H734">
        <f t="shared" si="45"/>
        <v>-1.9729473736499417</v>
      </c>
      <c r="I734">
        <f t="shared" si="46"/>
        <v>4.8613191867487249E-2</v>
      </c>
      <c r="K734">
        <f t="shared" si="47"/>
        <v>-0.83231330479352872</v>
      </c>
      <c r="M734">
        <v>733</v>
      </c>
      <c r="N734">
        <v>-0.83231330479352872</v>
      </c>
    </row>
    <row r="735" spans="1:14">
      <c r="A735">
        <v>734</v>
      </c>
      <c r="B735">
        <v>2092</v>
      </c>
      <c r="C735">
        <v>935</v>
      </c>
      <c r="D735">
        <v>303</v>
      </c>
      <c r="E735">
        <v>337</v>
      </c>
      <c r="G735">
        <f t="shared" si="44"/>
        <v>-0.23073997206505537</v>
      </c>
      <c r="H735">
        <f t="shared" si="45"/>
        <v>-0.69231580145828897</v>
      </c>
      <c r="I735">
        <f t="shared" si="46"/>
        <v>-9.2797065101090093E-3</v>
      </c>
      <c r="K735">
        <f t="shared" si="47"/>
        <v>-0.31077849334448443</v>
      </c>
      <c r="M735">
        <v>734</v>
      </c>
      <c r="N735">
        <v>-0.31077849334448443</v>
      </c>
    </row>
    <row r="736" spans="1:14">
      <c r="A736">
        <v>735</v>
      </c>
      <c r="B736">
        <v>2038</v>
      </c>
      <c r="C736">
        <v>2342</v>
      </c>
      <c r="D736">
        <v>549</v>
      </c>
      <c r="E736">
        <v>570</v>
      </c>
      <c r="G736">
        <f t="shared" si="44"/>
        <v>0.17939280832360024</v>
      </c>
      <c r="H736">
        <f t="shared" si="45"/>
        <v>-0.42282858498567299</v>
      </c>
      <c r="I736">
        <f t="shared" si="46"/>
        <v>0.23032274881587278</v>
      </c>
      <c r="K736">
        <f t="shared" si="47"/>
        <v>-4.3710092820666568E-3</v>
      </c>
      <c r="M736">
        <v>735</v>
      </c>
      <c r="N736">
        <v>-4.3710092820666568E-3</v>
      </c>
    </row>
    <row r="737" spans="1:14">
      <c r="A737">
        <v>736</v>
      </c>
      <c r="B737">
        <v>2844</v>
      </c>
      <c r="C737">
        <v>707</v>
      </c>
      <c r="D737">
        <v>24</v>
      </c>
      <c r="E737">
        <v>783</v>
      </c>
      <c r="G737">
        <f t="shared" si="44"/>
        <v>-0.48550008100316583</v>
      </c>
      <c r="H737">
        <f t="shared" si="45"/>
        <v>-1.9269151001114802</v>
      </c>
      <c r="I737">
        <f t="shared" si="46"/>
        <v>0.22348424281400381</v>
      </c>
      <c r="K737">
        <f t="shared" si="47"/>
        <v>-0.72964364610021415</v>
      </c>
      <c r="M737">
        <v>736</v>
      </c>
      <c r="N737">
        <v>-0.72964364610021415</v>
      </c>
    </row>
    <row r="738" spans="1:14">
      <c r="A738">
        <v>737</v>
      </c>
      <c r="B738">
        <v>1463</v>
      </c>
      <c r="C738">
        <v>637</v>
      </c>
      <c r="D738">
        <v>43</v>
      </c>
      <c r="E738">
        <v>1562</v>
      </c>
      <c r="G738">
        <f t="shared" si="44"/>
        <v>-0.24209479653229693</v>
      </c>
      <c r="H738">
        <f t="shared" si="45"/>
        <v>-1.3849726203110817</v>
      </c>
      <c r="I738">
        <f t="shared" si="46"/>
        <v>0.81208877622975972</v>
      </c>
      <c r="K738">
        <f t="shared" si="47"/>
        <v>-0.27165954687120636</v>
      </c>
      <c r="M738">
        <v>737</v>
      </c>
      <c r="N738">
        <v>-0.27165954687120636</v>
      </c>
    </row>
    <row r="739" spans="1:14">
      <c r="A739">
        <v>738</v>
      </c>
      <c r="B739">
        <v>947</v>
      </c>
      <c r="C739">
        <v>203</v>
      </c>
      <c r="D739">
        <v>7</v>
      </c>
      <c r="E739">
        <v>233</v>
      </c>
      <c r="G739">
        <f t="shared" si="44"/>
        <v>-0.54984384383239704</v>
      </c>
      <c r="H739">
        <f t="shared" si="45"/>
        <v>-1.984448688754374</v>
      </c>
      <c r="I739">
        <f t="shared" si="46"/>
        <v>0.17465801483653454</v>
      </c>
      <c r="K739">
        <f t="shared" si="47"/>
        <v>-0.78654483925007879</v>
      </c>
      <c r="M739">
        <v>738</v>
      </c>
      <c r="N739">
        <v>-0.78654483925007879</v>
      </c>
    </row>
    <row r="740" spans="1:14">
      <c r="A740">
        <v>739</v>
      </c>
      <c r="B740">
        <v>2703</v>
      </c>
      <c r="C740">
        <v>8023</v>
      </c>
      <c r="D740">
        <v>196</v>
      </c>
      <c r="E740">
        <v>3913</v>
      </c>
      <c r="G740">
        <f t="shared" si="44"/>
        <v>0.59150084376143308</v>
      </c>
      <c r="H740">
        <f t="shared" si="45"/>
        <v>-0.9927867241076066</v>
      </c>
      <c r="I740">
        <f t="shared" si="46"/>
        <v>0.94431587501574366</v>
      </c>
      <c r="K740">
        <f t="shared" si="47"/>
        <v>0.18100999822319006</v>
      </c>
      <c r="M740">
        <v>739</v>
      </c>
      <c r="N740">
        <v>0.18100999822319006</v>
      </c>
    </row>
    <row r="741" spans="1:14">
      <c r="A741">
        <v>740</v>
      </c>
      <c r="B741">
        <v>1944</v>
      </c>
      <c r="C741">
        <v>17</v>
      </c>
      <c r="D741">
        <v>224</v>
      </c>
      <c r="E741">
        <v>445</v>
      </c>
      <c r="G741">
        <f t="shared" si="44"/>
        <v>-1.9392372419543182</v>
      </c>
      <c r="H741">
        <f t="shared" si="45"/>
        <v>-0.79164499202145022</v>
      </c>
      <c r="I741">
        <f t="shared" si="46"/>
        <v>0.14331582320446479</v>
      </c>
      <c r="K741">
        <f t="shared" si="47"/>
        <v>-0.86252213692376778</v>
      </c>
      <c r="M741">
        <v>740</v>
      </c>
      <c r="N741">
        <v>-0.86252213692376778</v>
      </c>
    </row>
    <row r="742" spans="1:14">
      <c r="A742">
        <v>741</v>
      </c>
      <c r="B742">
        <v>1012</v>
      </c>
      <c r="C742">
        <v>128</v>
      </c>
      <c r="D742">
        <v>9</v>
      </c>
      <c r="E742">
        <v>36</v>
      </c>
      <c r="G742">
        <f t="shared" si="44"/>
        <v>-0.77896044559824851</v>
      </c>
      <c r="H742">
        <f t="shared" si="45"/>
        <v>-1.9041347528298127</v>
      </c>
      <c r="I742">
        <f t="shared" si="46"/>
        <v>-0.66522593892270399</v>
      </c>
      <c r="K742">
        <f t="shared" si="47"/>
        <v>-1.1161070457835884</v>
      </c>
      <c r="M742">
        <v>741</v>
      </c>
      <c r="N742">
        <v>-1.1161070457835884</v>
      </c>
    </row>
    <row r="743" spans="1:14">
      <c r="A743">
        <v>742</v>
      </c>
      <c r="B743">
        <v>860</v>
      </c>
      <c r="C743">
        <v>1531</v>
      </c>
      <c r="D743">
        <v>3</v>
      </c>
      <c r="E743">
        <v>58</v>
      </c>
      <c r="G743">
        <f t="shared" si="44"/>
        <v>0.36948683671235677</v>
      </c>
      <c r="H743">
        <f t="shared" si="45"/>
        <v>-2.3105739462892627</v>
      </c>
      <c r="I743">
        <f t="shared" si="46"/>
        <v>-0.38741838486684133</v>
      </c>
      <c r="K743">
        <f t="shared" si="47"/>
        <v>-0.77616849814791566</v>
      </c>
      <c r="M743">
        <v>742</v>
      </c>
      <c r="N743">
        <v>-0.77616849814791566</v>
      </c>
    </row>
    <row r="744" spans="1:14">
      <c r="A744">
        <v>743</v>
      </c>
      <c r="B744">
        <v>1641</v>
      </c>
      <c r="C744">
        <v>202</v>
      </c>
      <c r="D744">
        <v>467</v>
      </c>
      <c r="E744">
        <v>1421</v>
      </c>
      <c r="G744">
        <f t="shared" si="44"/>
        <v>-0.79074711434880596</v>
      </c>
      <c r="H744">
        <f t="shared" si="45"/>
        <v>-0.39898845025233831</v>
      </c>
      <c r="I744">
        <f t="shared" si="46"/>
        <v>0.72113756968816556</v>
      </c>
      <c r="K744">
        <f t="shared" si="47"/>
        <v>-0.15619933163765956</v>
      </c>
      <c r="M744">
        <v>743</v>
      </c>
      <c r="N744">
        <v>-0.15619933163765956</v>
      </c>
    </row>
    <row r="745" spans="1:14">
      <c r="A745">
        <v>744</v>
      </c>
      <c r="B745">
        <v>2313</v>
      </c>
      <c r="C745">
        <v>5189</v>
      </c>
      <c r="D745">
        <v>67</v>
      </c>
      <c r="E745">
        <v>52215</v>
      </c>
      <c r="G745">
        <f t="shared" si="44"/>
        <v>0.46991813518197134</v>
      </c>
      <c r="H745">
        <f t="shared" si="45"/>
        <v>-1.3912975798351503</v>
      </c>
      <c r="I745">
        <f t="shared" si="46"/>
        <v>2.1372717223831392</v>
      </c>
      <c r="K745">
        <f t="shared" si="47"/>
        <v>0.40529742590998669</v>
      </c>
      <c r="M745">
        <v>744</v>
      </c>
      <c r="N745">
        <v>0.40529742590998669</v>
      </c>
    </row>
    <row r="746" spans="1:14">
      <c r="A746">
        <v>745</v>
      </c>
      <c r="B746">
        <v>1125</v>
      </c>
      <c r="C746">
        <v>2708</v>
      </c>
      <c r="D746">
        <v>323</v>
      </c>
      <c r="E746">
        <v>1452</v>
      </c>
      <c r="G746">
        <f t="shared" si="44"/>
        <v>0.50050623482338885</v>
      </c>
      <c r="H746">
        <f t="shared" si="45"/>
        <v>-0.39514674988163578</v>
      </c>
      <c r="I746">
        <f t="shared" si="46"/>
        <v>0.89446616673048263</v>
      </c>
      <c r="K746">
        <f t="shared" si="47"/>
        <v>0.33327521722407855</v>
      </c>
      <c r="M746">
        <v>745</v>
      </c>
      <c r="N746">
        <v>0.33327521722407855</v>
      </c>
    </row>
    <row r="747" spans="1:14">
      <c r="A747">
        <v>746</v>
      </c>
      <c r="B747">
        <v>1205</v>
      </c>
      <c r="C747">
        <v>75</v>
      </c>
      <c r="D747">
        <v>10</v>
      </c>
      <c r="E747">
        <v>44</v>
      </c>
      <c r="G747">
        <f t="shared" si="44"/>
        <v>-1.0869156862615237</v>
      </c>
      <c r="H747">
        <f t="shared" si="45"/>
        <v>-1.9341837966762445</v>
      </c>
      <c r="I747">
        <f t="shared" si="46"/>
        <v>-0.65388229761091066</v>
      </c>
      <c r="K747">
        <f t="shared" si="47"/>
        <v>-1.2249939268495595</v>
      </c>
      <c r="M747">
        <v>746</v>
      </c>
      <c r="N747">
        <v>-1.2249939268495595</v>
      </c>
    </row>
    <row r="748" spans="1:14">
      <c r="A748">
        <v>747</v>
      </c>
      <c r="B748">
        <v>1829</v>
      </c>
      <c r="C748">
        <v>51</v>
      </c>
      <c r="D748">
        <v>38</v>
      </c>
      <c r="E748">
        <v>213</v>
      </c>
      <c r="G748">
        <f t="shared" si="44"/>
        <v>-1.4356334321208171</v>
      </c>
      <c r="H748">
        <f t="shared" si="45"/>
        <v>-1.5356268586249642</v>
      </c>
      <c r="I748">
        <f t="shared" si="46"/>
        <v>-0.15018202922389012</v>
      </c>
      <c r="K748">
        <f t="shared" si="47"/>
        <v>-1.0404807733232238</v>
      </c>
      <c r="M748">
        <v>747</v>
      </c>
      <c r="N748">
        <v>-1.0404807733232238</v>
      </c>
    </row>
    <row r="749" spans="1:14">
      <c r="A749">
        <v>748</v>
      </c>
      <c r="B749">
        <v>2879</v>
      </c>
      <c r="C749">
        <v>464</v>
      </c>
      <c r="D749">
        <v>47</v>
      </c>
      <c r="E749">
        <v>53</v>
      </c>
      <c r="G749">
        <f t="shared" si="44"/>
        <v>-0.67371358706553774</v>
      </c>
      <c r="H749">
        <f t="shared" si="45"/>
        <v>-1.6403405567077221</v>
      </c>
      <c r="I749">
        <f t="shared" si="46"/>
        <v>-0.95131372246350399</v>
      </c>
      <c r="K749">
        <f t="shared" si="47"/>
        <v>-1.0884559554122546</v>
      </c>
      <c r="M749">
        <v>748</v>
      </c>
      <c r="N749">
        <v>-1.0884559554122546</v>
      </c>
    </row>
    <row r="750" spans="1:14">
      <c r="A750">
        <v>749</v>
      </c>
      <c r="B750">
        <v>799</v>
      </c>
      <c r="C750">
        <v>234</v>
      </c>
      <c r="D750">
        <v>1972</v>
      </c>
      <c r="E750">
        <v>623</v>
      </c>
      <c r="G750">
        <f t="shared" si="44"/>
        <v>-0.41432082464618508</v>
      </c>
      <c r="H750">
        <f t="shared" si="45"/>
        <v>0.53916338152584364</v>
      </c>
      <c r="I750">
        <f t="shared" si="46"/>
        <v>0.67559334015896721</v>
      </c>
      <c r="K750">
        <f t="shared" si="47"/>
        <v>0.26681196567954196</v>
      </c>
      <c r="M750">
        <v>749</v>
      </c>
      <c r="N750">
        <v>0.26681196567954196</v>
      </c>
    </row>
    <row r="751" spans="1:14">
      <c r="A751">
        <v>750</v>
      </c>
      <c r="B751">
        <v>1105</v>
      </c>
      <c r="C751">
        <v>6</v>
      </c>
      <c r="D751">
        <v>14</v>
      </c>
      <c r="E751">
        <v>6525</v>
      </c>
      <c r="G751">
        <f t="shared" si="44"/>
        <v>-2.1462009303798224</v>
      </c>
      <c r="H751">
        <f t="shared" si="45"/>
        <v>-1.7504309921082488</v>
      </c>
      <c r="I751">
        <f t="shared" si="46"/>
        <v>1.5548703108029782</v>
      </c>
      <c r="K751">
        <f t="shared" si="47"/>
        <v>-0.78058720389503089</v>
      </c>
      <c r="M751">
        <v>750</v>
      </c>
      <c r="N751">
        <v>-0.78058720389503089</v>
      </c>
    </row>
    <row r="752" spans="1:14">
      <c r="A752">
        <v>751</v>
      </c>
      <c r="B752">
        <v>3090</v>
      </c>
      <c r="C752">
        <v>881</v>
      </c>
      <c r="D752">
        <v>36</v>
      </c>
      <c r="E752">
        <v>4350</v>
      </c>
      <c r="G752">
        <f t="shared" si="44"/>
        <v>-0.4259724737551232</v>
      </c>
      <c r="H752">
        <f t="shared" si="45"/>
        <v>-1.7868527284229048</v>
      </c>
      <c r="I752">
        <f t="shared" si="46"/>
        <v>0.93218285034359172</v>
      </c>
      <c r="K752">
        <f t="shared" si="47"/>
        <v>-0.42688078394481216</v>
      </c>
      <c r="M752">
        <v>751</v>
      </c>
      <c r="N752">
        <v>-0.42688078394481216</v>
      </c>
    </row>
    <row r="753" spans="1:14">
      <c r="A753">
        <v>752</v>
      </c>
      <c r="B753">
        <v>1995</v>
      </c>
      <c r="C753">
        <v>7296</v>
      </c>
      <c r="D753">
        <v>1298</v>
      </c>
      <c r="E753">
        <v>775</v>
      </c>
      <c r="G753">
        <f t="shared" si="44"/>
        <v>0.6821520225552562</v>
      </c>
      <c r="H753">
        <f t="shared" si="45"/>
        <v>-3.9864957323773931E-2</v>
      </c>
      <c r="I753">
        <f t="shared" si="46"/>
        <v>0.37301087529733223</v>
      </c>
      <c r="K753">
        <f t="shared" si="47"/>
        <v>0.33843264684293817</v>
      </c>
      <c r="M753">
        <v>752</v>
      </c>
      <c r="N753">
        <v>0.33843264684293817</v>
      </c>
    </row>
    <row r="754" spans="1:14">
      <c r="A754">
        <v>753</v>
      </c>
      <c r="B754">
        <v>1325</v>
      </c>
      <c r="C754">
        <v>2617</v>
      </c>
      <c r="D754">
        <v>686</v>
      </c>
      <c r="E754">
        <v>27384</v>
      </c>
      <c r="G754">
        <f t="shared" si="44"/>
        <v>0.4145979416247178</v>
      </c>
      <c r="H754">
        <f t="shared" si="45"/>
        <v>-0.13908851233143235</v>
      </c>
      <c r="I754">
        <f t="shared" si="46"/>
        <v>2.0989330806707831</v>
      </c>
      <c r="K754">
        <f t="shared" si="47"/>
        <v>0.79148083665468949</v>
      </c>
      <c r="M754">
        <v>753</v>
      </c>
      <c r="N754">
        <v>0.79148083665468949</v>
      </c>
    </row>
    <row r="755" spans="1:14">
      <c r="A755">
        <v>754</v>
      </c>
      <c r="B755">
        <v>943</v>
      </c>
      <c r="C755">
        <v>45339</v>
      </c>
      <c r="D755">
        <v>569</v>
      </c>
      <c r="E755">
        <v>118</v>
      </c>
      <c r="G755">
        <f t="shared" si="44"/>
        <v>1.8009703415884852</v>
      </c>
      <c r="H755">
        <f t="shared" si="45"/>
        <v>-7.2596176107614568E-2</v>
      </c>
      <c r="I755">
        <f t="shared" si="46"/>
        <v>-0.11897761261741391</v>
      </c>
      <c r="K755">
        <f t="shared" si="47"/>
        <v>0.53646551762115224</v>
      </c>
      <c r="M755">
        <v>754</v>
      </c>
      <c r="N755">
        <v>0.53646551762115224</v>
      </c>
    </row>
    <row r="756" spans="1:14">
      <c r="A756">
        <v>755</v>
      </c>
      <c r="B756">
        <v>2587</v>
      </c>
      <c r="C756">
        <v>10793</v>
      </c>
      <c r="D756">
        <v>16</v>
      </c>
      <c r="E756">
        <v>3282</v>
      </c>
      <c r="G756">
        <f t="shared" si="44"/>
        <v>0.73935584560174472</v>
      </c>
      <c r="H756">
        <f t="shared" si="45"/>
        <v>-2.0618731958259762</v>
      </c>
      <c r="I756">
        <f t="shared" si="46"/>
        <v>0.88699422081432</v>
      </c>
      <c r="K756">
        <f t="shared" si="47"/>
        <v>-0.14517437646997045</v>
      </c>
      <c r="M756">
        <v>755</v>
      </c>
      <c r="N756">
        <v>-0.14517437646997045</v>
      </c>
    </row>
    <row r="757" spans="1:14">
      <c r="A757">
        <v>756</v>
      </c>
      <c r="B757">
        <v>885</v>
      </c>
      <c r="C757">
        <v>331</v>
      </c>
      <c r="D757">
        <v>3</v>
      </c>
      <c r="E757">
        <v>174</v>
      </c>
      <c r="G757">
        <f t="shared" si="44"/>
        <v>-0.30810517966444323</v>
      </c>
      <c r="H757">
        <f t="shared" si="45"/>
        <v>-2.3230187657435204</v>
      </c>
      <c r="I757">
        <f t="shared" si="46"/>
        <v>7.7258050398563372E-2</v>
      </c>
      <c r="K757">
        <f t="shared" si="47"/>
        <v>-0.85128863166979996</v>
      </c>
      <c r="M757">
        <v>756</v>
      </c>
      <c r="N757">
        <v>-0.85128863166979996</v>
      </c>
    </row>
    <row r="758" spans="1:14">
      <c r="A758">
        <v>757</v>
      </c>
      <c r="B758">
        <v>2801</v>
      </c>
      <c r="C758">
        <v>53367</v>
      </c>
      <c r="D758">
        <v>247</v>
      </c>
      <c r="E758">
        <v>1236</v>
      </c>
      <c r="G758">
        <f t="shared" si="44"/>
        <v>1.3989697782703696</v>
      </c>
      <c r="H758">
        <f t="shared" si="45"/>
        <v>-0.90781290532925973</v>
      </c>
      <c r="I758">
        <f t="shared" si="46"/>
        <v>0.4283574347430178</v>
      </c>
      <c r="K758">
        <f t="shared" si="47"/>
        <v>0.30650476922804254</v>
      </c>
      <c r="M758">
        <v>757</v>
      </c>
      <c r="N758">
        <v>0.30650476922804254</v>
      </c>
    </row>
    <row r="759" spans="1:14">
      <c r="A759">
        <v>758</v>
      </c>
      <c r="B759">
        <v>1665</v>
      </c>
      <c r="C759">
        <v>62</v>
      </c>
      <c r="D759">
        <v>6</v>
      </c>
      <c r="E759">
        <v>261</v>
      </c>
      <c r="G759">
        <f t="shared" si="44"/>
        <v>-1.3100124510864213</v>
      </c>
      <c r="H759">
        <f t="shared" si="45"/>
        <v>-2.2964597372240525</v>
      </c>
      <c r="I759">
        <f t="shared" si="46"/>
        <v>-2.1121657690268636E-2</v>
      </c>
      <c r="K759">
        <f t="shared" si="47"/>
        <v>-1.2091979486669142</v>
      </c>
      <c r="M759">
        <v>758</v>
      </c>
      <c r="N759">
        <v>-1.2091979486669142</v>
      </c>
    </row>
    <row r="760" spans="1:14">
      <c r="A760">
        <v>759</v>
      </c>
      <c r="B760">
        <v>3146</v>
      </c>
      <c r="C760">
        <v>2</v>
      </c>
      <c r="D760">
        <v>27</v>
      </c>
      <c r="E760">
        <v>238</v>
      </c>
      <c r="G760">
        <f t="shared" si="44"/>
        <v>-3.0777186253656232</v>
      </c>
      <c r="H760">
        <f t="shared" si="45"/>
        <v>-1.9195917038936381</v>
      </c>
      <c r="I760">
        <f t="shared" si="46"/>
        <v>-0.33752968841696696</v>
      </c>
      <c r="K760">
        <f t="shared" si="47"/>
        <v>-1.778280005892076</v>
      </c>
      <c r="M760">
        <v>759</v>
      </c>
      <c r="N760">
        <v>-1.778280005892076</v>
      </c>
    </row>
    <row r="761" spans="1:14">
      <c r="A761">
        <v>760</v>
      </c>
      <c r="B761">
        <v>536</v>
      </c>
      <c r="C761">
        <v>7</v>
      </c>
      <c r="D761">
        <v>114</v>
      </c>
      <c r="E761">
        <v>32</v>
      </c>
      <c r="G761">
        <f t="shared" si="44"/>
        <v>-1.7650566524208497</v>
      </c>
      <c r="H761">
        <f t="shared" si="45"/>
        <v>-0.52545668812165469</v>
      </c>
      <c r="I761">
        <f t="shared" si="46"/>
        <v>-0.44036273855907493</v>
      </c>
      <c r="K761">
        <f t="shared" si="47"/>
        <v>-0.91029202636719297</v>
      </c>
      <c r="M761">
        <v>760</v>
      </c>
      <c r="N761">
        <v>-0.91029202636719297</v>
      </c>
    </row>
    <row r="762" spans="1:14">
      <c r="A762">
        <v>761</v>
      </c>
      <c r="B762">
        <v>1863</v>
      </c>
      <c r="C762">
        <v>7956</v>
      </c>
      <c r="D762">
        <v>35</v>
      </c>
      <c r="E762">
        <v>2696</v>
      </c>
      <c r="G762">
        <f t="shared" si="44"/>
        <v>0.74949201681381883</v>
      </c>
      <c r="H762">
        <f t="shared" si="45"/>
        <v>-1.5793415603113243</v>
      </c>
      <c r="I762">
        <f t="shared" si="46"/>
        <v>0.94415910578082862</v>
      </c>
      <c r="K762">
        <f t="shared" si="47"/>
        <v>3.8103187427774375E-2</v>
      </c>
      <c r="M762">
        <v>761</v>
      </c>
      <c r="N762">
        <v>3.8103187427774375E-2</v>
      </c>
    </row>
    <row r="763" spans="1:14">
      <c r="A763">
        <v>762</v>
      </c>
      <c r="B763">
        <v>809</v>
      </c>
      <c r="C763">
        <v>8614</v>
      </c>
      <c r="D763">
        <v>26</v>
      </c>
      <c r="E763">
        <v>1055</v>
      </c>
      <c r="G763">
        <f t="shared" si="44"/>
        <v>1.1462664430719725</v>
      </c>
      <c r="H763">
        <f t="shared" si="45"/>
        <v>-1.3461719234068117</v>
      </c>
      <c r="I763">
        <f t="shared" si="46"/>
        <v>0.89895601083522814</v>
      </c>
      <c r="K763">
        <f t="shared" si="47"/>
        <v>0.23301684350012963</v>
      </c>
      <c r="M763">
        <v>762</v>
      </c>
      <c r="N763">
        <v>0.23301684350012963</v>
      </c>
    </row>
    <row r="764" spans="1:14">
      <c r="A764">
        <v>763</v>
      </c>
      <c r="B764">
        <v>1383</v>
      </c>
      <c r="C764">
        <v>3803</v>
      </c>
      <c r="D764">
        <v>578</v>
      </c>
      <c r="E764">
        <v>2541</v>
      </c>
      <c r="G764">
        <f t="shared" si="44"/>
        <v>0.55831424255993534</v>
      </c>
      <c r="H764">
        <f t="shared" si="45"/>
        <v>-0.23209109145413889</v>
      </c>
      <c r="I764">
        <f t="shared" si="46"/>
        <v>1.0478345577548478</v>
      </c>
      <c r="K764">
        <f t="shared" si="47"/>
        <v>0.4580192362868814</v>
      </c>
      <c r="M764">
        <v>763</v>
      </c>
      <c r="N764">
        <v>0.4580192362868814</v>
      </c>
    </row>
    <row r="765" spans="1:14">
      <c r="A765">
        <v>764</v>
      </c>
      <c r="B765">
        <v>1368</v>
      </c>
      <c r="C765">
        <v>1113</v>
      </c>
      <c r="D765">
        <v>6</v>
      </c>
      <c r="E765">
        <v>44</v>
      </c>
      <c r="G765">
        <f t="shared" si="44"/>
        <v>2.9419164208274382E-2</v>
      </c>
      <c r="H765">
        <f t="shared" si="45"/>
        <v>-2.2111315967658114</v>
      </c>
      <c r="I765">
        <f t="shared" si="46"/>
        <v>-0.70898134808412094</v>
      </c>
      <c r="K765">
        <f t="shared" si="47"/>
        <v>-0.96356459354721924</v>
      </c>
      <c r="M765">
        <v>764</v>
      </c>
      <c r="N765">
        <v>-0.96356459354721924</v>
      </c>
    </row>
    <row r="766" spans="1:14">
      <c r="A766">
        <v>765</v>
      </c>
      <c r="B766">
        <v>3657</v>
      </c>
      <c r="C766">
        <v>6742</v>
      </c>
      <c r="D766">
        <v>9159</v>
      </c>
      <c r="E766">
        <v>3006</v>
      </c>
      <c r="G766">
        <f t="shared" si="44"/>
        <v>0.38467388510457223</v>
      </c>
      <c r="H766">
        <f t="shared" si="45"/>
        <v>0.54552634891492258</v>
      </c>
      <c r="I766">
        <f t="shared" si="46"/>
        <v>0.69851608872663395</v>
      </c>
      <c r="K766">
        <f t="shared" si="47"/>
        <v>0.54290544091537629</v>
      </c>
      <c r="M766">
        <v>765</v>
      </c>
      <c r="N766">
        <v>0.54290544091537629</v>
      </c>
    </row>
    <row r="767" spans="1:14">
      <c r="A767">
        <v>766</v>
      </c>
      <c r="B767">
        <v>820</v>
      </c>
      <c r="C767">
        <v>22</v>
      </c>
      <c r="D767">
        <v>156</v>
      </c>
      <c r="E767">
        <v>24</v>
      </c>
      <c r="G767">
        <f t="shared" si="44"/>
        <v>-1.452381074303847</v>
      </c>
      <c r="H767">
        <f t="shared" si="45"/>
        <v>-0.57388600379461241</v>
      </c>
      <c r="I767">
        <f t="shared" si="46"/>
        <v>-0.74995053785832155</v>
      </c>
      <c r="K767">
        <f t="shared" si="47"/>
        <v>-0.92540587198559365</v>
      </c>
      <c r="M767">
        <v>766</v>
      </c>
      <c r="N767">
        <v>-0.92540587198559365</v>
      </c>
    </row>
    <row r="768" spans="1:14">
      <c r="A768">
        <v>767</v>
      </c>
      <c r="B768">
        <v>2080</v>
      </c>
      <c r="C768">
        <v>839</v>
      </c>
      <c r="D768">
        <v>856</v>
      </c>
      <c r="E768">
        <v>1610</v>
      </c>
      <c r="G768">
        <f t="shared" si="44"/>
        <v>-0.27529127687639776</v>
      </c>
      <c r="H768">
        <f t="shared" si="45"/>
        <v>-0.2387863200509657</v>
      </c>
      <c r="I768">
        <f t="shared" si="46"/>
        <v>0.67241461388287715</v>
      </c>
      <c r="K768">
        <f t="shared" si="47"/>
        <v>5.2779005651837907E-2</v>
      </c>
      <c r="M768">
        <v>767</v>
      </c>
      <c r="N768">
        <v>5.2779005651837907E-2</v>
      </c>
    </row>
    <row r="769" spans="1:14">
      <c r="A769">
        <v>768</v>
      </c>
      <c r="B769">
        <v>1119</v>
      </c>
      <c r="C769">
        <v>2217</v>
      </c>
      <c r="D769">
        <v>407</v>
      </c>
      <c r="E769">
        <v>1940</v>
      </c>
      <c r="G769">
        <f t="shared" si="44"/>
        <v>0.41594570384380158</v>
      </c>
      <c r="H769">
        <f t="shared" si="45"/>
        <v>-0.29243242706848738</v>
      </c>
      <c r="I769">
        <f t="shared" si="46"/>
        <v>1.0226237162156651</v>
      </c>
      <c r="K769">
        <f t="shared" si="47"/>
        <v>0.38204566433032644</v>
      </c>
      <c r="M769">
        <v>768</v>
      </c>
      <c r="N769">
        <v>0.38204566433032644</v>
      </c>
    </row>
    <row r="770" spans="1:14">
      <c r="A770">
        <v>769</v>
      </c>
      <c r="B770">
        <v>487</v>
      </c>
      <c r="C770">
        <v>896</v>
      </c>
      <c r="D770">
        <v>106</v>
      </c>
      <c r="E770">
        <v>176</v>
      </c>
      <c r="G770">
        <f t="shared" si="44"/>
        <v>0.38378914570515432</v>
      </c>
      <c r="H770">
        <f t="shared" si="45"/>
        <v>-0.51541984571522137</v>
      </c>
      <c r="I770">
        <f t="shared" si="46"/>
        <v>0.34163577941330453</v>
      </c>
      <c r="K770">
        <f t="shared" si="47"/>
        <v>7.0001693134412499E-2</v>
      </c>
      <c r="M770">
        <v>769</v>
      </c>
      <c r="N770">
        <v>7.0001693134412499E-2</v>
      </c>
    </row>
    <row r="771" spans="1:14">
      <c r="A771">
        <v>770</v>
      </c>
      <c r="B771">
        <v>2042</v>
      </c>
      <c r="C771">
        <v>574</v>
      </c>
      <c r="D771">
        <v>95</v>
      </c>
      <c r="E771">
        <v>2489</v>
      </c>
      <c r="G771">
        <f t="shared" ref="G771:G834" si="48">LOG10(C771/B771)-LOG10(28875/37978)</f>
        <v>-0.43213374809525446</v>
      </c>
      <c r="H771">
        <f t="shared" ref="H771:H834" si="49">LOG10(D771/B771)-LOG10(27085/37978)</f>
        <v>-1.185528882227401</v>
      </c>
      <c r="I771">
        <f t="shared" ref="I771:I834" si="50">LOG10(E771/B771)-LOG10(6250/37978)</f>
        <v>0.86962123167149086</v>
      </c>
      <c r="K771">
        <f t="shared" ref="K771:K834" si="51">AVERAGE(G771:I771)</f>
        <v>-0.24934713288372157</v>
      </c>
      <c r="M771">
        <v>770</v>
      </c>
      <c r="N771">
        <v>-0.24934713288372157</v>
      </c>
    </row>
    <row r="772" spans="1:14">
      <c r="A772">
        <v>771</v>
      </c>
      <c r="B772">
        <v>3239</v>
      </c>
      <c r="C772">
        <v>23002</v>
      </c>
      <c r="D772">
        <v>636</v>
      </c>
      <c r="E772">
        <v>10616</v>
      </c>
      <c r="G772">
        <f t="shared" si="48"/>
        <v>0.97036474836078623</v>
      </c>
      <c r="H772">
        <f t="shared" si="49"/>
        <v>-0.56015058212712032</v>
      </c>
      <c r="I772">
        <f t="shared" si="50"/>
        <v>1.2992020346599911</v>
      </c>
      <c r="K772">
        <f t="shared" si="51"/>
        <v>0.56980540029788562</v>
      </c>
      <c r="M772">
        <v>771</v>
      </c>
      <c r="N772">
        <v>0.56980540029788562</v>
      </c>
    </row>
    <row r="773" spans="1:14">
      <c r="A773">
        <v>772</v>
      </c>
      <c r="B773">
        <v>1043</v>
      </c>
      <c r="C773">
        <v>15609</v>
      </c>
      <c r="D773">
        <v>41</v>
      </c>
      <c r="E773">
        <v>634</v>
      </c>
      <c r="G773">
        <f t="shared" si="48"/>
        <v>1.2941008694468317</v>
      </c>
      <c r="H773">
        <f t="shared" si="49"/>
        <v>-1.2586972014721529</v>
      </c>
      <c r="I773">
        <f t="shared" si="50"/>
        <v>0.56745702226899075</v>
      </c>
      <c r="K773">
        <f t="shared" si="51"/>
        <v>0.2009535634145565</v>
      </c>
      <c r="M773">
        <v>772</v>
      </c>
      <c r="N773">
        <v>0.2009535634145565</v>
      </c>
    </row>
    <row r="774" spans="1:14">
      <c r="A774">
        <v>773</v>
      </c>
      <c r="B774">
        <v>453</v>
      </c>
      <c r="C774">
        <v>2126</v>
      </c>
      <c r="D774">
        <v>20</v>
      </c>
      <c r="E774">
        <v>931</v>
      </c>
      <c r="G774">
        <f t="shared" si="48"/>
        <v>0.79047515543210956</v>
      </c>
      <c r="H774">
        <f t="shared" si="49"/>
        <v>-1.208264956114208</v>
      </c>
      <c r="I774">
        <f t="shared" si="50"/>
        <v>1.0965035517822999</v>
      </c>
      <c r="K774">
        <f t="shared" si="51"/>
        <v>0.22623791703340046</v>
      </c>
      <c r="M774">
        <v>773</v>
      </c>
      <c r="N774">
        <v>0.22623791703340046</v>
      </c>
    </row>
    <row r="775" spans="1:14">
      <c r="A775">
        <v>774</v>
      </c>
      <c r="B775">
        <v>3198</v>
      </c>
      <c r="C775">
        <v>22200</v>
      </c>
      <c r="D775">
        <v>592</v>
      </c>
      <c r="E775">
        <v>2411</v>
      </c>
      <c r="G775">
        <f t="shared" si="48"/>
        <v>0.96048461229808624</v>
      </c>
      <c r="H775">
        <f t="shared" si="49"/>
        <v>-0.58575350245265345</v>
      </c>
      <c r="I775">
        <f t="shared" si="50"/>
        <v>0.66097082378102678</v>
      </c>
      <c r="K775">
        <f t="shared" si="51"/>
        <v>0.34523397787548654</v>
      </c>
      <c r="M775">
        <v>774</v>
      </c>
      <c r="N775">
        <v>0.34523397787548654</v>
      </c>
    </row>
    <row r="776" spans="1:14">
      <c r="A776">
        <v>775</v>
      </c>
      <c r="B776">
        <v>1222</v>
      </c>
      <c r="C776">
        <v>1623</v>
      </c>
      <c r="D776">
        <v>26</v>
      </c>
      <c r="E776">
        <v>52</v>
      </c>
      <c r="G776">
        <f t="shared" si="48"/>
        <v>0.24225741117735988</v>
      </c>
      <c r="H776">
        <f t="shared" si="49"/>
        <v>-1.5252946077010749</v>
      </c>
      <c r="I776">
        <f t="shared" si="50"/>
        <v>-0.58741578945794726</v>
      </c>
      <c r="K776">
        <f t="shared" si="51"/>
        <v>-0.62348432866055414</v>
      </c>
      <c r="M776">
        <v>775</v>
      </c>
      <c r="N776">
        <v>-0.62348432866055414</v>
      </c>
    </row>
    <row r="777" spans="1:14">
      <c r="A777">
        <v>776</v>
      </c>
      <c r="B777">
        <v>682</v>
      </c>
      <c r="C777">
        <v>42</v>
      </c>
      <c r="D777">
        <v>0</v>
      </c>
      <c r="E777">
        <v>33</v>
      </c>
      <c r="G777">
        <f t="shared" si="48"/>
        <v>-1.0915249870009149</v>
      </c>
      <c r="H777" t="e">
        <f t="shared" si="49"/>
        <v>#NUM!</v>
      </c>
      <c r="I777">
        <f t="shared" si="50"/>
        <v>-0.5316183619648025</v>
      </c>
      <c r="K777" t="e">
        <f t="shared" si="51"/>
        <v>#NUM!</v>
      </c>
      <c r="M777">
        <v>776</v>
      </c>
      <c r="N777">
        <v>-3</v>
      </c>
    </row>
    <row r="778" spans="1:14">
      <c r="A778">
        <v>777</v>
      </c>
      <c r="B778">
        <v>1643</v>
      </c>
      <c r="C778">
        <v>2</v>
      </c>
      <c r="D778">
        <v>0</v>
      </c>
      <c r="E778">
        <v>59</v>
      </c>
      <c r="G778">
        <f t="shared" si="48"/>
        <v>-2.795597470513417</v>
      </c>
      <c r="H778" t="e">
        <f t="shared" si="49"/>
        <v>#NUM!</v>
      </c>
      <c r="I778">
        <f t="shared" si="50"/>
        <v>-0.66113347897912855</v>
      </c>
      <c r="K778" t="e">
        <f t="shared" si="51"/>
        <v>#NUM!</v>
      </c>
      <c r="M778">
        <v>777</v>
      </c>
      <c r="N778">
        <v>-3</v>
      </c>
    </row>
    <row r="779" spans="1:14">
      <c r="A779">
        <v>778</v>
      </c>
      <c r="B779">
        <v>3204</v>
      </c>
      <c r="C779">
        <v>14997</v>
      </c>
      <c r="D779">
        <v>4703</v>
      </c>
      <c r="E779">
        <v>11627</v>
      </c>
      <c r="G779">
        <f t="shared" si="48"/>
        <v>0.78932198131771603</v>
      </c>
      <c r="H779">
        <f t="shared" si="49"/>
        <v>0.31348572156852206</v>
      </c>
      <c r="I779">
        <f t="shared" si="50"/>
        <v>1.3434272378672403</v>
      </c>
      <c r="K779">
        <f t="shared" si="51"/>
        <v>0.81541164691782608</v>
      </c>
      <c r="M779">
        <v>778</v>
      </c>
      <c r="N779">
        <v>0.81541164691782608</v>
      </c>
    </row>
    <row r="780" spans="1:14">
      <c r="A780">
        <v>779</v>
      </c>
      <c r="B780">
        <v>929</v>
      </c>
      <c r="C780">
        <v>75</v>
      </c>
      <c r="D780">
        <v>21</v>
      </c>
      <c r="E780">
        <v>159</v>
      </c>
      <c r="G780">
        <f t="shared" si="48"/>
        <v>-0.97394435334427831</v>
      </c>
      <c r="H780">
        <f t="shared" si="49"/>
        <v>-1.49899316902508</v>
      </c>
      <c r="I780">
        <f t="shared" si="50"/>
        <v>1.7033483140598715E-2</v>
      </c>
      <c r="K780">
        <f t="shared" si="51"/>
        <v>-0.81863467974291992</v>
      </c>
      <c r="M780">
        <v>779</v>
      </c>
      <c r="N780">
        <v>-0.81863467974291992</v>
      </c>
    </row>
    <row r="781" spans="1:14">
      <c r="A781">
        <v>780</v>
      </c>
      <c r="B781">
        <v>1121</v>
      </c>
      <c r="C781">
        <v>731</v>
      </c>
      <c r="D781">
        <v>12</v>
      </c>
      <c r="E781">
        <v>387</v>
      </c>
      <c r="G781">
        <f t="shared" si="48"/>
        <v>-6.6678138379449262E-2</v>
      </c>
      <c r="H781">
        <f t="shared" si="49"/>
        <v>-1.8236211163127058</v>
      </c>
      <c r="I781">
        <f t="shared" si="50"/>
        <v>0.32175742523772721</v>
      </c>
      <c r="K781">
        <f t="shared" si="51"/>
        <v>-0.52284727648480933</v>
      </c>
      <c r="M781">
        <v>780</v>
      </c>
      <c r="N781">
        <v>-0.52284727648480933</v>
      </c>
    </row>
    <row r="782" spans="1:14">
      <c r="A782">
        <v>781</v>
      </c>
      <c r="B782">
        <v>795</v>
      </c>
      <c r="C782">
        <v>4009</v>
      </c>
      <c r="D782">
        <v>6</v>
      </c>
      <c r="E782">
        <v>22</v>
      </c>
      <c r="G782">
        <f t="shared" si="48"/>
        <v>0.82167902485171485</v>
      </c>
      <c r="H782">
        <f t="shared" si="49"/>
        <v>-1.9754126280381841</v>
      </c>
      <c r="I782">
        <f t="shared" si="50"/>
        <v>-0.7742923750204751</v>
      </c>
      <c r="K782">
        <f t="shared" si="51"/>
        <v>-0.64267532606898137</v>
      </c>
      <c r="M782">
        <v>781</v>
      </c>
      <c r="N782">
        <v>-0.64267532606898137</v>
      </c>
    </row>
    <row r="783" spans="1:14">
      <c r="A783">
        <v>782</v>
      </c>
      <c r="B783">
        <v>477</v>
      </c>
      <c r="C783">
        <v>465</v>
      </c>
      <c r="D783">
        <v>744</v>
      </c>
      <c r="E783">
        <v>1304</v>
      </c>
      <c r="G783">
        <f t="shared" si="48"/>
        <v>0.10794467110750347</v>
      </c>
      <c r="H783">
        <f t="shared" si="49"/>
        <v>0.33985780674040744</v>
      </c>
      <c r="I783">
        <f t="shared" si="50"/>
        <v>1.2204112851695765</v>
      </c>
      <c r="K783">
        <f t="shared" si="51"/>
        <v>0.55607125433916249</v>
      </c>
      <c r="M783">
        <v>782</v>
      </c>
      <c r="N783">
        <v>0.55607125433916249</v>
      </c>
    </row>
    <row r="784" spans="1:14">
      <c r="A784">
        <v>783</v>
      </c>
      <c r="B784">
        <v>1072</v>
      </c>
      <c r="C784">
        <v>288</v>
      </c>
      <c r="D784">
        <v>20</v>
      </c>
      <c r="E784">
        <v>430</v>
      </c>
      <c r="G784">
        <f t="shared" si="48"/>
        <v>-0.45179220033985684</v>
      </c>
      <c r="H784">
        <f t="shared" si="49"/>
        <v>-1.5823615394581274</v>
      </c>
      <c r="I784">
        <f t="shared" si="50"/>
        <v>0.38692574303662436</v>
      </c>
      <c r="K784">
        <f t="shared" si="51"/>
        <v>-0.54907599892045322</v>
      </c>
      <c r="M784">
        <v>783</v>
      </c>
      <c r="N784">
        <v>-0.54907599892045322</v>
      </c>
    </row>
    <row r="785" spans="1:14">
      <c r="A785">
        <v>784</v>
      </c>
      <c r="B785">
        <v>1619</v>
      </c>
      <c r="C785">
        <v>24</v>
      </c>
      <c r="D785">
        <v>25</v>
      </c>
      <c r="E785">
        <v>567</v>
      </c>
      <c r="G785">
        <f t="shared" si="48"/>
        <v>-1.7100255097841042</v>
      </c>
      <c r="H785">
        <f t="shared" si="49"/>
        <v>-1.6645035898466936</v>
      </c>
      <c r="I785">
        <f t="shared" si="50"/>
        <v>0.32798828295332183</v>
      </c>
      <c r="K785">
        <f t="shared" si="51"/>
        <v>-1.0155136055591587</v>
      </c>
      <c r="M785">
        <v>784</v>
      </c>
      <c r="N785">
        <v>-1.0155136055591587</v>
      </c>
    </row>
    <row r="786" spans="1:14">
      <c r="A786">
        <v>785</v>
      </c>
      <c r="B786">
        <v>5341</v>
      </c>
      <c r="C786">
        <v>13053</v>
      </c>
      <c r="D786">
        <v>953</v>
      </c>
      <c r="E786">
        <v>5678</v>
      </c>
      <c r="G786">
        <f t="shared" si="48"/>
        <v>0.50709785730090562</v>
      </c>
      <c r="H786">
        <f t="shared" si="49"/>
        <v>-0.60172642709616819</v>
      </c>
      <c r="I786">
        <f t="shared" si="50"/>
        <v>0.81022488303449014</v>
      </c>
      <c r="K786">
        <f t="shared" si="51"/>
        <v>0.23853210441307585</v>
      </c>
      <c r="M786">
        <v>785</v>
      </c>
      <c r="N786">
        <v>0.23853210441307585</v>
      </c>
    </row>
    <row r="787" spans="1:14">
      <c r="A787">
        <v>786</v>
      </c>
      <c r="B787">
        <v>2657</v>
      </c>
      <c r="C787">
        <v>21604</v>
      </c>
      <c r="D787">
        <v>62</v>
      </c>
      <c r="E787">
        <v>2341</v>
      </c>
      <c r="G787">
        <f t="shared" si="48"/>
        <v>1.0291527114565417</v>
      </c>
      <c r="H787">
        <f t="shared" si="49"/>
        <v>-1.485196614677381</v>
      </c>
      <c r="I787">
        <f t="shared" si="50"/>
        <v>0.72866193210013586</v>
      </c>
      <c r="K787">
        <f t="shared" si="51"/>
        <v>9.0872676293098878E-2</v>
      </c>
      <c r="M787">
        <v>786</v>
      </c>
      <c r="N787">
        <v>9.0872676293098878E-2</v>
      </c>
    </row>
    <row r="788" spans="1:14">
      <c r="A788">
        <v>787</v>
      </c>
      <c r="B788">
        <v>3292</v>
      </c>
      <c r="C788">
        <v>4912</v>
      </c>
      <c r="D788">
        <v>237</v>
      </c>
      <c r="E788">
        <v>2036</v>
      </c>
      <c r="G788">
        <f t="shared" si="48"/>
        <v>0.29280862885054254</v>
      </c>
      <c r="H788">
        <f t="shared" si="49"/>
        <v>-0.9959082302954857</v>
      </c>
      <c r="I788">
        <f t="shared" si="50"/>
        <v>0.5749700199382779</v>
      </c>
      <c r="K788">
        <f t="shared" si="51"/>
        <v>-4.2709860502221732E-2</v>
      </c>
      <c r="M788">
        <v>787</v>
      </c>
      <c r="N788">
        <v>-4.2709860502221732E-2</v>
      </c>
    </row>
    <row r="789" spans="1:14">
      <c r="A789">
        <v>788</v>
      </c>
      <c r="B789">
        <v>1303</v>
      </c>
      <c r="C789">
        <v>34</v>
      </c>
      <c r="D789">
        <v>34299</v>
      </c>
      <c r="E789">
        <v>51</v>
      </c>
      <c r="G789">
        <f t="shared" si="48"/>
        <v>-1.4644554014126661</v>
      </c>
      <c r="H789">
        <f t="shared" si="49"/>
        <v>1.56714029273355</v>
      </c>
      <c r="I789">
        <f t="shared" si="50"/>
        <v>-0.62372216680085923</v>
      </c>
      <c r="K789">
        <f t="shared" si="51"/>
        <v>-0.17367909182665842</v>
      </c>
      <c r="M789">
        <v>788</v>
      </c>
      <c r="N789">
        <v>-0.17367909182665842</v>
      </c>
    </row>
    <row r="790" spans="1:14">
      <c r="A790">
        <v>789</v>
      </c>
      <c r="B790">
        <v>2180</v>
      </c>
      <c r="C790">
        <v>15979</v>
      </c>
      <c r="D790">
        <v>477</v>
      </c>
      <c r="E790">
        <v>7072</v>
      </c>
      <c r="G790">
        <f t="shared" si="48"/>
        <v>0.98410320040379973</v>
      </c>
      <c r="H790">
        <f t="shared" si="49"/>
        <v>-0.51313486432984823</v>
      </c>
      <c r="I790">
        <f t="shared" si="50"/>
        <v>1.2947378312142008</v>
      </c>
      <c r="K790">
        <f t="shared" si="51"/>
        <v>0.58856872242938418</v>
      </c>
      <c r="M790">
        <v>789</v>
      </c>
      <c r="N790">
        <v>0.58856872242938418</v>
      </c>
    </row>
    <row r="791" spans="1:14">
      <c r="A791">
        <v>790</v>
      </c>
      <c r="B791">
        <v>932</v>
      </c>
      <c r="C791">
        <v>222</v>
      </c>
      <c r="D791">
        <v>23</v>
      </c>
      <c r="E791">
        <v>200</v>
      </c>
      <c r="G791">
        <f t="shared" si="48"/>
        <v>-0.50405284064567923</v>
      </c>
      <c r="H791">
        <f t="shared" si="49"/>
        <v>-1.460884826101746</v>
      </c>
      <c r="I791">
        <f t="shared" si="50"/>
        <v>0.11526615612378888</v>
      </c>
      <c r="K791">
        <f t="shared" si="51"/>
        <v>-0.61655717020787881</v>
      </c>
      <c r="M791">
        <v>790</v>
      </c>
      <c r="N791">
        <v>-0.61655717020787881</v>
      </c>
    </row>
    <row r="792" spans="1:14">
      <c r="A792">
        <v>791</v>
      </c>
      <c r="B792">
        <v>755</v>
      </c>
      <c r="C792">
        <v>43</v>
      </c>
      <c r="D792">
        <v>6</v>
      </c>
      <c r="E792">
        <v>465</v>
      </c>
      <c r="G792">
        <f t="shared" si="48"/>
        <v>-1.1254683987919383</v>
      </c>
      <c r="H792">
        <f t="shared" si="49"/>
        <v>-1.952992451010902</v>
      </c>
      <c r="I792">
        <f t="shared" si="50"/>
        <v>0.57315807407455477</v>
      </c>
      <c r="K792">
        <f t="shared" si="51"/>
        <v>-0.8351009252427618</v>
      </c>
      <c r="M792">
        <v>791</v>
      </c>
      <c r="N792">
        <v>-0.8351009252427618</v>
      </c>
    </row>
    <row r="793" spans="1:14">
      <c r="A793">
        <v>792</v>
      </c>
      <c r="B793">
        <v>1658</v>
      </c>
      <c r="C793">
        <v>1193</v>
      </c>
      <c r="D793">
        <v>17</v>
      </c>
      <c r="E793">
        <v>237</v>
      </c>
      <c r="G793">
        <f t="shared" si="48"/>
        <v>-2.3933985286249418E-2</v>
      </c>
      <c r="H793">
        <f t="shared" si="49"/>
        <v>-1.8423323546013382</v>
      </c>
      <c r="I793">
        <f t="shared" si="50"/>
        <v>-6.1184107390361842E-2</v>
      </c>
      <c r="K793">
        <f t="shared" si="51"/>
        <v>-0.64248348242598319</v>
      </c>
      <c r="M793">
        <v>792</v>
      </c>
      <c r="N793">
        <v>-0.64248348242598319</v>
      </c>
    </row>
    <row r="794" spans="1:14">
      <c r="A794">
        <v>793</v>
      </c>
      <c r="B794">
        <v>3673</v>
      </c>
      <c r="C794">
        <v>15958</v>
      </c>
      <c r="D794">
        <v>353</v>
      </c>
      <c r="E794">
        <v>6074</v>
      </c>
      <c r="G794">
        <f t="shared" si="48"/>
        <v>0.75696762964943487</v>
      </c>
      <c r="H794">
        <f t="shared" si="49"/>
        <v>-0.87044297272282856</v>
      </c>
      <c r="I794">
        <f t="shared" si="50"/>
        <v>1.0021059320507417</v>
      </c>
      <c r="K794">
        <f t="shared" si="51"/>
        <v>0.29621019632578266</v>
      </c>
      <c r="M794">
        <v>793</v>
      </c>
      <c r="N794">
        <v>0.29621019632578266</v>
      </c>
    </row>
    <row r="795" spans="1:14">
      <c r="A795">
        <v>794</v>
      </c>
      <c r="B795">
        <v>2249</v>
      </c>
      <c r="C795">
        <v>182</v>
      </c>
      <c r="D795">
        <v>14</v>
      </c>
      <c r="E795">
        <v>48</v>
      </c>
      <c r="G795">
        <f t="shared" si="48"/>
        <v>-0.97290797019289388</v>
      </c>
      <c r="H795">
        <f t="shared" si="49"/>
        <v>-2.0590581695227517</v>
      </c>
      <c r="I795">
        <f t="shared" si="50"/>
        <v>-0.88709614524625602</v>
      </c>
      <c r="K795">
        <f t="shared" si="51"/>
        <v>-1.3063540949873005</v>
      </c>
      <c r="M795">
        <v>794</v>
      </c>
      <c r="N795">
        <v>-1.3063540949873005</v>
      </c>
    </row>
    <row r="796" spans="1:14">
      <c r="A796">
        <v>795</v>
      </c>
      <c r="B796">
        <v>2661</v>
      </c>
      <c r="C796">
        <v>1074</v>
      </c>
      <c r="D796">
        <v>16</v>
      </c>
      <c r="E796">
        <v>585</v>
      </c>
      <c r="G796">
        <f t="shared" si="48"/>
        <v>-0.27503049593018858</v>
      </c>
      <c r="H796">
        <f t="shared" si="49"/>
        <v>-2.0741216416608217</v>
      </c>
      <c r="I796">
        <f t="shared" si="50"/>
        <v>0.12576306434458062</v>
      </c>
      <c r="K796">
        <f t="shared" si="51"/>
        <v>-0.7411296910821431</v>
      </c>
      <c r="M796">
        <v>795</v>
      </c>
      <c r="N796">
        <v>-0.7411296910821431</v>
      </c>
    </row>
    <row r="797" spans="1:14">
      <c r="A797">
        <v>796</v>
      </c>
      <c r="B797">
        <v>1591</v>
      </c>
      <c r="C797">
        <v>8</v>
      </c>
      <c r="D797">
        <v>0</v>
      </c>
      <c r="E797">
        <v>1</v>
      </c>
      <c r="G797">
        <f t="shared" si="48"/>
        <v>-2.1795700953969743</v>
      </c>
      <c r="H797" t="e">
        <f t="shared" si="49"/>
        <v>#NUM!</v>
      </c>
      <c r="I797">
        <f t="shared" si="50"/>
        <v>-2.4180181068327924</v>
      </c>
      <c r="K797" t="e">
        <f t="shared" si="51"/>
        <v>#NUM!</v>
      </c>
      <c r="M797">
        <v>796</v>
      </c>
      <c r="N797">
        <v>-3</v>
      </c>
    </row>
    <row r="798" spans="1:14">
      <c r="A798">
        <v>797</v>
      </c>
      <c r="B798">
        <v>1137</v>
      </c>
      <c r="C798">
        <v>5160</v>
      </c>
      <c r="D798">
        <v>369</v>
      </c>
      <c r="E798">
        <v>10</v>
      </c>
      <c r="G798">
        <f t="shared" si="48"/>
        <v>0.77589933419713997</v>
      </c>
      <c r="H798">
        <f t="shared" si="49"/>
        <v>-0.34193084829403175</v>
      </c>
      <c r="I798">
        <f t="shared" si="50"/>
        <v>-1.2721083918739458</v>
      </c>
      <c r="K798">
        <f t="shared" si="51"/>
        <v>-0.27937996865694587</v>
      </c>
      <c r="M798">
        <v>797</v>
      </c>
      <c r="N798">
        <v>-0.27937996865694587</v>
      </c>
    </row>
    <row r="799" spans="1:14">
      <c r="A799">
        <v>798</v>
      </c>
      <c r="B799">
        <v>1774</v>
      </c>
      <c r="C799">
        <v>1608</v>
      </c>
      <c r="D799">
        <v>229</v>
      </c>
      <c r="E799">
        <v>1957</v>
      </c>
      <c r="G799">
        <f t="shared" si="48"/>
        <v>7.6342526174388331E-2</v>
      </c>
      <c r="H799">
        <f t="shared" si="49"/>
        <v>-0.74231488292117687</v>
      </c>
      <c r="I799">
        <f t="shared" si="50"/>
        <v>0.82628928297608251</v>
      </c>
      <c r="K799">
        <f t="shared" si="51"/>
        <v>5.3438975409764645E-2</v>
      </c>
      <c r="M799">
        <v>798</v>
      </c>
      <c r="N799">
        <v>5.3438975409764645E-2</v>
      </c>
    </row>
    <row r="800" spans="1:14">
      <c r="A800">
        <v>799</v>
      </c>
      <c r="B800">
        <v>1115</v>
      </c>
      <c r="C800">
        <v>625</v>
      </c>
      <c r="D800">
        <v>140</v>
      </c>
      <c r="E800">
        <v>473</v>
      </c>
      <c r="G800">
        <f t="shared" si="48"/>
        <v>-0.13238475278244083</v>
      </c>
      <c r="H800">
        <f t="shared" si="49"/>
        <v>-0.75434358147129876</v>
      </c>
      <c r="I800">
        <f t="shared" si="50"/>
        <v>0.41123834616742111</v>
      </c>
      <c r="K800">
        <f t="shared" si="51"/>
        <v>-0.15849666269543947</v>
      </c>
      <c r="M800">
        <v>799</v>
      </c>
      <c r="N800">
        <v>-0.15849666269543947</v>
      </c>
    </row>
    <row r="801" spans="1:14">
      <c r="A801">
        <v>800</v>
      </c>
      <c r="B801">
        <v>1316</v>
      </c>
      <c r="C801">
        <v>63</v>
      </c>
      <c r="D801">
        <v>1080</v>
      </c>
      <c r="E801">
        <v>75</v>
      </c>
      <c r="G801">
        <f t="shared" si="48"/>
        <v>-1.2009052425666915</v>
      </c>
      <c r="H801">
        <f t="shared" si="49"/>
        <v>6.0971116443655646E-2</v>
      </c>
      <c r="I801">
        <f t="shared" si="50"/>
        <v>-0.46054255307244762</v>
      </c>
      <c r="K801">
        <f t="shared" si="51"/>
        <v>-0.53349222639849447</v>
      </c>
      <c r="M801">
        <v>800</v>
      </c>
      <c r="N801">
        <v>-0.53349222639849447</v>
      </c>
    </row>
    <row r="802" spans="1:14">
      <c r="A802">
        <v>801</v>
      </c>
      <c r="B802">
        <v>1222</v>
      </c>
      <c r="C802">
        <v>2</v>
      </c>
      <c r="D802">
        <v>2</v>
      </c>
      <c r="E802">
        <v>35</v>
      </c>
      <c r="G802">
        <f t="shared" si="48"/>
        <v>-2.6670311129848905</v>
      </c>
      <c r="H802">
        <f t="shared" si="49"/>
        <v>-2.6392379600079114</v>
      </c>
      <c r="I802">
        <f t="shared" si="50"/>
        <v>-0.75935108874247081</v>
      </c>
      <c r="K802">
        <f t="shared" si="51"/>
        <v>-2.0218733872450909</v>
      </c>
      <c r="M802">
        <v>801</v>
      </c>
      <c r="N802">
        <v>-2.0218733872450909</v>
      </c>
    </row>
    <row r="803" spans="1:14">
      <c r="A803">
        <v>802</v>
      </c>
      <c r="B803">
        <v>1826</v>
      </c>
      <c r="C803">
        <v>1461</v>
      </c>
      <c r="D803">
        <v>1210</v>
      </c>
      <c r="E803">
        <v>5656</v>
      </c>
      <c r="G803">
        <f t="shared" si="48"/>
        <v>2.215953999368013E-2</v>
      </c>
      <c r="H803">
        <f t="shared" si="49"/>
        <v>-3.1912152647187386E-2</v>
      </c>
      <c r="I803">
        <f t="shared" si="50"/>
        <v>1.2746607004043518</v>
      </c>
      <c r="K803">
        <f t="shared" si="51"/>
        <v>0.42163602925028149</v>
      </c>
      <c r="M803">
        <v>802</v>
      </c>
      <c r="N803">
        <v>0.42163602925028149</v>
      </c>
    </row>
    <row r="804" spans="1:14">
      <c r="A804">
        <v>803</v>
      </c>
      <c r="B804">
        <v>1209</v>
      </c>
      <c r="C804">
        <v>360</v>
      </c>
      <c r="D804">
        <v>267</v>
      </c>
      <c r="E804">
        <v>2723</v>
      </c>
      <c r="G804">
        <f t="shared" si="48"/>
        <v>-0.40711370283582121</v>
      </c>
      <c r="H804">
        <f t="shared" si="49"/>
        <v>-0.50911178926155398</v>
      </c>
      <c r="I804">
        <f t="shared" si="50"/>
        <v>1.1362734132929817</v>
      </c>
      <c r="K804">
        <f t="shared" si="51"/>
        <v>7.3349307065202193E-2</v>
      </c>
      <c r="M804">
        <v>803</v>
      </c>
      <c r="N804">
        <v>7.3349307065202193E-2</v>
      </c>
    </row>
    <row r="805" spans="1:14">
      <c r="A805">
        <v>804</v>
      </c>
      <c r="B805">
        <v>1112</v>
      </c>
      <c r="C805">
        <v>525</v>
      </c>
      <c r="D805">
        <v>69</v>
      </c>
      <c r="E805">
        <v>235</v>
      </c>
      <c r="G805">
        <f t="shared" si="48"/>
        <v>-0.20693538658241828</v>
      </c>
      <c r="H805">
        <f t="shared" si="49"/>
        <v>-1.0604524462741407</v>
      </c>
      <c r="I805">
        <f t="shared" si="50"/>
        <v>0.10861514783948656</v>
      </c>
      <c r="K805">
        <f t="shared" si="51"/>
        <v>-0.38625756167235753</v>
      </c>
      <c r="M805">
        <v>804</v>
      </c>
      <c r="N805">
        <v>-0.38625756167235753</v>
      </c>
    </row>
    <row r="806" spans="1:14">
      <c r="A806">
        <v>805</v>
      </c>
      <c r="B806">
        <v>2432</v>
      </c>
      <c r="C806">
        <v>270</v>
      </c>
      <c r="D806">
        <v>37</v>
      </c>
      <c r="E806">
        <v>2534</v>
      </c>
      <c r="G806">
        <f t="shared" si="48"/>
        <v>-0.83558970918404651</v>
      </c>
      <c r="H806">
        <f t="shared" si="49"/>
        <v>-1.6709585962990596</v>
      </c>
      <c r="I806">
        <f t="shared" si="50"/>
        <v>0.80149511276051422</v>
      </c>
      <c r="K806">
        <f t="shared" si="51"/>
        <v>-0.5683510642408639</v>
      </c>
      <c r="M806">
        <v>805</v>
      </c>
      <c r="N806">
        <v>-0.5683510642408639</v>
      </c>
    </row>
    <row r="807" spans="1:14">
      <c r="A807">
        <v>806</v>
      </c>
      <c r="B807">
        <v>1515</v>
      </c>
      <c r="C807">
        <v>2</v>
      </c>
      <c r="D807">
        <v>3</v>
      </c>
      <c r="E807">
        <v>2</v>
      </c>
      <c r="G807">
        <f t="shared" si="48"/>
        <v>-2.7603725399166792</v>
      </c>
      <c r="H807">
        <f t="shared" si="49"/>
        <v>-2.5564881278840188</v>
      </c>
      <c r="I807">
        <f t="shared" si="50"/>
        <v>-2.0957305643605535</v>
      </c>
      <c r="K807">
        <f t="shared" si="51"/>
        <v>-2.4708637440537506</v>
      </c>
      <c r="M807">
        <v>806</v>
      </c>
      <c r="N807">
        <v>-2.4708637440537506</v>
      </c>
    </row>
    <row r="808" spans="1:14">
      <c r="A808">
        <v>807</v>
      </c>
      <c r="B808">
        <v>3167</v>
      </c>
      <c r="C808">
        <v>289</v>
      </c>
      <c r="D808">
        <v>3078</v>
      </c>
      <c r="E808">
        <v>740</v>
      </c>
      <c r="G808">
        <f t="shared" si="48"/>
        <v>-0.92074012335770072</v>
      </c>
      <c r="H808">
        <f t="shared" si="49"/>
        <v>0.13442380235819062</v>
      </c>
      <c r="I808">
        <f t="shared" si="50"/>
        <v>0.15223572917285333</v>
      </c>
      <c r="K808">
        <f t="shared" si="51"/>
        <v>-0.21136019727555225</v>
      </c>
      <c r="M808">
        <v>807</v>
      </c>
      <c r="N808">
        <v>-0.21136019727555225</v>
      </c>
    </row>
    <row r="809" spans="1:14">
      <c r="A809">
        <v>808</v>
      </c>
      <c r="B809">
        <v>688</v>
      </c>
      <c r="C809">
        <v>195</v>
      </c>
      <c r="D809">
        <v>41</v>
      </c>
      <c r="E809">
        <v>94</v>
      </c>
      <c r="G809">
        <f t="shared" si="48"/>
        <v>-0.42854372961532977</v>
      </c>
      <c r="H809">
        <f t="shared" si="49"/>
        <v>-1.0780013312811332</v>
      </c>
      <c r="I809">
        <f t="shared" si="50"/>
        <v>-8.0808511822023643E-2</v>
      </c>
      <c r="K809">
        <f t="shared" si="51"/>
        <v>-0.52911785757282892</v>
      </c>
      <c r="M809">
        <v>808</v>
      </c>
      <c r="N809">
        <v>-0.52911785757282892</v>
      </c>
    </row>
    <row r="810" spans="1:14">
      <c r="A810">
        <v>809</v>
      </c>
      <c r="B810">
        <v>2061</v>
      </c>
      <c r="C810">
        <v>0</v>
      </c>
      <c r="D810">
        <v>0</v>
      </c>
      <c r="E810">
        <v>5</v>
      </c>
      <c r="G810" t="e">
        <f t="shared" si="48"/>
        <v>#NUM!</v>
      </c>
      <c r="H810" t="e">
        <f t="shared" si="49"/>
        <v>#NUM!</v>
      </c>
      <c r="I810">
        <f t="shared" si="50"/>
        <v>-1.8314559146294049</v>
      </c>
      <c r="K810" t="e">
        <f t="shared" si="51"/>
        <v>#NUM!</v>
      </c>
      <c r="M810">
        <v>809</v>
      </c>
      <c r="N810">
        <v>-3</v>
      </c>
    </row>
    <row r="811" spans="1:14">
      <c r="A811">
        <v>810</v>
      </c>
      <c r="B811">
        <v>1125</v>
      </c>
      <c r="C811">
        <v>2708</v>
      </c>
      <c r="D811">
        <v>323</v>
      </c>
      <c r="E811">
        <v>1452</v>
      </c>
      <c r="G811">
        <f t="shared" si="48"/>
        <v>0.50050623482338885</v>
      </c>
      <c r="H811">
        <f t="shared" si="49"/>
        <v>-0.39514674988163578</v>
      </c>
      <c r="I811">
        <f t="shared" si="50"/>
        <v>0.89446616673048263</v>
      </c>
      <c r="K811">
        <f t="shared" si="51"/>
        <v>0.33327521722407855</v>
      </c>
      <c r="M811">
        <v>810</v>
      </c>
      <c r="N811">
        <v>0.33327521722407855</v>
      </c>
    </row>
    <row r="812" spans="1:14">
      <c r="A812">
        <v>811</v>
      </c>
      <c r="B812">
        <v>1488</v>
      </c>
      <c r="C812">
        <v>12</v>
      </c>
      <c r="D812">
        <v>5</v>
      </c>
      <c r="E812">
        <v>3</v>
      </c>
      <c r="G812">
        <f t="shared" si="48"/>
        <v>-1.9744115879045716</v>
      </c>
      <c r="H812">
        <f t="shared" si="49"/>
        <v>-2.3268296766391985</v>
      </c>
      <c r="I812">
        <f t="shared" si="50"/>
        <v>-1.9118296036764086</v>
      </c>
      <c r="K812">
        <f t="shared" si="51"/>
        <v>-2.0710236227400594</v>
      </c>
      <c r="M812">
        <v>811</v>
      </c>
      <c r="N812">
        <v>-2.0710236227400594</v>
      </c>
    </row>
    <row r="813" spans="1:14">
      <c r="A813">
        <v>812</v>
      </c>
      <c r="B813">
        <v>1917</v>
      </c>
      <c r="C813">
        <v>162</v>
      </c>
      <c r="D813">
        <v>1976</v>
      </c>
      <c r="E813">
        <v>341</v>
      </c>
      <c r="G813">
        <f t="shared" si="48"/>
        <v>-0.95409700107776818</v>
      </c>
      <c r="H813">
        <f t="shared" si="49"/>
        <v>0.1599680776081894</v>
      </c>
      <c r="I813">
        <f t="shared" si="50"/>
        <v>3.3784338928224189E-2</v>
      </c>
      <c r="K813">
        <f t="shared" si="51"/>
        <v>-0.25344819484711817</v>
      </c>
      <c r="M813">
        <v>812</v>
      </c>
      <c r="N813">
        <v>-0.25344819484711817</v>
      </c>
    </row>
    <row r="814" spans="1:14">
      <c r="A814">
        <v>813</v>
      </c>
      <c r="B814">
        <v>1736</v>
      </c>
      <c r="C814">
        <v>38987</v>
      </c>
      <c r="D814">
        <v>1910</v>
      </c>
      <c r="E814">
        <v>2638</v>
      </c>
      <c r="G814">
        <f t="shared" si="48"/>
        <v>1.4703801944835544</v>
      </c>
      <c r="H814">
        <f t="shared" si="49"/>
        <v>0.18828689664189713</v>
      </c>
      <c r="I814">
        <f t="shared" si="50"/>
        <v>0.96537714318366241</v>
      </c>
      <c r="K814">
        <f t="shared" si="51"/>
        <v>0.87468141143637135</v>
      </c>
      <c r="M814">
        <v>813</v>
      </c>
      <c r="N814">
        <v>0.87468141143637135</v>
      </c>
    </row>
    <row r="815" spans="1:14">
      <c r="A815">
        <v>814</v>
      </c>
      <c r="B815">
        <v>1407</v>
      </c>
      <c r="C815">
        <v>3174</v>
      </c>
      <c r="D815">
        <v>83</v>
      </c>
      <c r="E815">
        <v>686</v>
      </c>
      <c r="G815">
        <f t="shared" si="48"/>
        <v>0.47232292224174716</v>
      </c>
      <c r="H815">
        <f t="shared" si="49"/>
        <v>-1.0824127548240292</v>
      </c>
      <c r="I815">
        <f t="shared" si="50"/>
        <v>0.47168209108579501</v>
      </c>
      <c r="K815">
        <f t="shared" si="51"/>
        <v>-4.6135913832162367E-2</v>
      </c>
      <c r="M815">
        <v>814</v>
      </c>
      <c r="N815">
        <v>-4.6135913832162367E-2</v>
      </c>
    </row>
    <row r="816" spans="1:14">
      <c r="A816">
        <v>815</v>
      </c>
      <c r="B816">
        <v>2877</v>
      </c>
      <c r="C816">
        <v>1049</v>
      </c>
      <c r="D816">
        <v>544</v>
      </c>
      <c r="E816">
        <v>398</v>
      </c>
      <c r="G816">
        <f t="shared" si="48"/>
        <v>-0.31915427643910471</v>
      </c>
      <c r="H816">
        <f t="shared" si="49"/>
        <v>-0.57653771195750347</v>
      </c>
      <c r="I816">
        <f t="shared" si="50"/>
        <v>-7.5404717002849231E-2</v>
      </c>
      <c r="K816">
        <f t="shared" si="51"/>
        <v>-0.32369890179981914</v>
      </c>
      <c r="M816">
        <v>815</v>
      </c>
      <c r="N816">
        <v>-0.32369890179981914</v>
      </c>
    </row>
    <row r="817" spans="1:14">
      <c r="A817">
        <v>816</v>
      </c>
      <c r="B817">
        <v>641</v>
      </c>
      <c r="C817">
        <v>2</v>
      </c>
      <c r="D817">
        <v>0</v>
      </c>
      <c r="E817">
        <v>18</v>
      </c>
      <c r="G817">
        <f t="shared" si="48"/>
        <v>-2.3868179365971729</v>
      </c>
      <c r="H817" t="e">
        <f t="shared" si="49"/>
        <v>#NUM!</v>
      </c>
      <c r="I817">
        <f t="shared" si="50"/>
        <v>-0.76793345160172222</v>
      </c>
      <c r="K817" t="e">
        <f t="shared" si="51"/>
        <v>#NUM!</v>
      </c>
      <c r="M817">
        <v>816</v>
      </c>
      <c r="N817">
        <v>-3</v>
      </c>
    </row>
    <row r="818" spans="1:14">
      <c r="A818">
        <v>817</v>
      </c>
      <c r="B818">
        <v>986</v>
      </c>
      <c r="C818">
        <v>369</v>
      </c>
      <c r="D818">
        <v>11</v>
      </c>
      <c r="E818">
        <v>71</v>
      </c>
      <c r="G818">
        <f t="shared" si="48"/>
        <v>-0.30784045152448741</v>
      </c>
      <c r="H818">
        <f t="shared" si="49"/>
        <v>-1.8056809795483435</v>
      </c>
      <c r="I818">
        <f t="shared" si="50"/>
        <v>-0.35896649340834696</v>
      </c>
      <c r="K818">
        <f t="shared" si="51"/>
        <v>-0.82416264149372598</v>
      </c>
      <c r="M818">
        <v>817</v>
      </c>
      <c r="N818">
        <v>-0.82416264149372598</v>
      </c>
    </row>
    <row r="819" spans="1:14">
      <c r="A819">
        <v>818</v>
      </c>
      <c r="B819">
        <v>883</v>
      </c>
      <c r="C819">
        <v>11</v>
      </c>
      <c r="D819">
        <v>222</v>
      </c>
      <c r="E819">
        <v>745</v>
      </c>
      <c r="G819">
        <f t="shared" si="48"/>
        <v>-1.7855579211616799</v>
      </c>
      <c r="H819">
        <f t="shared" si="49"/>
        <v>-0.45280447889228725</v>
      </c>
      <c r="I819">
        <f t="shared" si="50"/>
        <v>0.70984764198451322</v>
      </c>
      <c r="K819">
        <f t="shared" si="51"/>
        <v>-0.50950491935648468</v>
      </c>
      <c r="M819">
        <v>818</v>
      </c>
      <c r="N819">
        <v>-0.50950491935648468</v>
      </c>
    </row>
    <row r="820" spans="1:14">
      <c r="A820">
        <v>819</v>
      </c>
      <c r="B820">
        <v>1381</v>
      </c>
      <c r="C820">
        <v>2774</v>
      </c>
      <c r="D820">
        <v>1590</v>
      </c>
      <c r="E820">
        <v>1489</v>
      </c>
      <c r="G820">
        <f t="shared" si="48"/>
        <v>0.42192287541629825</v>
      </c>
      <c r="H820">
        <f t="shared" si="49"/>
        <v>0.20800669597646285</v>
      </c>
      <c r="I820">
        <f t="shared" si="50"/>
        <v>0.81635309198733386</v>
      </c>
      <c r="K820">
        <f t="shared" si="51"/>
        <v>0.48209422112669831</v>
      </c>
      <c r="M820">
        <v>819</v>
      </c>
      <c r="N820">
        <v>0.48209422112669831</v>
      </c>
    </row>
    <row r="821" spans="1:14">
      <c r="A821">
        <v>820</v>
      </c>
      <c r="B821">
        <v>6836</v>
      </c>
      <c r="C821">
        <v>25055</v>
      </c>
      <c r="D821">
        <v>2616</v>
      </c>
      <c r="E821">
        <v>4246</v>
      </c>
      <c r="G821">
        <f t="shared" si="48"/>
        <v>0.68310245028745975</v>
      </c>
      <c r="H821">
        <f t="shared" si="49"/>
        <v>-0.27036106416182693</v>
      </c>
      <c r="I821">
        <f t="shared" si="50"/>
        <v>0.57683000859506972</v>
      </c>
      <c r="K821">
        <f t="shared" si="51"/>
        <v>0.3298571315735675</v>
      </c>
      <c r="M821">
        <v>820</v>
      </c>
      <c r="N821">
        <v>0.3298571315735675</v>
      </c>
    </row>
    <row r="822" spans="1:14">
      <c r="A822">
        <v>821</v>
      </c>
      <c r="B822">
        <v>915</v>
      </c>
      <c r="C822">
        <v>39</v>
      </c>
      <c r="D822">
        <v>6</v>
      </c>
      <c r="E822">
        <v>447</v>
      </c>
      <c r="G822">
        <f t="shared" si="48"/>
        <v>-1.2513463897822856</v>
      </c>
      <c r="H822">
        <f t="shared" si="49"/>
        <v>-2.0364665934481621</v>
      </c>
      <c r="I822">
        <f t="shared" si="50"/>
        <v>0.47253850187927721</v>
      </c>
      <c r="K822">
        <f t="shared" si="51"/>
        <v>-0.93842482711705688</v>
      </c>
      <c r="M822">
        <v>821</v>
      </c>
      <c r="N822">
        <v>-0.93842482711705688</v>
      </c>
    </row>
    <row r="823" spans="1:14">
      <c r="A823">
        <v>822</v>
      </c>
      <c r="B823">
        <v>2176</v>
      </c>
      <c r="C823">
        <v>5880</v>
      </c>
      <c r="D823">
        <v>31</v>
      </c>
      <c r="E823">
        <v>1639</v>
      </c>
      <c r="G823">
        <f t="shared" si="48"/>
        <v>0.55072853230765961</v>
      </c>
      <c r="H823">
        <f t="shared" si="49"/>
        <v>-1.699493946957227</v>
      </c>
      <c r="I823">
        <f t="shared" si="50"/>
        <v>0.66057213535814574</v>
      </c>
      <c r="K823">
        <f t="shared" si="51"/>
        <v>-0.16273109309714054</v>
      </c>
      <c r="M823">
        <v>822</v>
      </c>
      <c r="N823">
        <v>-0.16273109309714054</v>
      </c>
    </row>
    <row r="824" spans="1:14">
      <c r="A824">
        <v>823</v>
      </c>
      <c r="B824">
        <v>3205</v>
      </c>
      <c r="C824">
        <v>953</v>
      </c>
      <c r="D824">
        <v>63</v>
      </c>
      <c r="E824">
        <v>221</v>
      </c>
      <c r="G824">
        <f t="shared" si="48"/>
        <v>-0.4077250359588464</v>
      </c>
      <c r="H824">
        <f t="shared" si="49"/>
        <v>-1.5596842341666119</v>
      </c>
      <c r="I824">
        <f t="shared" si="50"/>
        <v>-0.37778368735593637</v>
      </c>
      <c r="K824">
        <f t="shared" si="51"/>
        <v>-0.78173098582713152</v>
      </c>
      <c r="M824">
        <v>823</v>
      </c>
      <c r="N824">
        <v>-0.78173098582713152</v>
      </c>
    </row>
    <row r="825" spans="1:14">
      <c r="A825">
        <v>824</v>
      </c>
      <c r="B825">
        <v>993</v>
      </c>
      <c r="C825">
        <v>164</v>
      </c>
      <c r="D825">
        <v>3</v>
      </c>
      <c r="E825">
        <v>43</v>
      </c>
      <c r="G825">
        <f t="shared" si="48"/>
        <v>-0.66309530319001986</v>
      </c>
      <c r="H825">
        <f t="shared" si="49"/>
        <v>-2.3730247435410763</v>
      </c>
      <c r="I825">
        <f t="shared" si="50"/>
        <v>-0.57982872010200559</v>
      </c>
      <c r="K825">
        <f t="shared" si="51"/>
        <v>-1.2053162556110339</v>
      </c>
      <c r="M825">
        <v>824</v>
      </c>
      <c r="N825">
        <v>-1.2053162556110339</v>
      </c>
    </row>
    <row r="826" spans="1:14">
      <c r="A826">
        <v>825</v>
      </c>
      <c r="B826">
        <v>1604</v>
      </c>
      <c r="C826">
        <v>1863</v>
      </c>
      <c r="D826">
        <v>89</v>
      </c>
      <c r="E826">
        <v>1077</v>
      </c>
      <c r="G826">
        <f t="shared" si="48"/>
        <v>0.18401858820576139</v>
      </c>
      <c r="H826">
        <f t="shared" si="49"/>
        <v>-1.1090111070685893</v>
      </c>
      <c r="I826">
        <f t="shared" si="50"/>
        <v>0.61066341216362585</v>
      </c>
      <c r="K826">
        <f t="shared" si="51"/>
        <v>-0.104776368899734</v>
      </c>
      <c r="M826">
        <v>825</v>
      </c>
      <c r="N826">
        <v>-0.104776368899734</v>
      </c>
    </row>
    <row r="827" spans="1:14">
      <c r="A827">
        <v>826</v>
      </c>
      <c r="B827">
        <v>1195</v>
      </c>
      <c r="C827">
        <v>107</v>
      </c>
      <c r="D827">
        <v>42</v>
      </c>
      <c r="E827">
        <v>600</v>
      </c>
      <c r="G827">
        <f t="shared" si="48"/>
        <v>-0.92897403034128334</v>
      </c>
      <c r="H827">
        <f t="shared" si="49"/>
        <v>-1.3073153646516134</v>
      </c>
      <c r="I827">
        <f t="shared" si="50"/>
        <v>0.48443541791327616</v>
      </c>
      <c r="K827">
        <f t="shared" si="51"/>
        <v>-0.58395132569320685</v>
      </c>
      <c r="M827">
        <v>826</v>
      </c>
      <c r="N827">
        <v>-0.58395132569320685</v>
      </c>
    </row>
    <row r="828" spans="1:14">
      <c r="A828">
        <v>827</v>
      </c>
      <c r="B828">
        <v>2008</v>
      </c>
      <c r="C828">
        <v>745</v>
      </c>
      <c r="D828">
        <v>53</v>
      </c>
      <c r="E828">
        <v>464</v>
      </c>
      <c r="G828">
        <f t="shared" si="48"/>
        <v>-0.31159733846702542</v>
      </c>
      <c r="H828">
        <f t="shared" si="49"/>
        <v>-1.43168458863755</v>
      </c>
      <c r="I828">
        <f t="shared" si="50"/>
        <v>0.14740634489568816</v>
      </c>
      <c r="K828">
        <f t="shared" si="51"/>
        <v>-0.53195852740296246</v>
      </c>
      <c r="M828">
        <v>827</v>
      </c>
      <c r="N828">
        <v>-0.53195852740296246</v>
      </c>
    </row>
    <row r="829" spans="1:14">
      <c r="A829">
        <v>828</v>
      </c>
      <c r="B829">
        <v>3466</v>
      </c>
      <c r="C829">
        <v>4052</v>
      </c>
      <c r="D829">
        <v>3</v>
      </c>
      <c r="E829">
        <v>30</v>
      </c>
      <c r="G829">
        <f t="shared" si="48"/>
        <v>0.18685097556800812</v>
      </c>
      <c r="H829">
        <f t="shared" si="49"/>
        <v>-2.9159040534235934</v>
      </c>
      <c r="I829">
        <f t="shared" si="50"/>
        <v>-1.2790552308444469</v>
      </c>
      <c r="K829">
        <f t="shared" si="51"/>
        <v>-1.336036102900011</v>
      </c>
      <c r="M829">
        <v>828</v>
      </c>
      <c r="N829">
        <v>-1.336036102900011</v>
      </c>
    </row>
    <row r="830" spans="1:14">
      <c r="A830">
        <v>829</v>
      </c>
      <c r="B830">
        <v>1335</v>
      </c>
      <c r="C830">
        <v>139</v>
      </c>
      <c r="D830">
        <v>748</v>
      </c>
      <c r="E830">
        <v>132</v>
      </c>
      <c r="G830">
        <f t="shared" si="48"/>
        <v>-0.86345636818883553</v>
      </c>
      <c r="H830">
        <f t="shared" si="49"/>
        <v>-0.10477641760149001</v>
      </c>
      <c r="I830">
        <f t="shared" si="50"/>
        <v>-0.22125526168095511</v>
      </c>
      <c r="K830">
        <f t="shared" si="51"/>
        <v>-0.39649601582376021</v>
      </c>
      <c r="M830">
        <v>829</v>
      </c>
      <c r="N830">
        <v>-0.39649601582376021</v>
      </c>
    </row>
    <row r="831" spans="1:14">
      <c r="A831">
        <v>830</v>
      </c>
      <c r="B831">
        <v>2121</v>
      </c>
      <c r="C831">
        <v>28932</v>
      </c>
      <c r="D831">
        <v>50</v>
      </c>
      <c r="E831">
        <v>906</v>
      </c>
      <c r="G831">
        <f t="shared" si="48"/>
        <v>1.2538478851661803</v>
      </c>
      <c r="H831">
        <f t="shared" si="49"/>
        <v>-1.4807674139459004</v>
      </c>
      <c r="I831">
        <f t="shared" si="50"/>
        <v>0.41423960197404025</v>
      </c>
      <c r="K831">
        <f t="shared" si="51"/>
        <v>6.2440024398106718E-2</v>
      </c>
      <c r="M831">
        <v>830</v>
      </c>
      <c r="N831">
        <v>6.2440024398106718E-2</v>
      </c>
    </row>
    <row r="832" spans="1:14">
      <c r="A832">
        <v>831</v>
      </c>
      <c r="B832">
        <v>3345</v>
      </c>
      <c r="C832">
        <v>16821</v>
      </c>
      <c r="D832">
        <v>175</v>
      </c>
      <c r="E832">
        <v>9856</v>
      </c>
      <c r="G832">
        <f t="shared" si="48"/>
        <v>0.8204657859719785</v>
      </c>
      <c r="H832">
        <f t="shared" si="49"/>
        <v>-1.1345548231829048</v>
      </c>
      <c r="I832">
        <f t="shared" si="50"/>
        <v>1.2529566455302974</v>
      </c>
      <c r="K832">
        <f t="shared" si="51"/>
        <v>0.31295586943979037</v>
      </c>
      <c r="M832">
        <v>831</v>
      </c>
      <c r="N832">
        <v>0.31295586943979037</v>
      </c>
    </row>
    <row r="833" spans="1:14">
      <c r="A833">
        <v>832</v>
      </c>
      <c r="B833">
        <v>1151</v>
      </c>
      <c r="C833">
        <v>5319</v>
      </c>
      <c r="D833">
        <v>10</v>
      </c>
      <c r="E833">
        <v>987</v>
      </c>
      <c r="G833">
        <f t="shared" si="48"/>
        <v>0.78376476394845185</v>
      </c>
      <c r="H833">
        <f t="shared" si="49"/>
        <v>-1.914272073395149</v>
      </c>
      <c r="I833">
        <f t="shared" si="50"/>
        <v>0.716893901853634</v>
      </c>
      <c r="K833">
        <f t="shared" si="51"/>
        <v>-0.13787113586435443</v>
      </c>
      <c r="M833">
        <v>832</v>
      </c>
      <c r="N833">
        <v>-0.13787113586435443</v>
      </c>
    </row>
    <row r="834" spans="1:14">
      <c r="A834">
        <v>833</v>
      </c>
      <c r="B834">
        <v>1418</v>
      </c>
      <c r="C834">
        <v>716</v>
      </c>
      <c r="D834">
        <v>229</v>
      </c>
      <c r="E834">
        <v>1463</v>
      </c>
      <c r="G834">
        <f t="shared" si="48"/>
        <v>-0.17775311128152871</v>
      </c>
      <c r="H834">
        <f t="shared" si="49"/>
        <v>-0.64503749827251711</v>
      </c>
      <c r="I834">
        <f t="shared" si="50"/>
        <v>0.79722016809205209</v>
      </c>
      <c r="K834">
        <f t="shared" si="51"/>
        <v>-8.5234804873312395E-3</v>
      </c>
      <c r="M834">
        <v>833</v>
      </c>
      <c r="N834">
        <v>-8.5234804873312395E-3</v>
      </c>
    </row>
    <row r="835" spans="1:14">
      <c r="A835">
        <v>834</v>
      </c>
      <c r="B835">
        <v>1643</v>
      </c>
      <c r="C835">
        <v>10821</v>
      </c>
      <c r="D835">
        <v>34</v>
      </c>
      <c r="E835">
        <v>1203</v>
      </c>
      <c r="G835">
        <f t="shared" ref="G835:G898" si="52">LOG10(C835/B835)-LOG10(28875/37978)</f>
        <v>0.93763993086062725</v>
      </c>
      <c r="H835">
        <f t="shared" ref="H835:H898" si="53">LOG10(D835/B835)-LOG10(27085/37978)</f>
        <v>-1.5373553961581641</v>
      </c>
      <c r="I835">
        <f t="shared" ref="I835:I898" si="54">LOG10(E835/B835)-LOG10(6250/37978)</f>
        <v>0.6482801367185721</v>
      </c>
      <c r="K835">
        <f t="shared" ref="K835:K898" si="55">AVERAGE(G835:I835)</f>
        <v>1.6188223807011754E-2</v>
      </c>
      <c r="M835">
        <v>834</v>
      </c>
      <c r="N835">
        <v>1.6188223807011754E-2</v>
      </c>
    </row>
    <row r="836" spans="1:14">
      <c r="A836">
        <v>835</v>
      </c>
      <c r="B836">
        <v>734</v>
      </c>
      <c r="C836">
        <v>1</v>
      </c>
      <c r="D836">
        <v>0</v>
      </c>
      <c r="E836">
        <v>1</v>
      </c>
      <c r="G836">
        <f t="shared" si="52"/>
        <v>-2.746685962658407</v>
      </c>
      <c r="H836" t="e">
        <f t="shared" si="53"/>
        <v>#NUM!</v>
      </c>
      <c r="I836">
        <f t="shared" si="54"/>
        <v>-2.0820439871022813</v>
      </c>
      <c r="K836" t="e">
        <f t="shared" si="55"/>
        <v>#NUM!</v>
      </c>
      <c r="M836">
        <v>835</v>
      </c>
      <c r="N836">
        <v>-3</v>
      </c>
    </row>
    <row r="837" spans="1:14">
      <c r="A837">
        <v>836</v>
      </c>
      <c r="B837">
        <v>877</v>
      </c>
      <c r="C837">
        <v>2</v>
      </c>
      <c r="D837">
        <v>0</v>
      </c>
      <c r="E837">
        <v>1</v>
      </c>
      <c r="G837">
        <f t="shared" si="52"/>
        <v>-2.5229595004443959</v>
      </c>
      <c r="H837" t="e">
        <f t="shared" si="53"/>
        <v>#NUM!</v>
      </c>
      <c r="I837">
        <f t="shared" si="54"/>
        <v>-2.1593475205522514</v>
      </c>
      <c r="K837" t="e">
        <f t="shared" si="55"/>
        <v>#NUM!</v>
      </c>
      <c r="M837">
        <v>836</v>
      </c>
      <c r="N837">
        <v>-3</v>
      </c>
    </row>
    <row r="838" spans="1:14">
      <c r="A838">
        <v>837</v>
      </c>
      <c r="B838">
        <v>3225</v>
      </c>
      <c r="C838">
        <v>4869</v>
      </c>
      <c r="D838">
        <v>91</v>
      </c>
      <c r="E838">
        <v>2616</v>
      </c>
      <c r="G838">
        <f t="shared" si="52"/>
        <v>0.29792015283227125</v>
      </c>
      <c r="H838">
        <f t="shared" si="53"/>
        <v>-1.4026850764155503</v>
      </c>
      <c r="I838">
        <f t="shared" si="54"/>
        <v>0.69276009349473211</v>
      </c>
      <c r="K838">
        <f t="shared" si="55"/>
        <v>-0.13733494336284899</v>
      </c>
      <c r="M838">
        <v>837</v>
      </c>
      <c r="N838">
        <v>-0.13733494336284899</v>
      </c>
    </row>
    <row r="839" spans="1:14">
      <c r="A839">
        <v>838</v>
      </c>
      <c r="B839">
        <v>659</v>
      </c>
      <c r="C839">
        <v>2212</v>
      </c>
      <c r="D839">
        <v>205</v>
      </c>
      <c r="E839">
        <v>36</v>
      </c>
      <c r="G839">
        <f t="shared" si="52"/>
        <v>0.64490980529631414</v>
      </c>
      <c r="H839">
        <f t="shared" si="53"/>
        <v>-0.36032830330361287</v>
      </c>
      <c r="I839">
        <f t="shared" si="54"/>
        <v>-0.47893084101293359</v>
      </c>
      <c r="K839">
        <f t="shared" si="55"/>
        <v>-6.4783113006744109E-2</v>
      </c>
      <c r="M839">
        <v>838</v>
      </c>
      <c r="N839">
        <v>-6.4783113006744109E-2</v>
      </c>
    </row>
    <row r="840" spans="1:14">
      <c r="A840">
        <v>839</v>
      </c>
      <c r="B840">
        <v>1705</v>
      </c>
      <c r="C840">
        <v>393</v>
      </c>
      <c r="D840">
        <v>2</v>
      </c>
      <c r="E840">
        <v>91</v>
      </c>
      <c r="G840">
        <f t="shared" si="52"/>
        <v>-0.51832173569542639</v>
      </c>
      <c r="H840">
        <f t="shared" si="53"/>
        <v>-2.7838911374298929</v>
      </c>
      <c r="I840">
        <f t="shared" si="54"/>
        <v>-0.48903091819363387</v>
      </c>
      <c r="K840">
        <f t="shared" si="55"/>
        <v>-1.2637479304396511</v>
      </c>
      <c r="M840">
        <v>839</v>
      </c>
      <c r="N840">
        <v>-1.2637479304396511</v>
      </c>
    </row>
    <row r="841" spans="1:14">
      <c r="A841">
        <v>840</v>
      </c>
      <c r="B841">
        <v>468</v>
      </c>
      <c r="C841">
        <v>224</v>
      </c>
      <c r="D841">
        <v>18</v>
      </c>
      <c r="E841">
        <v>842</v>
      </c>
      <c r="G841">
        <f t="shared" si="52"/>
        <v>-0.2009877374822977</v>
      </c>
      <c r="H841">
        <f t="shared" si="53"/>
        <v>-1.2681700977361754</v>
      </c>
      <c r="I841">
        <f t="shared" si="54"/>
        <v>1.0387183112393146</v>
      </c>
      <c r="K841">
        <f t="shared" si="55"/>
        <v>-0.14347984132638616</v>
      </c>
      <c r="M841">
        <v>840</v>
      </c>
      <c r="N841">
        <v>-0.14347984132638616</v>
      </c>
    </row>
    <row r="842" spans="1:14">
      <c r="A842">
        <v>841</v>
      </c>
      <c r="B842">
        <v>2980</v>
      </c>
      <c r="C842">
        <v>682</v>
      </c>
      <c r="D842">
        <v>152</v>
      </c>
      <c r="E842">
        <v>8971</v>
      </c>
      <c r="G842">
        <f t="shared" si="52"/>
        <v>-0.52142179216211293</v>
      </c>
      <c r="H842">
        <f t="shared" si="53"/>
        <v>-1.1455694258968401</v>
      </c>
      <c r="I842">
        <f t="shared" si="54"/>
        <v>1.2622766654132354</v>
      </c>
      <c r="K842">
        <f t="shared" si="55"/>
        <v>-0.13490485088190587</v>
      </c>
      <c r="M842">
        <v>841</v>
      </c>
      <c r="N842">
        <v>-0.13490485088190587</v>
      </c>
    </row>
    <row r="843" spans="1:14">
      <c r="A843">
        <v>842</v>
      </c>
      <c r="B843">
        <v>1617</v>
      </c>
      <c r="C843">
        <v>2318</v>
      </c>
      <c r="D843">
        <v>100</v>
      </c>
      <c r="E843">
        <v>1277</v>
      </c>
      <c r="G843">
        <f t="shared" si="52"/>
        <v>0.27541350897883948</v>
      </c>
      <c r="H843">
        <f t="shared" si="53"/>
        <v>-1.0619067696717586</v>
      </c>
      <c r="I843">
        <f t="shared" si="54"/>
        <v>0.68113295017080322</v>
      </c>
      <c r="K843">
        <f t="shared" si="55"/>
        <v>-3.5120103507371971E-2</v>
      </c>
      <c r="M843">
        <v>842</v>
      </c>
      <c r="N843">
        <v>-3.5120103507371971E-2</v>
      </c>
    </row>
    <row r="844" spans="1:14">
      <c r="A844">
        <v>843</v>
      </c>
      <c r="B844">
        <v>3676</v>
      </c>
      <c r="C844">
        <v>10338</v>
      </c>
      <c r="D844">
        <v>1031</v>
      </c>
      <c r="E844">
        <v>1208</v>
      </c>
      <c r="G844">
        <f t="shared" si="52"/>
        <v>0.56807112237526192</v>
      </c>
      <c r="H844">
        <f t="shared" si="53"/>
        <v>-0.40531358719591437</v>
      </c>
      <c r="I844">
        <f t="shared" si="54"/>
        <v>0.30034350438482837</v>
      </c>
      <c r="K844">
        <f t="shared" si="55"/>
        <v>0.15436701318805865</v>
      </c>
      <c r="M844">
        <v>843</v>
      </c>
      <c r="N844">
        <v>0.15436701318805865</v>
      </c>
    </row>
    <row r="845" spans="1:14">
      <c r="A845">
        <v>844</v>
      </c>
      <c r="B845">
        <v>4124</v>
      </c>
      <c r="C845">
        <v>546</v>
      </c>
      <c r="D845">
        <v>676</v>
      </c>
      <c r="E845">
        <v>10517</v>
      </c>
      <c r="G845">
        <f t="shared" si="52"/>
        <v>-0.75911591664907829</v>
      </c>
      <c r="H845">
        <f t="shared" si="53"/>
        <v>-0.63856871043520025</v>
      </c>
      <c r="I845">
        <f t="shared" si="54"/>
        <v>1.1902252901214192</v>
      </c>
      <c r="K845">
        <f t="shared" si="55"/>
        <v>-6.9153112320953156E-2</v>
      </c>
      <c r="M845">
        <v>844</v>
      </c>
      <c r="N845">
        <v>-6.9153112320953156E-2</v>
      </c>
    </row>
    <row r="846" spans="1:14">
      <c r="A846">
        <v>845</v>
      </c>
      <c r="B846">
        <v>530</v>
      </c>
      <c r="C846">
        <v>35</v>
      </c>
      <c r="D846">
        <v>0</v>
      </c>
      <c r="E846">
        <v>38</v>
      </c>
      <c r="G846">
        <f t="shared" si="52"/>
        <v>-1.0611977279928499</v>
      </c>
      <c r="H846" t="e">
        <f t="shared" si="53"/>
        <v>#NUM!</v>
      </c>
      <c r="I846">
        <f t="shared" si="54"/>
        <v>-0.36084020017018981</v>
      </c>
      <c r="K846" t="e">
        <f t="shared" si="55"/>
        <v>#NUM!</v>
      </c>
      <c r="M846">
        <v>845</v>
      </c>
      <c r="N846">
        <v>-3</v>
      </c>
    </row>
    <row r="847" spans="1:14">
      <c r="A847">
        <v>846</v>
      </c>
      <c r="B847">
        <v>709</v>
      </c>
      <c r="C847">
        <v>569</v>
      </c>
      <c r="D847">
        <v>96</v>
      </c>
      <c r="E847">
        <v>256</v>
      </c>
      <c r="G847">
        <f t="shared" si="52"/>
        <v>2.3476128469668081E-2</v>
      </c>
      <c r="H847">
        <f t="shared" si="53"/>
        <v>-0.72157175190885536</v>
      </c>
      <c r="I847">
        <f t="shared" si="54"/>
        <v>0.34124580294257201</v>
      </c>
      <c r="K847">
        <f t="shared" si="55"/>
        <v>-0.11894994016553843</v>
      </c>
      <c r="M847">
        <v>846</v>
      </c>
      <c r="N847">
        <v>-0.11894994016553843</v>
      </c>
    </row>
    <row r="848" spans="1:14">
      <c r="A848">
        <v>847</v>
      </c>
      <c r="B848">
        <v>566</v>
      </c>
      <c r="C848">
        <v>23</v>
      </c>
      <c r="D848">
        <v>108</v>
      </c>
      <c r="E848">
        <v>47</v>
      </c>
      <c r="G848">
        <f t="shared" si="52"/>
        <v>-1.2720784979130151</v>
      </c>
      <c r="H848">
        <f t="shared" si="53"/>
        <v>-0.57258942546667901</v>
      </c>
      <c r="I848">
        <f t="shared" si="54"/>
        <v>-0.29706650043876492</v>
      </c>
      <c r="K848">
        <f t="shared" si="55"/>
        <v>-0.71391147460615301</v>
      </c>
      <c r="M848">
        <v>847</v>
      </c>
      <c r="N848">
        <v>-0.71391147460615301</v>
      </c>
    </row>
    <row r="849" spans="1:14">
      <c r="A849">
        <v>848</v>
      </c>
      <c r="B849">
        <v>3146</v>
      </c>
      <c r="C849">
        <v>5003</v>
      </c>
      <c r="D849">
        <v>1302</v>
      </c>
      <c r="E849">
        <v>863</v>
      </c>
      <c r="G849">
        <f t="shared" si="52"/>
        <v>0.32048188185380461</v>
      </c>
      <c r="H849">
        <f t="shared" si="53"/>
        <v>-0.23634448382045223</v>
      </c>
      <c r="I849">
        <f t="shared" si="54"/>
        <v>0.2219041502417306</v>
      </c>
      <c r="K849">
        <f t="shared" si="55"/>
        <v>0.10201384942502767</v>
      </c>
      <c r="M849">
        <v>848</v>
      </c>
      <c r="N849">
        <v>0.10201384942502767</v>
      </c>
    </row>
    <row r="850" spans="1:14">
      <c r="A850">
        <v>849</v>
      </c>
      <c r="B850">
        <v>2729</v>
      </c>
      <c r="C850">
        <v>3118</v>
      </c>
      <c r="D850">
        <v>1968</v>
      </c>
      <c r="E850">
        <v>6132</v>
      </c>
      <c r="G850">
        <f t="shared" si="52"/>
        <v>0.17688267244058981</v>
      </c>
      <c r="H850">
        <f t="shared" si="53"/>
        <v>4.8248086600688189E-3</v>
      </c>
      <c r="I850">
        <f t="shared" si="54"/>
        <v>1.1352506833262299</v>
      </c>
      <c r="K850">
        <f t="shared" si="55"/>
        <v>0.43898605480896286</v>
      </c>
      <c r="M850">
        <v>849</v>
      </c>
      <c r="N850">
        <v>0.43898605480896286</v>
      </c>
    </row>
    <row r="851" spans="1:14">
      <c r="A851">
        <v>850</v>
      </c>
      <c r="B851">
        <v>1115</v>
      </c>
      <c r="C851">
        <v>76</v>
      </c>
      <c r="D851">
        <v>305</v>
      </c>
      <c r="E851">
        <v>1282</v>
      </c>
      <c r="G851">
        <f t="shared" si="52"/>
        <v>-1.0474511778457247</v>
      </c>
      <c r="H851">
        <f t="shared" si="53"/>
        <v>-0.41617177780275094</v>
      </c>
      <c r="I851">
        <f t="shared" si="54"/>
        <v>0.8442652306124081</v>
      </c>
      <c r="K851">
        <f t="shared" si="55"/>
        <v>-0.20645257501202252</v>
      </c>
      <c r="M851">
        <v>850</v>
      </c>
      <c r="N851">
        <v>-0.20645257501202252</v>
      </c>
    </row>
    <row r="852" spans="1:14">
      <c r="A852">
        <v>851</v>
      </c>
      <c r="B852">
        <v>998</v>
      </c>
      <c r="C852">
        <v>2161</v>
      </c>
      <c r="D852">
        <v>480</v>
      </c>
      <c r="E852">
        <v>5</v>
      </c>
      <c r="G852">
        <f t="shared" si="52"/>
        <v>0.45453432285353373</v>
      </c>
      <c r="H852">
        <f t="shared" si="53"/>
        <v>-0.17108605367714122</v>
      </c>
      <c r="I852">
        <f t="shared" si="54"/>
        <v>-1.5165084641375632</v>
      </c>
      <c r="K852">
        <f t="shared" si="55"/>
        <v>-0.41102006498705695</v>
      </c>
      <c r="M852">
        <v>851</v>
      </c>
      <c r="N852">
        <v>-0.41102006498705695</v>
      </c>
    </row>
    <row r="853" spans="1:14">
      <c r="A853">
        <v>852</v>
      </c>
      <c r="B853">
        <v>649</v>
      </c>
      <c r="C853">
        <v>175</v>
      </c>
      <c r="D853">
        <v>39</v>
      </c>
      <c r="E853">
        <v>92</v>
      </c>
      <c r="G853">
        <f t="shared" si="52"/>
        <v>-0.45019655085641125</v>
      </c>
      <c r="H853">
        <f t="shared" si="53"/>
        <v>-1.0743768395392275</v>
      </c>
      <c r="I853">
        <f t="shared" si="54"/>
        <v>-6.4804796641024898E-2</v>
      </c>
      <c r="K853">
        <f t="shared" si="55"/>
        <v>-0.52979272901222119</v>
      </c>
      <c r="M853">
        <v>852</v>
      </c>
      <c r="N853">
        <v>-0.52979272901222119</v>
      </c>
    </row>
    <row r="854" spans="1:14">
      <c r="A854">
        <v>853</v>
      </c>
      <c r="B854">
        <v>1516</v>
      </c>
      <c r="C854">
        <v>140</v>
      </c>
      <c r="D854">
        <v>41</v>
      </c>
      <c r="E854">
        <v>84</v>
      </c>
      <c r="G854">
        <f t="shared" si="52"/>
        <v>-0.91556106836013329</v>
      </c>
      <c r="H854">
        <f t="shared" si="53"/>
        <v>-1.4211120943416566</v>
      </c>
      <c r="I854">
        <f t="shared" si="54"/>
        <v>-0.47276784242036407</v>
      </c>
      <c r="K854">
        <f t="shared" si="55"/>
        <v>-0.93648033504071793</v>
      </c>
      <c r="M854">
        <v>853</v>
      </c>
      <c r="N854">
        <v>-0.93648033504071793</v>
      </c>
    </row>
    <row r="855" spans="1:14">
      <c r="A855">
        <v>854</v>
      </c>
      <c r="B855">
        <v>5005</v>
      </c>
      <c r="C855">
        <v>76134</v>
      </c>
      <c r="D855">
        <v>2830</v>
      </c>
      <c r="E855">
        <v>15858</v>
      </c>
      <c r="G855">
        <f t="shared" si="52"/>
        <v>1.3011846632087372</v>
      </c>
      <c r="H855">
        <f t="shared" si="53"/>
        <v>-0.10081439605640458</v>
      </c>
      <c r="I855">
        <f t="shared" si="54"/>
        <v>1.2844964045138054</v>
      </c>
      <c r="K855">
        <f t="shared" si="55"/>
        <v>0.82828889055537935</v>
      </c>
      <c r="M855">
        <v>854</v>
      </c>
      <c r="N855">
        <v>0.82828889055537935</v>
      </c>
    </row>
    <row r="856" spans="1:14">
      <c r="A856">
        <v>855</v>
      </c>
      <c r="B856">
        <v>1621</v>
      </c>
      <c r="C856">
        <v>564</v>
      </c>
      <c r="D856">
        <v>2</v>
      </c>
      <c r="E856">
        <v>1592</v>
      </c>
      <c r="G856">
        <f t="shared" si="52"/>
        <v>-0.33949381360750919</v>
      </c>
      <c r="H856">
        <f t="shared" si="53"/>
        <v>-2.7619497689498913</v>
      </c>
      <c r="I856">
        <f t="shared" si="54"/>
        <v>0.77581212136692423</v>
      </c>
      <c r="K856">
        <f t="shared" si="55"/>
        <v>-0.77521048706349205</v>
      </c>
      <c r="M856">
        <v>855</v>
      </c>
      <c r="N856">
        <v>-0.77521048706349205</v>
      </c>
    </row>
    <row r="857" spans="1:14">
      <c r="A857">
        <v>856</v>
      </c>
      <c r="B857">
        <v>1327</v>
      </c>
      <c r="C857">
        <v>1334</v>
      </c>
      <c r="D857">
        <v>5271</v>
      </c>
      <c r="E857">
        <v>858</v>
      </c>
      <c r="G857">
        <f t="shared" si="52"/>
        <v>0.12129500397375813</v>
      </c>
      <c r="H857">
        <f t="shared" si="53"/>
        <v>0.74582534358516461</v>
      </c>
      <c r="I857">
        <f t="shared" si="54"/>
        <v>0.59426843779805893</v>
      </c>
      <c r="K857">
        <f t="shared" si="55"/>
        <v>0.48712959511899384</v>
      </c>
      <c r="M857">
        <v>856</v>
      </c>
      <c r="N857">
        <v>0.48712959511899384</v>
      </c>
    </row>
    <row r="858" spans="1:14">
      <c r="A858">
        <v>857</v>
      </c>
      <c r="B858">
        <v>2129</v>
      </c>
      <c r="C858">
        <v>5614</v>
      </c>
      <c r="D858">
        <v>1335</v>
      </c>
      <c r="E858">
        <v>1468</v>
      </c>
      <c r="G858">
        <f t="shared" si="52"/>
        <v>0.54010684411776122</v>
      </c>
      <c r="H858">
        <f t="shared" si="53"/>
        <v>-5.5891145503085826E-2</v>
      </c>
      <c r="I858">
        <f t="shared" si="54"/>
        <v>0.62220246695551817</v>
      </c>
      <c r="K858">
        <f t="shared" si="55"/>
        <v>0.36880605519006454</v>
      </c>
      <c r="M858">
        <v>857</v>
      </c>
      <c r="N858">
        <v>0.36880605519006454</v>
      </c>
    </row>
    <row r="859" spans="1:14">
      <c r="A859">
        <v>858</v>
      </c>
      <c r="B859">
        <v>2397</v>
      </c>
      <c r="C859">
        <v>25403</v>
      </c>
      <c r="D859">
        <v>8955</v>
      </c>
      <c r="E859">
        <v>2916</v>
      </c>
      <c r="G859">
        <f t="shared" si="52"/>
        <v>1.144227071438823</v>
      </c>
      <c r="H859">
        <f t="shared" si="53"/>
        <v>0.71920080638603923</v>
      </c>
      <c r="I859">
        <f t="shared" si="54"/>
        <v>0.86877155842607223</v>
      </c>
      <c r="K859">
        <f t="shared" si="55"/>
        <v>0.91073314541697814</v>
      </c>
      <c r="M859">
        <v>858</v>
      </c>
      <c r="N859">
        <v>0.91073314541697814</v>
      </c>
    </row>
    <row r="860" spans="1:14">
      <c r="A860">
        <v>859</v>
      </c>
      <c r="B860">
        <v>1206</v>
      </c>
      <c r="C860">
        <v>70</v>
      </c>
      <c r="D860">
        <v>62</v>
      </c>
      <c r="E860">
        <v>97</v>
      </c>
      <c r="G860">
        <f t="shared" si="52"/>
        <v>-1.1172391705322122</v>
      </c>
      <c r="H860">
        <f t="shared" si="53"/>
        <v>-1.142152368071236</v>
      </c>
      <c r="I860">
        <f t="shared" si="54"/>
        <v>-0.31092350072409869</v>
      </c>
      <c r="K860">
        <f t="shared" si="55"/>
        <v>-0.85677167977584878</v>
      </c>
      <c r="M860">
        <v>859</v>
      </c>
      <c r="N860">
        <v>-0.85677167977584878</v>
      </c>
    </row>
    <row r="861" spans="1:14">
      <c r="A861">
        <v>860</v>
      </c>
      <c r="B861">
        <v>671</v>
      </c>
      <c r="C861">
        <v>425</v>
      </c>
      <c r="D861">
        <v>5</v>
      </c>
      <c r="E861">
        <v>2</v>
      </c>
      <c r="G861">
        <f t="shared" si="52"/>
        <v>-7.9323492861017045E-2</v>
      </c>
      <c r="H861">
        <f t="shared" si="53"/>
        <v>-1.9809492655983307</v>
      </c>
      <c r="I861">
        <f t="shared" si="54"/>
        <v>-1.7420404516912218</v>
      </c>
      <c r="K861">
        <f t="shared" si="55"/>
        <v>-1.2674377367168566</v>
      </c>
      <c r="M861">
        <v>860</v>
      </c>
      <c r="N861">
        <v>-1.2674377367168566</v>
      </c>
    </row>
    <row r="862" spans="1:14">
      <c r="A862">
        <v>861</v>
      </c>
      <c r="B862">
        <v>1532</v>
      </c>
      <c r="C862">
        <v>380</v>
      </c>
      <c r="D862">
        <v>0</v>
      </c>
      <c r="E862">
        <v>10</v>
      </c>
      <c r="G862">
        <f t="shared" si="52"/>
        <v>-0.48646507142211154</v>
      </c>
      <c r="H862" t="e">
        <f t="shared" si="53"/>
        <v>#NUM!</v>
      </c>
      <c r="I862">
        <f t="shared" si="54"/>
        <v>-1.4016066924827963</v>
      </c>
      <c r="K862" t="e">
        <f t="shared" si="55"/>
        <v>#NUM!</v>
      </c>
      <c r="M862">
        <v>861</v>
      </c>
      <c r="N862">
        <v>-3</v>
      </c>
    </row>
    <row r="863" spans="1:14">
      <c r="A863">
        <v>862</v>
      </c>
      <c r="B863">
        <v>1316</v>
      </c>
      <c r="C863">
        <v>140</v>
      </c>
      <c r="D863">
        <v>345</v>
      </c>
      <c r="E863">
        <v>719</v>
      </c>
      <c r="G863">
        <f t="shared" si="52"/>
        <v>-0.85411775634203524</v>
      </c>
      <c r="H863">
        <f t="shared" si="53"/>
        <v>-0.43463354397001985</v>
      </c>
      <c r="I863">
        <f t="shared" si="54"/>
        <v>0.52112507391873497</v>
      </c>
      <c r="K863">
        <f t="shared" si="55"/>
        <v>-0.25587540879777343</v>
      </c>
      <c r="M863">
        <v>862</v>
      </c>
      <c r="N863">
        <v>-0.25587540879777343</v>
      </c>
    </row>
    <row r="864" spans="1:14">
      <c r="A864">
        <v>863</v>
      </c>
      <c r="B864">
        <v>6649</v>
      </c>
      <c r="C864">
        <v>6409</v>
      </c>
      <c r="D864">
        <v>503</v>
      </c>
      <c r="E864">
        <v>4035</v>
      </c>
      <c r="G864">
        <f t="shared" si="52"/>
        <v>0.10304403589033957</v>
      </c>
      <c r="H864">
        <f t="shared" si="53"/>
        <v>-0.97438509766082049</v>
      </c>
      <c r="I864">
        <f t="shared" si="54"/>
        <v>0.56673927892048759</v>
      </c>
      <c r="K864">
        <f t="shared" si="55"/>
        <v>-0.10153392761666442</v>
      </c>
      <c r="M864">
        <v>863</v>
      </c>
      <c r="N864">
        <v>-0.10153392761666442</v>
      </c>
    </row>
    <row r="865" spans="1:14">
      <c r="A865">
        <v>864</v>
      </c>
      <c r="B865">
        <v>374</v>
      </c>
      <c r="C865">
        <v>12</v>
      </c>
      <c r="D865">
        <v>27</v>
      </c>
      <c r="E865">
        <v>207</v>
      </c>
      <c r="G865">
        <f t="shared" si="52"/>
        <v>-1.3746802588951919</v>
      </c>
      <c r="H865">
        <f t="shared" si="53"/>
        <v>-0.99470458780685023</v>
      </c>
      <c r="I865">
        <f t="shared" si="54"/>
        <v>0.52675081607022656</v>
      </c>
      <c r="K865">
        <f t="shared" si="55"/>
        <v>-0.61421134354393847</v>
      </c>
      <c r="M865">
        <v>864</v>
      </c>
      <c r="N865">
        <v>-0.61421134354393847</v>
      </c>
    </row>
    <row r="866" spans="1:14">
      <c r="A866">
        <v>865</v>
      </c>
      <c r="B866">
        <v>1228</v>
      </c>
      <c r="C866">
        <v>112</v>
      </c>
      <c r="D866">
        <v>3</v>
      </c>
      <c r="E866">
        <v>40</v>
      </c>
      <c r="G866">
        <f t="shared" si="52"/>
        <v>-0.92097024687730389</v>
      </c>
      <c r="H866">
        <f t="shared" si="53"/>
        <v>-2.4652738618508439</v>
      </c>
      <c r="I866">
        <f t="shared" si="54"/>
        <v>-0.70348630266339751</v>
      </c>
      <c r="K866">
        <f t="shared" si="55"/>
        <v>-1.3632434704638483</v>
      </c>
      <c r="M866">
        <v>865</v>
      </c>
      <c r="N866">
        <v>-1.3632434704638483</v>
      </c>
    </row>
    <row r="867" spans="1:14">
      <c r="A867">
        <v>866</v>
      </c>
      <c r="B867">
        <v>1504</v>
      </c>
      <c r="C867">
        <v>183</v>
      </c>
      <c r="D867">
        <v>957</v>
      </c>
      <c r="E867">
        <v>173</v>
      </c>
      <c r="G867">
        <f t="shared" si="52"/>
        <v>-0.79578664926753051</v>
      </c>
      <c r="H867">
        <f t="shared" si="53"/>
        <v>-4.9532648244137251E-2</v>
      </c>
      <c r="I867">
        <f t="shared" si="54"/>
        <v>-0.15554966031303896</v>
      </c>
      <c r="K867">
        <f t="shared" si="55"/>
        <v>-0.33362298594156892</v>
      </c>
      <c r="M867">
        <v>866</v>
      </c>
      <c r="N867">
        <v>-0.33362298594156892</v>
      </c>
    </row>
    <row r="868" spans="1:14">
      <c r="A868">
        <v>867</v>
      </c>
      <c r="B868">
        <v>3240</v>
      </c>
      <c r="C868">
        <v>10071</v>
      </c>
      <c r="D868">
        <v>802</v>
      </c>
      <c r="E868">
        <v>11089</v>
      </c>
      <c r="G868">
        <f t="shared" si="52"/>
        <v>0.61153768301872624</v>
      </c>
      <c r="H868">
        <f t="shared" si="53"/>
        <v>-0.45956739168780592</v>
      </c>
      <c r="I868">
        <f t="shared" si="54"/>
        <v>1.3179994460815365</v>
      </c>
      <c r="K868">
        <f t="shared" si="55"/>
        <v>0.48998991247081891</v>
      </c>
      <c r="M868">
        <v>867</v>
      </c>
      <c r="N868">
        <v>0.48998991247081891</v>
      </c>
    </row>
    <row r="869" spans="1:14">
      <c r="A869">
        <v>868</v>
      </c>
      <c r="B869">
        <v>2826</v>
      </c>
      <c r="C869">
        <v>2581</v>
      </c>
      <c r="D869">
        <v>35</v>
      </c>
      <c r="E869">
        <v>916</v>
      </c>
      <c r="G869">
        <f t="shared" si="52"/>
        <v>7.9625944288992501E-2</v>
      </c>
      <c r="H869">
        <f t="shared" si="53"/>
        <v>-1.7603008629276216</v>
      </c>
      <c r="I869">
        <f t="shared" si="54"/>
        <v>0.29437538896909959</v>
      </c>
      <c r="K869">
        <f t="shared" si="55"/>
        <v>-0.46209984322317643</v>
      </c>
      <c r="M869">
        <v>868</v>
      </c>
      <c r="N869">
        <v>-0.46209984322317643</v>
      </c>
    </row>
    <row r="870" spans="1:14">
      <c r="A870">
        <v>869</v>
      </c>
      <c r="B870">
        <v>5378</v>
      </c>
      <c r="C870">
        <v>7509</v>
      </c>
      <c r="D870">
        <v>1665</v>
      </c>
      <c r="E870">
        <v>5786</v>
      </c>
      <c r="G870">
        <f t="shared" si="52"/>
        <v>0.26397140369826638</v>
      </c>
      <c r="H870">
        <f t="shared" si="53"/>
        <v>-0.36240330981030144</v>
      </c>
      <c r="I870">
        <f t="shared" si="54"/>
        <v>0.81540970423847026</v>
      </c>
      <c r="K870">
        <f t="shared" si="55"/>
        <v>0.23899259937547837</v>
      </c>
      <c r="M870">
        <v>869</v>
      </c>
      <c r="N870">
        <v>0.23899259937547837</v>
      </c>
    </row>
    <row r="871" spans="1:14">
      <c r="A871">
        <v>870</v>
      </c>
      <c r="B871">
        <v>865</v>
      </c>
      <c r="C871">
        <v>24</v>
      </c>
      <c r="D871">
        <v>18</v>
      </c>
      <c r="E871">
        <v>329</v>
      </c>
      <c r="G871">
        <f t="shared" si="52"/>
        <v>-1.4377947684955446</v>
      </c>
      <c r="H871">
        <f t="shared" si="53"/>
        <v>-1.5349403521268656</v>
      </c>
      <c r="I871">
        <f t="shared" si="54"/>
        <v>0.36383186329894907</v>
      </c>
      <c r="K871">
        <f t="shared" si="55"/>
        <v>-0.86963441910782036</v>
      </c>
      <c r="M871">
        <v>870</v>
      </c>
      <c r="N871">
        <v>-0.86963441910782036</v>
      </c>
    </row>
    <row r="872" spans="1:14">
      <c r="A872">
        <v>871</v>
      </c>
      <c r="B872">
        <v>1799</v>
      </c>
      <c r="C872">
        <v>1939</v>
      </c>
      <c r="D872">
        <v>41</v>
      </c>
      <c r="E872">
        <v>2792</v>
      </c>
      <c r="G872">
        <f t="shared" si="52"/>
        <v>0.15155674299081745</v>
      </c>
      <c r="H872">
        <f t="shared" si="53"/>
        <v>-1.4954440563911733</v>
      </c>
      <c r="I872">
        <f t="shared" si="54"/>
        <v>0.97453632341936114</v>
      </c>
      <c r="K872">
        <f t="shared" si="55"/>
        <v>-0.1231169966603316</v>
      </c>
      <c r="M872">
        <v>871</v>
      </c>
      <c r="N872">
        <v>-0.1231169966603316</v>
      </c>
    </row>
    <row r="873" spans="1:14">
      <c r="A873">
        <v>872</v>
      </c>
      <c r="B873">
        <v>1252</v>
      </c>
      <c r="C873">
        <v>71</v>
      </c>
      <c r="D873">
        <v>55</v>
      </c>
      <c r="E873">
        <v>130</v>
      </c>
      <c r="G873">
        <f t="shared" si="52"/>
        <v>-1.1273358828976721</v>
      </c>
      <c r="H873">
        <f t="shared" si="53"/>
        <v>-1.2104383891455244</v>
      </c>
      <c r="I873">
        <f t="shared" si="54"/>
        <v>-0.20000890375378511</v>
      </c>
      <c r="K873">
        <f t="shared" si="55"/>
        <v>-0.84592772526566051</v>
      </c>
      <c r="M873">
        <v>872</v>
      </c>
      <c r="N873">
        <v>-0.84592772526566051</v>
      </c>
    </row>
    <row r="874" spans="1:14">
      <c r="A874">
        <v>873</v>
      </c>
      <c r="B874">
        <v>2824</v>
      </c>
      <c r="C874">
        <v>1792</v>
      </c>
      <c r="D874">
        <v>84</v>
      </c>
      <c r="E874">
        <v>1928</v>
      </c>
      <c r="G874">
        <f t="shared" si="52"/>
        <v>-7.8516589795996308E-2</v>
      </c>
      <c r="H874">
        <f t="shared" si="53"/>
        <v>-1.379782156083242</v>
      </c>
      <c r="I874">
        <f t="shared" si="54"/>
        <v>0.61789441000083478</v>
      </c>
      <c r="K874">
        <f t="shared" si="55"/>
        <v>-0.28013477862613451</v>
      </c>
      <c r="M874">
        <v>873</v>
      </c>
      <c r="N874">
        <v>-0.28013477862613451</v>
      </c>
    </row>
    <row r="875" spans="1:14">
      <c r="A875">
        <v>874</v>
      </c>
      <c r="B875">
        <v>2307</v>
      </c>
      <c r="C875">
        <v>36</v>
      </c>
      <c r="D875">
        <v>1637</v>
      </c>
      <c r="E875">
        <v>252</v>
      </c>
      <c r="G875">
        <f t="shared" si="52"/>
        <v>-1.6877349964961426</v>
      </c>
      <c r="H875">
        <f t="shared" si="53"/>
        <v>-2.1956648745093676E-3</v>
      </c>
      <c r="I875">
        <f t="shared" si="54"/>
        <v>-0.17799498092576038</v>
      </c>
      <c r="K875">
        <f t="shared" si="55"/>
        <v>-0.62264188076547078</v>
      </c>
      <c r="M875">
        <v>874</v>
      </c>
      <c r="N875">
        <v>-0.62264188076547078</v>
      </c>
    </row>
    <row r="876" spans="1:14">
      <c r="A876">
        <v>875</v>
      </c>
      <c r="B876">
        <v>2604</v>
      </c>
      <c r="C876">
        <v>3074</v>
      </c>
      <c r="D876">
        <v>204</v>
      </c>
      <c r="E876">
        <v>4205</v>
      </c>
      <c r="G876">
        <f t="shared" si="52"/>
        <v>0.19107298052523541</v>
      </c>
      <c r="H876">
        <f t="shared" si="53"/>
        <v>-0.95920756223561299</v>
      </c>
      <c r="I876">
        <f t="shared" si="54"/>
        <v>0.99177709305156569</v>
      </c>
      <c r="K876">
        <f t="shared" si="55"/>
        <v>7.4547503780396054E-2</v>
      </c>
      <c r="M876">
        <v>875</v>
      </c>
      <c r="N876">
        <v>7.4547503780396054E-2</v>
      </c>
    </row>
    <row r="877" spans="1:14">
      <c r="A877">
        <v>876</v>
      </c>
      <c r="B877">
        <v>2647</v>
      </c>
      <c r="C877">
        <v>2917</v>
      </c>
      <c r="D877">
        <v>408</v>
      </c>
      <c r="E877">
        <v>1171</v>
      </c>
      <c r="G877">
        <f t="shared" si="52"/>
        <v>0.16119258507804793</v>
      </c>
      <c r="H877">
        <f t="shared" si="53"/>
        <v>-0.66529052797682553</v>
      </c>
      <c r="I877">
        <f t="shared" si="54"/>
        <v>0.42945502658480389</v>
      </c>
      <c r="K877">
        <f t="shared" si="55"/>
        <v>-2.4880972104657912E-2</v>
      </c>
      <c r="M877">
        <v>876</v>
      </c>
      <c r="N877">
        <v>-2.4880972104657912E-2</v>
      </c>
    </row>
    <row r="878" spans="1:14">
      <c r="A878">
        <v>877</v>
      </c>
      <c r="B878">
        <v>1269</v>
      </c>
      <c r="C878">
        <v>845</v>
      </c>
      <c r="D878">
        <v>444</v>
      </c>
      <c r="E878">
        <v>416</v>
      </c>
      <c r="G878">
        <f t="shared" si="52"/>
        <v>-5.759481588734898E-2</v>
      </c>
      <c r="H878">
        <f t="shared" si="53"/>
        <v>-0.30927540174544232</v>
      </c>
      <c r="I878">
        <f t="shared" si="54"/>
        <v>0.29928378134582695</v>
      </c>
      <c r="K878">
        <f t="shared" si="55"/>
        <v>-2.2528812095654788E-2</v>
      </c>
      <c r="M878">
        <v>877</v>
      </c>
      <c r="N878">
        <v>-2.2528812095654788E-2</v>
      </c>
    </row>
    <row r="879" spans="1:14">
      <c r="A879">
        <v>878</v>
      </c>
      <c r="B879">
        <v>1151</v>
      </c>
      <c r="C879">
        <v>10371</v>
      </c>
      <c r="D879">
        <v>174</v>
      </c>
      <c r="E879">
        <v>67</v>
      </c>
      <c r="G879">
        <f t="shared" si="52"/>
        <v>1.0737554078899409</v>
      </c>
      <c r="H879">
        <f t="shared" si="53"/>
        <v>-0.67372282511254933</v>
      </c>
      <c r="I879">
        <f t="shared" si="54"/>
        <v>-0.45134844811517638</v>
      </c>
      <c r="K879">
        <f t="shared" si="55"/>
        <v>-1.7105288445928252E-2</v>
      </c>
      <c r="M879">
        <v>878</v>
      </c>
      <c r="N879">
        <v>-1.7105288445928252E-2</v>
      </c>
    </row>
    <row r="880" spans="1:14">
      <c r="A880">
        <v>879</v>
      </c>
      <c r="B880">
        <v>1188</v>
      </c>
      <c r="C880">
        <v>1536</v>
      </c>
      <c r="D880">
        <v>847</v>
      </c>
      <c r="E880">
        <v>1016</v>
      </c>
      <c r="G880">
        <f t="shared" si="52"/>
        <v>0.23058487230798197</v>
      </c>
      <c r="H880">
        <f t="shared" si="53"/>
        <v>-1.2978007982519801E-4</v>
      </c>
      <c r="I880">
        <f t="shared" si="54"/>
        <v>0.71572934011651468</v>
      </c>
      <c r="K880">
        <f t="shared" si="55"/>
        <v>0.31539481078155712</v>
      </c>
      <c r="M880">
        <v>879</v>
      </c>
      <c r="N880">
        <v>0.31539481078155712</v>
      </c>
    </row>
    <row r="881" spans="1:14">
      <c r="A881">
        <v>880</v>
      </c>
      <c r="B881">
        <v>998</v>
      </c>
      <c r="C881">
        <v>986</v>
      </c>
      <c r="D881">
        <v>151</v>
      </c>
      <c r="E881">
        <v>211</v>
      </c>
      <c r="G881">
        <f t="shared" si="52"/>
        <v>0.11375647091150357</v>
      </c>
      <c r="H881">
        <f t="shared" si="53"/>
        <v>-0.67335034375955893</v>
      </c>
      <c r="I881">
        <f t="shared" si="54"/>
        <v>0.10880398682411052</v>
      </c>
      <c r="K881">
        <f t="shared" si="55"/>
        <v>-0.15026329534131497</v>
      </c>
      <c r="M881">
        <v>880</v>
      </c>
      <c r="N881">
        <v>-0.15026329534131497</v>
      </c>
    </row>
    <row r="882" spans="1:14">
      <c r="A882">
        <v>881</v>
      </c>
      <c r="B882">
        <v>1827</v>
      </c>
      <c r="C882">
        <v>88</v>
      </c>
      <c r="D882">
        <v>61</v>
      </c>
      <c r="E882">
        <v>2316</v>
      </c>
      <c r="G882">
        <f t="shared" si="52"/>
        <v>-1.1982457779447055</v>
      </c>
      <c r="H882">
        <f t="shared" si="53"/>
        <v>-1.329605462107128</v>
      </c>
      <c r="I882">
        <f t="shared" si="54"/>
        <v>0.88665208051664979</v>
      </c>
      <c r="K882">
        <f t="shared" si="55"/>
        <v>-0.5470663865117279</v>
      </c>
      <c r="M882">
        <v>881</v>
      </c>
      <c r="N882">
        <v>-0.5470663865117279</v>
      </c>
    </row>
    <row r="883" spans="1:14">
      <c r="A883">
        <v>882</v>
      </c>
      <c r="B883">
        <v>763</v>
      </c>
      <c r="C883">
        <v>202</v>
      </c>
      <c r="D883">
        <v>377</v>
      </c>
      <c r="E883">
        <v>385</v>
      </c>
      <c r="G883">
        <f t="shared" si="52"/>
        <v>-0.45816307125059325</v>
      </c>
      <c r="H883">
        <f t="shared" si="53"/>
        <v>-0.15937993751444493</v>
      </c>
      <c r="I883">
        <f t="shared" si="54"/>
        <v>0.48658826436740921</v>
      </c>
      <c r="K883">
        <f t="shared" si="55"/>
        <v>-4.3651581465876332E-2</v>
      </c>
      <c r="M883">
        <v>882</v>
      </c>
      <c r="N883">
        <v>-4.3651581465876332E-2</v>
      </c>
    </row>
    <row r="884" spans="1:14">
      <c r="A884">
        <v>883</v>
      </c>
      <c r="B884">
        <v>1196</v>
      </c>
      <c r="C884">
        <v>262</v>
      </c>
      <c r="D884">
        <v>1729</v>
      </c>
      <c r="E884">
        <v>4</v>
      </c>
      <c r="G884">
        <f t="shared" si="52"/>
        <v>-0.54041979107498317</v>
      </c>
      <c r="H884">
        <f t="shared" si="53"/>
        <v>0.30686706385617318</v>
      </c>
      <c r="I884">
        <f t="shared" si="54"/>
        <v>-1.6920191155106405</v>
      </c>
      <c r="K884">
        <f t="shared" si="55"/>
        <v>-0.64185728090981686</v>
      </c>
      <c r="M884">
        <v>883</v>
      </c>
      <c r="N884">
        <v>-0.64185728090981686</v>
      </c>
    </row>
    <row r="885" spans="1:14">
      <c r="A885">
        <v>884</v>
      </c>
      <c r="B885">
        <v>1850</v>
      </c>
      <c r="C885">
        <v>3351</v>
      </c>
      <c r="D885">
        <v>42</v>
      </c>
      <c r="E885">
        <v>242</v>
      </c>
      <c r="G885">
        <f t="shared" si="52"/>
        <v>0.37701279668992116</v>
      </c>
      <c r="H885">
        <f t="shared" si="53"/>
        <v>-1.4971191877704708</v>
      </c>
      <c r="I885">
        <f t="shared" si="54"/>
        <v>-9.9704289608793517E-2</v>
      </c>
      <c r="K885">
        <f t="shared" si="55"/>
        <v>-0.406603560229781</v>
      </c>
      <c r="M885">
        <v>884</v>
      </c>
      <c r="N885">
        <v>-0.406603560229781</v>
      </c>
    </row>
    <row r="886" spans="1:14">
      <c r="A886">
        <v>885</v>
      </c>
      <c r="B886">
        <v>947</v>
      </c>
      <c r="C886">
        <v>203</v>
      </c>
      <c r="D886">
        <v>7</v>
      </c>
      <c r="E886">
        <v>233</v>
      </c>
      <c r="G886">
        <f t="shared" si="52"/>
        <v>-0.54984384383239704</v>
      </c>
      <c r="H886">
        <f t="shared" si="53"/>
        <v>-1.984448688754374</v>
      </c>
      <c r="I886">
        <f t="shared" si="54"/>
        <v>0.17465801483653454</v>
      </c>
      <c r="K886">
        <f t="shared" si="55"/>
        <v>-0.78654483925007879</v>
      </c>
      <c r="M886">
        <v>885</v>
      </c>
      <c r="N886">
        <v>-0.78654483925007879</v>
      </c>
    </row>
    <row r="887" spans="1:14">
      <c r="A887">
        <v>886</v>
      </c>
      <c r="B887">
        <v>588</v>
      </c>
      <c r="C887">
        <v>4</v>
      </c>
      <c r="D887">
        <v>13</v>
      </c>
      <c r="E887">
        <v>1</v>
      </c>
      <c r="G887">
        <f t="shared" si="52"/>
        <v>-2.0483072374905125</v>
      </c>
      <c r="H887">
        <f t="shared" si="53"/>
        <v>-1.5086307235346592</v>
      </c>
      <c r="I887">
        <f t="shared" si="54"/>
        <v>-1.9857252532623495</v>
      </c>
      <c r="K887">
        <f t="shared" si="55"/>
        <v>-1.847554404762507</v>
      </c>
      <c r="M887">
        <v>886</v>
      </c>
      <c r="N887">
        <v>-1.847554404762507</v>
      </c>
    </row>
    <row r="888" spans="1:14">
      <c r="A888">
        <v>887</v>
      </c>
      <c r="B888">
        <v>2180</v>
      </c>
      <c r="C888">
        <v>6072</v>
      </c>
      <c r="D888">
        <v>33</v>
      </c>
      <c r="E888">
        <v>238</v>
      </c>
      <c r="G888">
        <f t="shared" si="52"/>
        <v>0.56388536654048249</v>
      </c>
      <c r="H888">
        <f t="shared" si="53"/>
        <v>-1.6731393034920747</v>
      </c>
      <c r="I888">
        <f t="shared" si="54"/>
        <v>-0.17822746373430387</v>
      </c>
      <c r="K888">
        <f t="shared" si="55"/>
        <v>-0.42916046689529869</v>
      </c>
      <c r="M888">
        <v>887</v>
      </c>
      <c r="N888">
        <v>-0.42916046689529869</v>
      </c>
    </row>
    <row r="889" spans="1:14">
      <c r="A889">
        <v>888</v>
      </c>
      <c r="B889">
        <v>2760</v>
      </c>
      <c r="C889">
        <v>131</v>
      </c>
      <c r="D889">
        <v>336</v>
      </c>
      <c r="E889">
        <v>1100</v>
      </c>
      <c r="G889">
        <f t="shared" si="52"/>
        <v>-1.20462768915179</v>
      </c>
      <c r="H889">
        <f t="shared" si="53"/>
        <v>-0.76776655444073094</v>
      </c>
      <c r="I889">
        <f t="shared" si="54"/>
        <v>0.38413567590679631</v>
      </c>
      <c r="K889">
        <f t="shared" si="55"/>
        <v>-0.52941952256190816</v>
      </c>
      <c r="M889">
        <v>888</v>
      </c>
      <c r="N889">
        <v>-0.52941952256190816</v>
      </c>
    </row>
    <row r="890" spans="1:14">
      <c r="A890">
        <v>889</v>
      </c>
      <c r="B890">
        <v>1169</v>
      </c>
      <c r="C890">
        <v>42</v>
      </c>
      <c r="D890">
        <v>532</v>
      </c>
      <c r="E890">
        <v>838</v>
      </c>
      <c r="G890">
        <f t="shared" si="52"/>
        <v>-1.3255551235062761</v>
      </c>
      <c r="H890">
        <f t="shared" si="53"/>
        <v>-0.19509962863214927</v>
      </c>
      <c r="I890">
        <f t="shared" si="54"/>
        <v>0.63908158028222539</v>
      </c>
      <c r="K890">
        <f t="shared" si="55"/>
        <v>-0.29385772395206672</v>
      </c>
      <c r="M890">
        <v>889</v>
      </c>
      <c r="N890">
        <v>-0.29385772395206672</v>
      </c>
    </row>
    <row r="891" spans="1:14">
      <c r="A891">
        <v>890</v>
      </c>
      <c r="B891">
        <v>1630</v>
      </c>
      <c r="C891">
        <v>25</v>
      </c>
      <c r="D891">
        <v>32</v>
      </c>
      <c r="E891">
        <v>8</v>
      </c>
      <c r="G891">
        <f t="shared" si="52"/>
        <v>-1.6952374984742566</v>
      </c>
      <c r="H891">
        <f t="shared" si="53"/>
        <v>-1.5602343758494093</v>
      </c>
      <c r="I891">
        <f t="shared" si="54"/>
        <v>-1.5254455445982253</v>
      </c>
      <c r="K891">
        <f t="shared" si="55"/>
        <v>-1.5936391396406304</v>
      </c>
      <c r="M891">
        <v>890</v>
      </c>
      <c r="N891">
        <v>-1.5936391396406304</v>
      </c>
    </row>
    <row r="892" spans="1:14">
      <c r="A892">
        <v>891</v>
      </c>
      <c r="B892">
        <v>1434</v>
      </c>
      <c r="C892">
        <v>956</v>
      </c>
      <c r="D892">
        <v>45</v>
      </c>
      <c r="E892">
        <v>241</v>
      </c>
      <c r="G892">
        <f t="shared" si="52"/>
        <v>-5.7081161798017796E-2</v>
      </c>
      <c r="H892">
        <f t="shared" si="53"/>
        <v>-1.3565333873217951</v>
      </c>
      <c r="I892">
        <f t="shared" si="54"/>
        <v>9.1199640568760953E-3</v>
      </c>
      <c r="K892">
        <f t="shared" si="55"/>
        <v>-0.46816486168764565</v>
      </c>
      <c r="M892">
        <v>891</v>
      </c>
      <c r="N892">
        <v>-0.46816486168764565</v>
      </c>
    </row>
    <row r="893" spans="1:14">
      <c r="A893">
        <v>892</v>
      </c>
      <c r="B893">
        <v>717</v>
      </c>
      <c r="C893">
        <v>42</v>
      </c>
      <c r="D893">
        <v>74</v>
      </c>
      <c r="E893">
        <v>1388</v>
      </c>
      <c r="G893">
        <f t="shared" si="52"/>
        <v>-1.113259768012236</v>
      </c>
      <c r="H893">
        <f t="shared" si="53"/>
        <v>-0.8394841857021812</v>
      </c>
      <c r="I893">
        <f t="shared" si="54"/>
        <v>1.070522383264825</v>
      </c>
      <c r="K893">
        <f t="shared" si="55"/>
        <v>-0.2940738568165307</v>
      </c>
      <c r="M893">
        <v>892</v>
      </c>
      <c r="N893">
        <v>-0.2940738568165307</v>
      </c>
    </row>
    <row r="894" spans="1:14">
      <c r="A894">
        <v>893</v>
      </c>
      <c r="B894">
        <v>2393</v>
      </c>
      <c r="C894">
        <v>288</v>
      </c>
      <c r="D894">
        <v>165</v>
      </c>
      <c r="E894">
        <v>383</v>
      </c>
      <c r="G894">
        <f t="shared" si="52"/>
        <v>-0.80054011359654309</v>
      </c>
      <c r="H894">
        <f t="shared" si="53"/>
        <v>-1.0146555041648884</v>
      </c>
      <c r="I894">
        <f t="shared" si="54"/>
        <v>-1.2091851831025568E-2</v>
      </c>
      <c r="K894">
        <f t="shared" si="55"/>
        <v>-0.60909582319748568</v>
      </c>
      <c r="M894">
        <v>893</v>
      </c>
      <c r="N894">
        <v>-0.60909582319748568</v>
      </c>
    </row>
    <row r="895" spans="1:14">
      <c r="A895">
        <v>894</v>
      </c>
      <c r="B895">
        <v>1625</v>
      </c>
      <c r="C895">
        <v>125</v>
      </c>
      <c r="D895">
        <v>2093</v>
      </c>
      <c r="E895">
        <v>521262</v>
      </c>
      <c r="G895">
        <f t="shared" si="52"/>
        <v>-0.99493325504917329</v>
      </c>
      <c r="H895">
        <f t="shared" si="53"/>
        <v>0.25671911325843599</v>
      </c>
      <c r="I895">
        <f t="shared" si="54"/>
        <v>3.289854773511971</v>
      </c>
      <c r="K895">
        <f t="shared" si="55"/>
        <v>0.85054687724041111</v>
      </c>
      <c r="M895">
        <v>894</v>
      </c>
      <c r="N895">
        <v>0.85054687724041111</v>
      </c>
    </row>
    <row r="896" spans="1:14">
      <c r="A896">
        <v>895</v>
      </c>
      <c r="B896">
        <v>2217</v>
      </c>
      <c r="C896">
        <v>4480</v>
      </c>
      <c r="D896">
        <v>26</v>
      </c>
      <c r="E896">
        <v>4298</v>
      </c>
      <c r="G896">
        <f t="shared" si="52"/>
        <v>0.4245224181413193</v>
      </c>
      <c r="H896">
        <f t="shared" si="53"/>
        <v>-1.7839890949090276</v>
      </c>
      <c r="I896">
        <f t="shared" si="54"/>
        <v>1.0711527908547254</v>
      </c>
      <c r="K896">
        <f t="shared" si="55"/>
        <v>-9.6104628637661005E-2</v>
      </c>
      <c r="M896">
        <v>895</v>
      </c>
      <c r="N896">
        <v>-9.6104628637661005E-2</v>
      </c>
    </row>
    <row r="897" spans="1:14">
      <c r="A897">
        <v>896</v>
      </c>
      <c r="B897">
        <v>4123</v>
      </c>
      <c r="C897">
        <v>1857</v>
      </c>
      <c r="D897">
        <v>294</v>
      </c>
      <c r="E897">
        <v>3791</v>
      </c>
      <c r="G897">
        <f t="shared" si="52"/>
        <v>-0.22739133380391457</v>
      </c>
      <c r="H897">
        <f t="shared" si="53"/>
        <v>-1.0000627541545586</v>
      </c>
      <c r="I897">
        <f t="shared" si="54"/>
        <v>0.74719252243886514</v>
      </c>
      <c r="K897">
        <f t="shared" si="55"/>
        <v>-0.16008718850653603</v>
      </c>
      <c r="M897">
        <v>896</v>
      </c>
      <c r="N897">
        <v>-0.16008718850653603</v>
      </c>
    </row>
    <row r="898" spans="1:14">
      <c r="A898">
        <v>897</v>
      </c>
      <c r="B898">
        <v>1833</v>
      </c>
      <c r="C898">
        <v>25</v>
      </c>
      <c r="D898">
        <v>29</v>
      </c>
      <c r="E898">
        <v>102</v>
      </c>
      <c r="G898">
        <f t="shared" si="52"/>
        <v>-1.7462123590325156</v>
      </c>
      <c r="H898">
        <f t="shared" si="53"/>
        <v>-1.653961216828618</v>
      </c>
      <c r="I898">
        <f t="shared" si="54"/>
        <v>-0.47091022038651009</v>
      </c>
      <c r="K898">
        <f t="shared" si="55"/>
        <v>-1.2903612654158811</v>
      </c>
      <c r="M898">
        <v>897</v>
      </c>
      <c r="N898">
        <v>-1.2903612654158811</v>
      </c>
    </row>
    <row r="899" spans="1:14">
      <c r="A899">
        <v>898</v>
      </c>
      <c r="B899">
        <v>1483</v>
      </c>
      <c r="C899">
        <v>154</v>
      </c>
      <c r="D899">
        <v>7</v>
      </c>
      <c r="E899">
        <v>152</v>
      </c>
      <c r="G899">
        <f t="shared" ref="G899:G909" si="56">LOG10(C899/B899)-LOG10(28875/37978)</f>
        <v>-0.8646103329342556</v>
      </c>
      <c r="H899">
        <f t="shared" ref="H899:H909" si="57">LOG10(D899/B899)-LOG10(27085/37978)</f>
        <v>-2.1792398607794827</v>
      </c>
      <c r="I899">
        <f t="shared" ref="I899:I909" si="58">LOG10(E899/B899)-LOG10(6250/37978)</f>
        <v>-0.20564549026982049</v>
      </c>
      <c r="K899">
        <f t="shared" ref="K899:K909" si="59">AVERAGE(G899:I899)</f>
        <v>-1.0831652279945196</v>
      </c>
      <c r="M899">
        <v>898</v>
      </c>
      <c r="N899">
        <v>-1.0831652279945196</v>
      </c>
    </row>
    <row r="900" spans="1:14">
      <c r="A900">
        <v>899</v>
      </c>
      <c r="B900">
        <v>1821</v>
      </c>
      <c r="C900">
        <v>8</v>
      </c>
      <c r="D900">
        <v>0</v>
      </c>
      <c r="E900">
        <v>19</v>
      </c>
      <c r="G900">
        <f t="shared" si="56"/>
        <v>-2.2382098615453128</v>
      </c>
      <c r="H900" t="e">
        <f t="shared" si="57"/>
        <v>#NUM!</v>
      </c>
      <c r="I900">
        <f t="shared" si="58"/>
        <v>-1.197904272028302</v>
      </c>
      <c r="K900" t="e">
        <f t="shared" si="59"/>
        <v>#NUM!</v>
      </c>
      <c r="M900">
        <v>899</v>
      </c>
      <c r="N900">
        <v>-3</v>
      </c>
    </row>
    <row r="901" spans="1:14">
      <c r="A901">
        <v>900</v>
      </c>
      <c r="B901">
        <v>3833</v>
      </c>
      <c r="C901">
        <v>1172</v>
      </c>
      <c r="D901">
        <v>2675</v>
      </c>
      <c r="E901">
        <v>7566</v>
      </c>
      <c r="G901">
        <f t="shared" si="56"/>
        <v>-0.39560111031461681</v>
      </c>
      <c r="H901">
        <f t="shared" si="57"/>
        <v>-9.4117826624622314E-3</v>
      </c>
      <c r="I901">
        <f t="shared" si="58"/>
        <v>1.0789795905161621</v>
      </c>
      <c r="K901">
        <f t="shared" si="59"/>
        <v>0.22465556584636101</v>
      </c>
      <c r="M901">
        <v>900</v>
      </c>
      <c r="N901">
        <v>0.22465556584636101</v>
      </c>
    </row>
    <row r="902" spans="1:14">
      <c r="A902">
        <v>901</v>
      </c>
      <c r="B902">
        <v>388</v>
      </c>
      <c r="C902">
        <v>295</v>
      </c>
      <c r="D902">
        <v>37</v>
      </c>
      <c r="E902">
        <v>77</v>
      </c>
      <c r="G902">
        <f t="shared" si="56"/>
        <v>3.8764161920668005E-7</v>
      </c>
      <c r="H902">
        <f t="shared" si="57"/>
        <v>-0.87382675129256959</v>
      </c>
      <c r="I902">
        <f t="shared" si="58"/>
        <v>8.1311072392063588E-2</v>
      </c>
      <c r="K902">
        <f t="shared" si="59"/>
        <v>-0.26417176375296225</v>
      </c>
      <c r="M902">
        <v>901</v>
      </c>
      <c r="N902">
        <v>-0.26417176375296225</v>
      </c>
    </row>
    <row r="903" spans="1:14">
      <c r="A903">
        <v>902</v>
      </c>
      <c r="B903">
        <v>616</v>
      </c>
      <c r="C903">
        <v>304</v>
      </c>
      <c r="D903">
        <v>14</v>
      </c>
      <c r="E903">
        <v>10302</v>
      </c>
      <c r="G903">
        <f t="shared" si="56"/>
        <v>-0.18769703129800824</v>
      </c>
      <c r="H903">
        <f t="shared" si="57"/>
        <v>-1.4966494262515448</v>
      </c>
      <c r="I903">
        <f t="shared" si="58"/>
        <v>2.0069929061939238</v>
      </c>
      <c r="K903">
        <f t="shared" si="59"/>
        <v>0.10754881621479025</v>
      </c>
      <c r="M903">
        <v>902</v>
      </c>
      <c r="N903">
        <v>0.10754881621479025</v>
      </c>
    </row>
    <row r="904" spans="1:14">
      <c r="A904">
        <v>903</v>
      </c>
      <c r="B904">
        <v>1435</v>
      </c>
      <c r="C904">
        <v>2728</v>
      </c>
      <c r="D904">
        <v>106</v>
      </c>
      <c r="E904">
        <v>7377</v>
      </c>
      <c r="G904">
        <f t="shared" si="56"/>
        <v>0.39800256217209368</v>
      </c>
      <c r="H904">
        <f t="shared" si="57"/>
        <v>-0.98474278557059824</v>
      </c>
      <c r="I904">
        <f t="shared" si="58"/>
        <v>1.4946799552021575</v>
      </c>
      <c r="K904">
        <f t="shared" si="59"/>
        <v>0.3026465772678843</v>
      </c>
      <c r="M904">
        <v>903</v>
      </c>
      <c r="N904">
        <v>0.3026465772678843</v>
      </c>
    </row>
    <row r="905" spans="1:14">
      <c r="A905">
        <v>904</v>
      </c>
      <c r="B905">
        <v>1719</v>
      </c>
      <c r="C905">
        <v>724</v>
      </c>
      <c r="D905">
        <v>185</v>
      </c>
      <c r="E905">
        <v>793</v>
      </c>
      <c r="G905">
        <f t="shared" si="56"/>
        <v>-0.25652721323224204</v>
      </c>
      <c r="H905">
        <f t="shared" si="57"/>
        <v>-0.82130089804939588</v>
      </c>
      <c r="I905">
        <f t="shared" si="58"/>
        <v>0.44764938344434041</v>
      </c>
      <c r="K905">
        <f t="shared" si="59"/>
        <v>-0.21005957594576583</v>
      </c>
      <c r="M905">
        <v>904</v>
      </c>
      <c r="N905">
        <v>-0.21005957594576583</v>
      </c>
    </row>
    <row r="906" spans="1:14">
      <c r="A906">
        <v>905</v>
      </c>
      <c r="B906">
        <v>985</v>
      </c>
      <c r="C906">
        <v>4</v>
      </c>
      <c r="D906">
        <v>6</v>
      </c>
      <c r="E906">
        <v>29</v>
      </c>
      <c r="G906">
        <f t="shared" si="56"/>
        <v>-2.2723661419119856</v>
      </c>
      <c r="H906">
        <f t="shared" si="57"/>
        <v>-2.0684817298793257</v>
      </c>
      <c r="I906">
        <f t="shared" si="58"/>
        <v>-0.74738615978486656</v>
      </c>
      <c r="K906">
        <f t="shared" si="59"/>
        <v>-1.6960780105253928</v>
      </c>
      <c r="M906">
        <v>905</v>
      </c>
      <c r="N906">
        <v>-1.6960780105253928</v>
      </c>
    </row>
    <row r="907" spans="1:14">
      <c r="A907">
        <v>906</v>
      </c>
      <c r="B907">
        <v>816</v>
      </c>
      <c r="C907">
        <v>177</v>
      </c>
      <c r="D907">
        <v>69</v>
      </c>
      <c r="E907">
        <v>487</v>
      </c>
      <c r="G907">
        <f t="shared" si="56"/>
        <v>-0.54470679513439113</v>
      </c>
      <c r="H907">
        <f t="shared" si="57"/>
        <v>-0.92603781778196315</v>
      </c>
      <c r="I907">
        <f t="shared" si="58"/>
        <v>0.5594908752745622</v>
      </c>
      <c r="K907">
        <f t="shared" si="59"/>
        <v>-0.30375124588059738</v>
      </c>
      <c r="M907">
        <v>906</v>
      </c>
      <c r="N907">
        <v>-0.30375124588059738</v>
      </c>
    </row>
    <row r="908" spans="1:14">
      <c r="A908">
        <v>907</v>
      </c>
      <c r="B908">
        <v>1489</v>
      </c>
      <c r="C908">
        <v>311</v>
      </c>
      <c r="D908">
        <v>900</v>
      </c>
      <c r="E908">
        <v>10864</v>
      </c>
      <c r="G908">
        <f t="shared" si="56"/>
        <v>-0.56112421146767522</v>
      </c>
      <c r="H908">
        <f t="shared" si="57"/>
        <v>-7.184893807820858E-2</v>
      </c>
      <c r="I908">
        <f t="shared" si="58"/>
        <v>1.6467471319980393</v>
      </c>
      <c r="K908">
        <f t="shared" si="59"/>
        <v>0.3379246608173852</v>
      </c>
      <c r="M908">
        <v>907</v>
      </c>
      <c r="N908">
        <v>0.3379246608173852</v>
      </c>
    </row>
    <row r="909" spans="1:14">
      <c r="A909" t="s">
        <v>4</v>
      </c>
      <c r="B909">
        <v>37978</v>
      </c>
      <c r="C909">
        <v>28875</v>
      </c>
      <c r="D909">
        <v>27085</v>
      </c>
      <c r="E909">
        <v>6250</v>
      </c>
      <c r="G909">
        <f t="shared" si="56"/>
        <v>0</v>
      </c>
      <c r="H909">
        <f t="shared" si="57"/>
        <v>0</v>
      </c>
      <c r="I909">
        <f t="shared" si="58"/>
        <v>0</v>
      </c>
      <c r="K909">
        <f t="shared" si="59"/>
        <v>0</v>
      </c>
      <c r="M909" t="s">
        <v>4</v>
      </c>
      <c r="N9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14A7-72CB-5A41-9F93-09F95D642F6D}">
  <dimension ref="A1:R909"/>
  <sheetViews>
    <sheetView tabSelected="1" topLeftCell="A873" workbookViewId="0">
      <selection activeCell="D902" sqref="D902"/>
    </sheetView>
  </sheetViews>
  <sheetFormatPr baseColWidth="10" defaultRowHeight="18"/>
  <sheetData>
    <row r="1" spans="1:18">
      <c r="A1" t="s">
        <v>0</v>
      </c>
      <c r="C1" t="s">
        <v>8</v>
      </c>
      <c r="D1" t="s">
        <v>1</v>
      </c>
      <c r="E1" t="s">
        <v>3</v>
      </c>
      <c r="F1" t="s">
        <v>9</v>
      </c>
      <c r="G1" t="s">
        <v>10</v>
      </c>
      <c r="H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Q1" t="s">
        <v>6</v>
      </c>
      <c r="R1" t="s">
        <v>17</v>
      </c>
    </row>
    <row r="2" spans="1:18">
      <c r="A2" t="s">
        <v>4</v>
      </c>
      <c r="C2">
        <v>47667</v>
      </c>
      <c r="D2">
        <v>54429</v>
      </c>
      <c r="E2">
        <v>37995</v>
      </c>
      <c r="F2">
        <v>35167</v>
      </c>
      <c r="G2">
        <v>34734</v>
      </c>
      <c r="H2">
        <v>33378</v>
      </c>
      <c r="J2" s="1"/>
      <c r="K2">
        <f>LOG10(D2/C2)-LOG10(54429/47667)</f>
        <v>0</v>
      </c>
      <c r="L2">
        <f>LOG10(E2/C2)-LOG10(37995/47667)</f>
        <v>0</v>
      </c>
      <c r="M2">
        <f>LOG10(F2/C2)-LOG10(35167/47667)</f>
        <v>0</v>
      </c>
      <c r="N2">
        <f>LOG10(G2/C2)-LOG10(34734/47667)</f>
        <v>0</v>
      </c>
      <c r="O2">
        <f>LOG10(H2/C2)-LOG10(33378/47667)</f>
        <v>0</v>
      </c>
      <c r="Q2">
        <f>AVERAGE(K2:O2)</f>
        <v>0</v>
      </c>
      <c r="R2">
        <f>STDEV(K2:O2)</f>
        <v>0</v>
      </c>
    </row>
    <row r="3" spans="1:18">
      <c r="A3">
        <v>1</v>
      </c>
      <c r="C3">
        <v>1383</v>
      </c>
      <c r="D3">
        <v>805</v>
      </c>
      <c r="E3">
        <v>865</v>
      </c>
      <c r="F3">
        <v>1000</v>
      </c>
      <c r="G3">
        <v>984</v>
      </c>
      <c r="H3">
        <v>1898</v>
      </c>
      <c r="J3" s="1"/>
      <c r="K3">
        <f t="shared" ref="K3:K66" si="0">LOG10(D3/C3)-LOG10(54429/47667)</f>
        <v>-0.29263883527180179</v>
      </c>
      <c r="L3">
        <f>LOG10(E3/C3)-LOG10(37995/47667)</f>
        <v>-0.1053147017315961</v>
      </c>
      <c r="M3">
        <f>LOG10(F3/C3)-LOG10(35167/47667)</f>
        <v>-8.7396817800941551E-3</v>
      </c>
      <c r="N3">
        <f>LOG10(G3/C3)-LOG10(34734/47667)</f>
        <v>-1.0364061869286761E-2</v>
      </c>
      <c r="O3">
        <f>LOG10(H3/C3)-LOG10(33378/47667)</f>
        <v>0.29223153741662106</v>
      </c>
      <c r="Q3">
        <f>AVERAGE(K3:O3)</f>
        <v>-2.4965148647231549E-2</v>
      </c>
      <c r="R3">
        <f>STDEV(K3:O3)</f>
        <v>0.21165741680371705</v>
      </c>
    </row>
    <row r="4" spans="1:18">
      <c r="A4">
        <v>2</v>
      </c>
      <c r="C4">
        <v>708</v>
      </c>
      <c r="D4">
        <v>1760</v>
      </c>
      <c r="E4">
        <v>1016</v>
      </c>
      <c r="F4">
        <v>686</v>
      </c>
      <c r="G4">
        <v>958</v>
      </c>
      <c r="H4">
        <v>1272</v>
      </c>
      <c r="J4" s="1"/>
      <c r="K4">
        <f t="shared" si="0"/>
        <v>0.33786687459402104</v>
      </c>
      <c r="L4">
        <f>LOG10(E4/C4)-LOG10(37995/47667)</f>
        <v>0.25535182117103172</v>
      </c>
      <c r="M4">
        <f>LOG10(F4/C4)-LOG10(35167/47667)</f>
        <v>0.11837335634619912</v>
      </c>
      <c r="N4">
        <f>LOG10(G4/C4)-LOG10(34734/47667)</f>
        <v>0.26879527119745772</v>
      </c>
      <c r="O4">
        <f>LOG10(H4/C4)-LOG10(33378/47667)</f>
        <v>0.40921136305728389</v>
      </c>
      <c r="Q4">
        <f>AVERAGE(K4:O4)</f>
        <v>0.27791973727319869</v>
      </c>
      <c r="R4">
        <f>STDEV(K4:O4)</f>
        <v>0.10825752243984577</v>
      </c>
    </row>
    <row r="5" spans="1:18">
      <c r="A5">
        <v>3</v>
      </c>
      <c r="C5">
        <v>1312</v>
      </c>
      <c r="D5">
        <v>660</v>
      </c>
      <c r="E5">
        <v>593</v>
      </c>
      <c r="F5">
        <v>897</v>
      </c>
      <c r="G5">
        <v>975</v>
      </c>
      <c r="H5">
        <v>764</v>
      </c>
      <c r="J5" s="1"/>
      <c r="K5">
        <f t="shared" si="0"/>
        <v>-0.35600243502813256</v>
      </c>
      <c r="L5">
        <f>LOG10(E5/C5)-LOG10(37995/47667)</f>
        <v>-0.24638777076247861</v>
      </c>
      <c r="M5">
        <f>LOG10(F5/C5)-LOG10(35167/47667)</f>
        <v>-3.3058893666332911E-2</v>
      </c>
      <c r="N5">
        <f>LOG10(G5/C5)-LOG10(34734/47667)</f>
        <v>8.5338004675776513E-3</v>
      </c>
      <c r="O5">
        <f>LOG10(H5/C5)-LOG10(33378/47667)</f>
        <v>-8.0082967029293767E-2</v>
      </c>
      <c r="Q5">
        <f>AVERAGE(K5:O5)</f>
        <v>-0.14139965320373205</v>
      </c>
      <c r="R5">
        <f>STDEV(K5:O5)</f>
        <v>0.15415443190649944</v>
      </c>
    </row>
    <row r="6" spans="1:18">
      <c r="A6">
        <v>4</v>
      </c>
      <c r="C6">
        <v>1561</v>
      </c>
      <c r="D6">
        <v>575</v>
      </c>
      <c r="E6">
        <v>597</v>
      </c>
      <c r="F6">
        <v>417</v>
      </c>
      <c r="G6">
        <v>332</v>
      </c>
      <c r="H6">
        <v>398</v>
      </c>
      <c r="J6" s="1"/>
      <c r="K6">
        <f t="shared" si="0"/>
        <v>-0.49134759390314681</v>
      </c>
      <c r="L6">
        <f>LOG10(E6/C6)-LOG10(37995/47667)</f>
        <v>-0.31893720102014822</v>
      </c>
      <c r="M6">
        <f>LOG10(F6/C6)-LOG10(35167/47667)</f>
        <v>-0.44118434975944354</v>
      </c>
      <c r="N6">
        <f>LOG10(G6/C6)-LOG10(34734/47667)</f>
        <v>-0.53480179954969898</v>
      </c>
      <c r="O6">
        <f>LOG10(H6/C6)-LOG10(33378/47667)</f>
        <v>-0.43876232155407191</v>
      </c>
      <c r="Q6">
        <f>AVERAGE(K6:O6)</f>
        <v>-0.44500665315730181</v>
      </c>
      <c r="R6">
        <f>STDEV(K6:O6)</f>
        <v>8.0866803367390355E-2</v>
      </c>
    </row>
    <row r="7" spans="1:18">
      <c r="A7">
        <v>5</v>
      </c>
      <c r="C7">
        <v>4891</v>
      </c>
      <c r="D7">
        <v>4597</v>
      </c>
      <c r="E7">
        <v>5450</v>
      </c>
      <c r="F7">
        <v>3862</v>
      </c>
      <c r="G7">
        <v>5287</v>
      </c>
      <c r="H7">
        <v>4048</v>
      </c>
      <c r="J7" s="1"/>
      <c r="K7">
        <f t="shared" si="0"/>
        <v>-8.4535694601332464E-2</v>
      </c>
      <c r="L7">
        <f>LOG10(E7/C7)-LOG10(37995/47667)</f>
        <v>0.14549021036826035</v>
      </c>
      <c r="M7">
        <f>LOG10(F7/C7)-LOG10(35167/47667)</f>
        <v>2.9497104951310027E-2</v>
      </c>
      <c r="N7">
        <f>LOG10(G7/C7)-LOG10(34734/47667)</f>
        <v>0.17127466739251135</v>
      </c>
      <c r="O7">
        <f>LOG10(H7/C7)-LOG10(33378/47667)</f>
        <v>7.2600350445118145E-2</v>
      </c>
      <c r="Q7">
        <f>AVERAGE(K7:O7)</f>
        <v>6.6865327711173483E-2</v>
      </c>
      <c r="R7">
        <f>STDEV(K7:O7)</f>
        <v>0.10177760866319668</v>
      </c>
    </row>
    <row r="8" spans="1:18">
      <c r="A8">
        <v>6</v>
      </c>
      <c r="C8">
        <v>1843</v>
      </c>
      <c r="D8">
        <v>4714</v>
      </c>
      <c r="E8">
        <v>1994</v>
      </c>
      <c r="F8">
        <v>1985</v>
      </c>
      <c r="G8">
        <v>2278</v>
      </c>
      <c r="H8">
        <v>1983</v>
      </c>
      <c r="J8" s="1"/>
      <c r="K8">
        <f t="shared" si="0"/>
        <v>0.35025170743887141</v>
      </c>
      <c r="L8">
        <f>LOG10(E8/C8)-LOG10(37995/47667)</f>
        <v>0.13269118966946333</v>
      </c>
      <c r="M8">
        <f>LOG10(F8/C8)-LOG10(35167/47667)</f>
        <v>0.16431767420927651</v>
      </c>
      <c r="N8">
        <f>LOG10(G8/C8)-LOG10(34734/47667)</f>
        <v>0.22949140433269</v>
      </c>
      <c r="O8">
        <f>LOG10(H8/C8)-LOG10(33378/47667)</f>
        <v>0.18655488842088669</v>
      </c>
      <c r="Q8">
        <f>AVERAGE(K8:O8)</f>
        <v>0.21266137281423755</v>
      </c>
      <c r="R8">
        <f>STDEV(K8:O8)</f>
        <v>8.4599412021342052E-2</v>
      </c>
    </row>
    <row r="9" spans="1:18">
      <c r="A9">
        <v>7</v>
      </c>
      <c r="C9">
        <v>1302</v>
      </c>
      <c r="D9">
        <v>1314</v>
      </c>
      <c r="E9">
        <v>1209</v>
      </c>
      <c r="F9">
        <v>1927</v>
      </c>
      <c r="G9">
        <v>1955</v>
      </c>
      <c r="H9">
        <v>1288</v>
      </c>
      <c r="J9" s="1"/>
      <c r="K9">
        <f t="shared" si="0"/>
        <v>-5.3628154538770942E-2</v>
      </c>
      <c r="L9">
        <f>LOG10(E9/C9)-LOG10(37995/47667)</f>
        <v>6.6306687541499015E-2</v>
      </c>
      <c r="M9">
        <f>LOG10(F9/C9)-LOG10(35167/47667)</f>
        <v>0.30235322875249626</v>
      </c>
      <c r="N9">
        <f>LOG10(G9/C9)-LOG10(34734/47667)</f>
        <v>0.31399879730839475</v>
      </c>
      <c r="O9">
        <f>LOG10(H9/C9)-LOG10(33378/47667)</f>
        <v>0.15006238822627796</v>
      </c>
      <c r="Q9">
        <f>AVERAGE(K9:O9)</f>
        <v>0.15581858945797941</v>
      </c>
      <c r="R9">
        <f>STDEV(K9:O9)</f>
        <v>0.15684931596674279</v>
      </c>
    </row>
    <row r="10" spans="1:18">
      <c r="A10">
        <v>8</v>
      </c>
      <c r="C10">
        <v>4049</v>
      </c>
      <c r="D10">
        <v>8869</v>
      </c>
      <c r="E10">
        <v>7799</v>
      </c>
      <c r="F10">
        <v>6660</v>
      </c>
      <c r="G10">
        <v>6380</v>
      </c>
      <c r="H10">
        <v>5928</v>
      </c>
      <c r="J10" s="1"/>
      <c r="K10">
        <f t="shared" si="0"/>
        <v>0.28291434259892501</v>
      </c>
      <c r="L10">
        <f>LOG10(E10/C10)-LOG10(37995/47667)</f>
        <v>0.38318251448577845</v>
      </c>
      <c r="M10">
        <f>LOG10(F10/C10)-LOG10(35167/47667)</f>
        <v>0.34820895073110414</v>
      </c>
      <c r="N10">
        <f>LOG10(G10/C10)-LOG10(34734/47667)</f>
        <v>0.33493592176143117</v>
      </c>
      <c r="O10">
        <f>LOG10(H10/C10)-LOG10(33378/47667)</f>
        <v>0.3203179276375161</v>
      </c>
      <c r="Q10">
        <f>AVERAGE(K10:O10)</f>
        <v>0.33391193144295095</v>
      </c>
      <c r="R10">
        <f>STDEV(K10:O10)</f>
        <v>3.6805552154005321E-2</v>
      </c>
    </row>
    <row r="11" spans="1:18">
      <c r="A11">
        <v>9</v>
      </c>
      <c r="C11">
        <v>1553</v>
      </c>
      <c r="D11">
        <v>9882</v>
      </c>
      <c r="E11">
        <v>6006</v>
      </c>
      <c r="F11">
        <v>5554</v>
      </c>
      <c r="G11">
        <v>12923</v>
      </c>
      <c r="H11">
        <v>7411</v>
      </c>
      <c r="J11" s="1"/>
      <c r="K11">
        <f t="shared" si="0"/>
        <v>0.74606085829447977</v>
      </c>
      <c r="L11">
        <f>LOG10(E11/C11)-LOG10(37995/47667)</f>
        <v>0.68590524304730405</v>
      </c>
      <c r="M11">
        <f>LOG10(F11/C11)-LOG10(35167/47667)</f>
        <v>0.68551691801489678</v>
      </c>
      <c r="N11">
        <f>LOG10(G11/C11)-LOG10(34734/47667)</f>
        <v>1.0576549084052542</v>
      </c>
      <c r="O11">
        <f>LOG10(H11/C11)-LOG10(33378/47667)</f>
        <v>0.83346286697286587</v>
      </c>
      <c r="Q11">
        <f>AVERAGE(K11:O11)</f>
        <v>0.80172015894696025</v>
      </c>
      <c r="R11">
        <f>STDEV(K11:O11)</f>
        <v>0.15534191416853627</v>
      </c>
    </row>
    <row r="12" spans="1:18">
      <c r="A12">
        <v>10</v>
      </c>
      <c r="C12">
        <v>1732</v>
      </c>
      <c r="D12">
        <v>333</v>
      </c>
      <c r="E12">
        <v>524</v>
      </c>
      <c r="F12">
        <v>330</v>
      </c>
      <c r="G12">
        <v>376</v>
      </c>
      <c r="H12">
        <v>337</v>
      </c>
      <c r="J12" s="1"/>
      <c r="K12">
        <f t="shared" si="0"/>
        <v>-0.77371618970536771</v>
      </c>
      <c r="L12">
        <f>LOG10(E12/C12)-LOG10(37995/47667)</f>
        <v>-0.42072522978470084</v>
      </c>
      <c r="M12">
        <f>LOG10(F12/C12)-LOG10(35167/47667)</f>
        <v>-0.58795144947422384</v>
      </c>
      <c r="N12">
        <f>LOG10(G12/C12)-LOG10(34734/47667)</f>
        <v>-0.52589702294498453</v>
      </c>
      <c r="O12">
        <f>LOG10(H12/C12)-LOG10(33378/47667)</f>
        <v>-0.55616047737533136</v>
      </c>
      <c r="Q12">
        <f>AVERAGE(K12:O12)</f>
        <v>-0.5728900738569217</v>
      </c>
      <c r="R12">
        <f>STDEV(K12:O12)</f>
        <v>0.12864713351473378</v>
      </c>
    </row>
    <row r="13" spans="1:18">
      <c r="A13">
        <v>11</v>
      </c>
      <c r="C13">
        <v>3203</v>
      </c>
      <c r="D13">
        <v>2139</v>
      </c>
      <c r="E13">
        <v>1834</v>
      </c>
      <c r="F13">
        <v>1589</v>
      </c>
      <c r="G13">
        <v>2542</v>
      </c>
      <c r="H13">
        <v>1855</v>
      </c>
      <c r="J13" s="1"/>
      <c r="K13">
        <f t="shared" si="0"/>
        <v>-0.23295868962265354</v>
      </c>
      <c r="L13">
        <f>LOG10(E13/C13)-LOG10(37995/47667)</f>
        <v>-0.14366623641691925</v>
      </c>
      <c r="M13">
        <f>LOG10(F13/C13)-LOG10(35167/47667)</f>
        <v>-0.17235054312722578</v>
      </c>
      <c r="N13">
        <f>LOG10(G13/C13)-LOG10(34734/47667)</f>
        <v>3.7081627362849881E-2</v>
      </c>
      <c r="O13">
        <f>LOG10(H13/C13)-LOG10(33378/47667)</f>
        <v>-8.2455515278099328E-2</v>
      </c>
      <c r="Q13">
        <f>AVERAGE(K13:O13)</f>
        <v>-0.11886987141640959</v>
      </c>
      <c r="R13">
        <f>STDEV(K13:O13)</f>
        <v>0.10263792635770785</v>
      </c>
    </row>
    <row r="14" spans="1:18">
      <c r="A14">
        <v>12</v>
      </c>
      <c r="C14">
        <v>1209</v>
      </c>
      <c r="D14">
        <v>2092</v>
      </c>
      <c r="E14">
        <v>2032</v>
      </c>
      <c r="F14">
        <v>3307</v>
      </c>
      <c r="G14">
        <v>1256</v>
      </c>
      <c r="H14">
        <v>1124</v>
      </c>
      <c r="J14" s="1"/>
      <c r="K14">
        <f t="shared" si="0"/>
        <v>0.18052284380410497</v>
      </c>
      <c r="L14">
        <f>LOG10(E14/C14)-LOG10(37995/47667)</f>
        <v>0.32398877366401002</v>
      </c>
      <c r="M14">
        <f>LOG10(F14/C14)-LOG10(35167/47667)</f>
        <v>0.56909039238214743</v>
      </c>
      <c r="N14">
        <f>LOG10(G14/C14)-LOG10(34734/47667)</f>
        <v>0.15402635834908773</v>
      </c>
      <c r="O14">
        <f>LOG10(H14/C14)-LOG10(33378/47667)</f>
        <v>0.12309751980692819</v>
      </c>
      <c r="Q14">
        <f>AVERAGE(K14:O14)</f>
        <v>0.27014517760125567</v>
      </c>
      <c r="R14">
        <f>STDEV(K14:O14)</f>
        <v>0.18398786022447625</v>
      </c>
    </row>
    <row r="15" spans="1:18">
      <c r="A15">
        <v>13</v>
      </c>
      <c r="C15">
        <v>1999</v>
      </c>
      <c r="D15">
        <v>1865</v>
      </c>
      <c r="E15">
        <v>1615</v>
      </c>
      <c r="F15">
        <v>2257</v>
      </c>
      <c r="G15">
        <v>1412</v>
      </c>
      <c r="H15">
        <v>1682</v>
      </c>
      <c r="J15" s="1"/>
      <c r="K15">
        <f t="shared" si="0"/>
        <v>-8.7746493503770298E-2</v>
      </c>
      <c r="L15">
        <f>LOG10(E15/C15)-LOG10(37995/47667)</f>
        <v>5.8511034619049967E-3</v>
      </c>
      <c r="M15">
        <f>LOG10(F15/C15)-LOG10(35167/47667)</f>
        <v>0.18480126328886154</v>
      </c>
      <c r="N15">
        <f>LOG10(G15/C15)-LOG10(34734/47667)</f>
        <v>-1.3515077593649727E-2</v>
      </c>
      <c r="O15">
        <f>LOG10(H15/C15)-LOG10(33378/47667)</f>
        <v>7.9770706778434244E-2</v>
      </c>
      <c r="Q15">
        <f>AVERAGE(K15:O15)</f>
        <v>3.3832300486356146E-2</v>
      </c>
      <c r="R15">
        <f>STDEV(K15:O15)</f>
        <v>0.10332967827345887</v>
      </c>
    </row>
    <row r="16" spans="1:18">
      <c r="A16">
        <v>14</v>
      </c>
      <c r="C16">
        <v>2157</v>
      </c>
      <c r="D16">
        <v>4249</v>
      </c>
      <c r="E16">
        <v>2446</v>
      </c>
      <c r="F16">
        <v>3173</v>
      </c>
      <c r="G16">
        <v>3382</v>
      </c>
      <c r="H16">
        <v>4384</v>
      </c>
      <c r="J16" s="1"/>
      <c r="K16">
        <f t="shared" si="0"/>
        <v>0.23682405045660962</v>
      </c>
      <c r="L16">
        <f>LOG10(E16/C16)-LOG10(37995/47667)</f>
        <v>0.15309767851062184</v>
      </c>
      <c r="M16">
        <f>LOG10(F16/C16)-LOG10(35167/47667)</f>
        <v>0.29970242532708363</v>
      </c>
      <c r="N16">
        <f>LOG10(G16/C16)-LOG10(34734/47667)</f>
        <v>0.33278647796786021</v>
      </c>
      <c r="O16">
        <f>LOG10(H16/C16)-LOG10(33378/47667)</f>
        <v>0.46277790980842548</v>
      </c>
      <c r="Q16">
        <f>AVERAGE(K16:O16)</f>
        <v>0.29703770841412014</v>
      </c>
      <c r="R16">
        <f>STDEV(K16:O16)</f>
        <v>0.11521643373701253</v>
      </c>
    </row>
    <row r="17" spans="1:18">
      <c r="A17">
        <v>15</v>
      </c>
      <c r="C17">
        <v>2310</v>
      </c>
      <c r="D17">
        <v>1063</v>
      </c>
      <c r="E17">
        <v>530</v>
      </c>
      <c r="F17">
        <v>538</v>
      </c>
      <c r="G17">
        <v>607</v>
      </c>
      <c r="H17">
        <v>778</v>
      </c>
      <c r="J17" s="1"/>
      <c r="K17">
        <f t="shared" si="0"/>
        <v>-0.39469125089920731</v>
      </c>
      <c r="L17">
        <f>LOG10(E17/C17)-LOG10(37995/47667)</f>
        <v>-0.54084473937845501</v>
      </c>
      <c r="M17">
        <f>LOG10(F17/C17)-LOG10(35167/47667)</f>
        <v>-0.50074720589653865</v>
      </c>
      <c r="N17">
        <f>LOG10(G17/C17)-LOG10(34734/47667)</f>
        <v>-0.44296026900820451</v>
      </c>
      <c r="O17">
        <f>LOG10(H17/C17)-LOG10(33378/47667)</f>
        <v>-0.31787487346779753</v>
      </c>
      <c r="Q17">
        <f>AVERAGE(K17:O17)</f>
        <v>-0.43942366773004055</v>
      </c>
      <c r="R17">
        <f>STDEV(K17:O17)</f>
        <v>8.7798656251539778E-2</v>
      </c>
    </row>
    <row r="18" spans="1:18">
      <c r="A18">
        <v>16</v>
      </c>
      <c r="C18">
        <v>2821</v>
      </c>
      <c r="D18">
        <v>2641</v>
      </c>
      <c r="E18">
        <v>4974</v>
      </c>
      <c r="F18">
        <v>2522</v>
      </c>
      <c r="G18">
        <v>2921</v>
      </c>
      <c r="H18">
        <v>2011</v>
      </c>
      <c r="J18" s="1"/>
      <c r="K18">
        <f t="shared" si="0"/>
        <v>-8.6247220478802011E-2</v>
      </c>
      <c r="L18">
        <f>LOG10(E18/C18)-LOG10(37995/47667)</f>
        <v>0.34479406569145116</v>
      </c>
      <c r="M18">
        <f>LOG10(F18/C18)-LOG10(35167/47667)</f>
        <v>8.3424494410912986E-2</v>
      </c>
      <c r="N18">
        <f>LOG10(G18/C18)-LOG10(34734/47667)</f>
        <v>0.15259149062686575</v>
      </c>
      <c r="O18">
        <f>LOG10(H18/C18)-LOG10(33378/47667)</f>
        <v>7.7664938760334534E-3</v>
      </c>
      <c r="Q18">
        <f>AVERAGE(K18:O18)</f>
        <v>0.10046586482529227</v>
      </c>
      <c r="R18">
        <f>STDEV(K18:O18)</f>
        <v>0.16291002770506649</v>
      </c>
    </row>
    <row r="19" spans="1:18">
      <c r="A19">
        <v>17</v>
      </c>
      <c r="C19">
        <v>1514</v>
      </c>
      <c r="D19">
        <v>953</v>
      </c>
      <c r="E19">
        <v>1065</v>
      </c>
      <c r="F19">
        <v>968</v>
      </c>
      <c r="G19">
        <v>896</v>
      </c>
      <c r="H19">
        <v>720</v>
      </c>
      <c r="J19" s="1"/>
      <c r="K19">
        <f t="shared" si="0"/>
        <v>-0.25864551005608732</v>
      </c>
      <c r="L19">
        <f>LOG10(E19/C19)-LOG10(37995/47667)</f>
        <v>-5.4284896476397171E-2</v>
      </c>
      <c r="M19">
        <f>LOG10(F19/C19)-LOG10(35167/47667)</f>
        <v>-6.2168019526443796E-2</v>
      </c>
      <c r="N19">
        <f>LOG10(G19/C19)-LOG10(34734/47667)</f>
        <v>-9.0354845693246449E-2</v>
      </c>
      <c r="O19">
        <f>LOG10(H19/C19)-LOG10(33378/47667)</f>
        <v>-0.16803586929812772</v>
      </c>
      <c r="Q19">
        <f>AVERAGE(K19:O19)</f>
        <v>-0.12669782821006051</v>
      </c>
      <c r="R19">
        <f>STDEV(K19:O19)</f>
        <v>8.63822401520776E-2</v>
      </c>
    </row>
    <row r="20" spans="1:18">
      <c r="A20">
        <v>18</v>
      </c>
      <c r="C20">
        <v>1733</v>
      </c>
      <c r="D20">
        <v>763</v>
      </c>
      <c r="E20">
        <v>804</v>
      </c>
      <c r="F20">
        <v>1394</v>
      </c>
      <c r="G20">
        <v>776</v>
      </c>
      <c r="H20">
        <v>584</v>
      </c>
      <c r="J20" s="1"/>
      <c r="K20">
        <f t="shared" si="0"/>
        <v>-0.4138865602893963</v>
      </c>
      <c r="L20">
        <f>LOG10(E20/C20)-LOG10(37995/47667)</f>
        <v>-0.2350511430525655</v>
      </c>
      <c r="M20">
        <f>LOG10(F20/C20)-LOG10(35167/47667)</f>
        <v>3.7546709377290072E-2</v>
      </c>
      <c r="N20">
        <f>LOG10(G20/C20)-LOG10(34734/47667)</f>
        <v>-0.21147382164704628</v>
      </c>
      <c r="O20">
        <f>LOG10(H20/C20)-LOG10(33378/47667)</f>
        <v>-0.31762820616685972</v>
      </c>
      <c r="Q20">
        <f>AVERAGE(K20:O20)</f>
        <v>-0.22809860435571555</v>
      </c>
      <c r="R20">
        <f>STDEV(K20:O20)</f>
        <v>0.16839304325982854</v>
      </c>
    </row>
    <row r="21" spans="1:18">
      <c r="A21">
        <v>19</v>
      </c>
      <c r="C21">
        <v>2304</v>
      </c>
      <c r="D21">
        <v>6429</v>
      </c>
      <c r="E21">
        <v>2844</v>
      </c>
      <c r="F21">
        <v>4838</v>
      </c>
      <c r="G21">
        <v>3081</v>
      </c>
      <c r="H21">
        <v>3526</v>
      </c>
      <c r="J21" s="1"/>
      <c r="K21">
        <f t="shared" si="0"/>
        <v>0.38804841547995694</v>
      </c>
      <c r="L21">
        <f>LOG10(E21/C21)-LOG10(37995/47667)</f>
        <v>0.18993848821945453</v>
      </c>
      <c r="M21">
        <f>LOG10(F21/C21)-LOG10(35167/47667)</f>
        <v>0.45426588760390285</v>
      </c>
      <c r="N21">
        <f>LOG10(G21/C21)-LOG10(34734/47667)</f>
        <v>0.26367224337444845</v>
      </c>
      <c r="O21">
        <f>LOG10(H21/C21)-LOG10(33378/47667)</f>
        <v>0.33955734264678661</v>
      </c>
      <c r="Q21">
        <f>AVERAGE(K21:O21)</f>
        <v>0.32709647546490983</v>
      </c>
      <c r="R21">
        <f>STDEV(K21:O21)</f>
        <v>0.10353431589066082</v>
      </c>
    </row>
    <row r="22" spans="1:18">
      <c r="A22">
        <v>20</v>
      </c>
      <c r="C22">
        <v>1164</v>
      </c>
      <c r="D22">
        <v>11639</v>
      </c>
      <c r="E22">
        <v>5404</v>
      </c>
      <c r="F22">
        <v>19225</v>
      </c>
      <c r="G22">
        <v>8074</v>
      </c>
      <c r="H22">
        <v>3284</v>
      </c>
      <c r="J22" s="1"/>
      <c r="K22">
        <f t="shared" si="0"/>
        <v>0.94235015234436248</v>
      </c>
      <c r="L22">
        <f>LOG10(E22/C22)-LOG10(37995/47667)</f>
        <v>0.7652537309490236</v>
      </c>
      <c r="M22">
        <f>LOG10(F22/C22)-LOG10(35167/47667)</f>
        <v>1.3499958664888154</v>
      </c>
      <c r="N22">
        <f>LOG10(G22/C22)-LOG10(34734/47667)</f>
        <v>0.9785987845691082</v>
      </c>
      <c r="O22">
        <f>LOG10(H22/C22)-LOG10(33378/47667)</f>
        <v>0.60520767756819127</v>
      </c>
      <c r="Q22">
        <f>AVERAGE(K22:O22)</f>
        <v>0.92828124238390008</v>
      </c>
      <c r="R22">
        <f>STDEV(K22:O22)</f>
        <v>0.27907324810449163</v>
      </c>
    </row>
    <row r="23" spans="1:18">
      <c r="A23">
        <v>21</v>
      </c>
      <c r="C23">
        <v>2634</v>
      </c>
      <c r="D23">
        <v>2863</v>
      </c>
      <c r="E23">
        <v>2691</v>
      </c>
      <c r="F23">
        <v>3872</v>
      </c>
      <c r="G23">
        <v>3680</v>
      </c>
      <c r="H23">
        <v>2636</v>
      </c>
      <c r="J23" s="1"/>
      <c r="K23">
        <f t="shared" si="0"/>
        <v>-2.1406958134526109E-2</v>
      </c>
      <c r="L23">
        <f>LOG10(E23/C23)-LOG10(37995/47667)</f>
        <v>0.10778929805088978</v>
      </c>
      <c r="M23">
        <f>LOG10(F23/C23)-LOG10(35167/47667)</f>
        <v>0.29940207633980753</v>
      </c>
      <c r="N23">
        <f>LOG10(G23/C23)-LOG10(34734/47667)</f>
        <v>0.28269506785643495</v>
      </c>
      <c r="O23">
        <f>LOG10(H23/C23)-LOG10(33378/47667)</f>
        <v>0.15508714473086507</v>
      </c>
      <c r="Q23">
        <f>AVERAGE(K23:O23)</f>
        <v>0.16471332576869424</v>
      </c>
      <c r="R23">
        <f>STDEV(K23:O23)</f>
        <v>0.13232017927140927</v>
      </c>
    </row>
    <row r="24" spans="1:18">
      <c r="A24">
        <v>22</v>
      </c>
      <c r="C24">
        <v>2427</v>
      </c>
      <c r="D24">
        <v>4305</v>
      </c>
      <c r="E24">
        <v>2115</v>
      </c>
      <c r="F24">
        <v>1543</v>
      </c>
      <c r="G24">
        <v>1911</v>
      </c>
      <c r="H24">
        <v>3067</v>
      </c>
      <c r="J24" s="1"/>
      <c r="K24">
        <f t="shared" si="0"/>
        <v>0.19129084392737911</v>
      </c>
      <c r="L24">
        <f>LOG10(E24/C24)-LOG10(37995/47667)</f>
        <v>3.8731966292026652E-2</v>
      </c>
      <c r="M24">
        <f>LOG10(F24/C24)-LOG10(35167/47667)</f>
        <v>-6.4621351939570026E-2</v>
      </c>
      <c r="N24">
        <f>LOG10(G24/C24)-LOG10(34734/47667)</f>
        <v>3.3653930531760384E-2</v>
      </c>
      <c r="O24">
        <f>LOG10(H24/C24)-LOG10(33378/47667)</f>
        <v>0.25640150908520853</v>
      </c>
      <c r="Q24">
        <f>AVERAGE(K24:O24)</f>
        <v>9.1091379579360934E-2</v>
      </c>
      <c r="R24">
        <f>STDEV(K24:O24)</f>
        <v>0.13005229240852131</v>
      </c>
    </row>
    <row r="25" spans="1:18">
      <c r="A25">
        <v>23</v>
      </c>
      <c r="C25">
        <v>1818</v>
      </c>
      <c r="D25">
        <v>3148</v>
      </c>
      <c r="E25">
        <v>2029</v>
      </c>
      <c r="F25">
        <v>2800</v>
      </c>
      <c r="G25">
        <v>17008</v>
      </c>
      <c r="H25">
        <v>2165</v>
      </c>
      <c r="J25" s="1"/>
      <c r="K25">
        <f t="shared" si="0"/>
        <v>0.18082830927071855</v>
      </c>
      <c r="L25">
        <f>LOG10(E25/C25)-LOG10(37995/47667)</f>
        <v>0.14617953906029763</v>
      </c>
      <c r="M25">
        <f>LOG10(F25/C25)-LOG10(35167/47667)</f>
        <v>0.31964665078548704</v>
      </c>
      <c r="N25">
        <f>LOG10(G25/C25)-LOG10(34734/47667)</f>
        <v>1.1085223881019552</v>
      </c>
      <c r="O25">
        <f>LOG10(H25/C25)-LOG10(33378/47667)</f>
        <v>0.2306215312380934</v>
      </c>
      <c r="Q25">
        <f>AVERAGE(K25:O25)</f>
        <v>0.39715968369131038</v>
      </c>
      <c r="R25">
        <f>STDEV(K25:O25)</f>
        <v>0.40297965838145078</v>
      </c>
    </row>
    <row r="26" spans="1:18">
      <c r="A26">
        <v>24</v>
      </c>
      <c r="C26">
        <v>2441</v>
      </c>
      <c r="D26">
        <v>7544</v>
      </c>
      <c r="E26">
        <v>3492</v>
      </c>
      <c r="F26">
        <v>3483</v>
      </c>
      <c r="G26">
        <v>6388</v>
      </c>
      <c r="H26">
        <v>3462</v>
      </c>
      <c r="J26" s="1"/>
      <c r="K26">
        <f t="shared" si="0"/>
        <v>0.43242136478172355</v>
      </c>
      <c r="L26">
        <f>LOG10(E26/C26)-LOG10(37995/47667)</f>
        <v>0.25399782652924374</v>
      </c>
      <c r="M26">
        <f>LOG10(F26/C26)-LOG10(35167/47667)</f>
        <v>0.28646819337026408</v>
      </c>
      <c r="N26">
        <f>LOG10(G26/C26)-LOG10(34734/47667)</f>
        <v>0.55526014785793898</v>
      </c>
      <c r="O26">
        <f>LOG10(H26/C26)-LOG10(33378/47667)</f>
        <v>0.30651679355684425</v>
      </c>
      <c r="Q26">
        <f>AVERAGE(K26:O26)</f>
        <v>0.36693286521920288</v>
      </c>
      <c r="R26">
        <f>STDEV(K26:O26)</f>
        <v>0.12513482434539561</v>
      </c>
    </row>
    <row r="27" spans="1:18">
      <c r="A27">
        <v>25</v>
      </c>
      <c r="C27">
        <v>1013</v>
      </c>
      <c r="D27">
        <v>5193</v>
      </c>
      <c r="E27">
        <v>2207</v>
      </c>
      <c r="F27">
        <v>3482</v>
      </c>
      <c r="G27">
        <v>3490</v>
      </c>
      <c r="H27">
        <v>2306</v>
      </c>
      <c r="J27" s="1"/>
      <c r="K27">
        <f t="shared" si="0"/>
        <v>0.6521963417044162</v>
      </c>
      <c r="L27">
        <f>LOG10(E27/C27)-LOG10(37995/47667)</f>
        <v>0.43668425871427485</v>
      </c>
      <c r="M27">
        <f>LOG10(F27/C27)-LOG10(35167/47667)</f>
        <v>0.66830181975024849</v>
      </c>
      <c r="N27">
        <f>LOG10(G27/C27)-LOG10(34734/47667)</f>
        <v>0.67467900140758175</v>
      </c>
      <c r="O27">
        <f>LOG10(H27/C27)-LOG10(33378/47667)</f>
        <v>0.5120073670330576</v>
      </c>
      <c r="Q27">
        <f>AVERAGE(K27:O27)</f>
        <v>0.58877375772191576</v>
      </c>
      <c r="R27">
        <f>STDEV(K27:O27)</f>
        <v>0.10811006214673462</v>
      </c>
    </row>
    <row r="28" spans="1:18">
      <c r="A28">
        <v>26</v>
      </c>
      <c r="C28">
        <v>1798</v>
      </c>
      <c r="D28">
        <v>1277</v>
      </c>
      <c r="E28">
        <v>1467</v>
      </c>
      <c r="F28">
        <v>997</v>
      </c>
      <c r="G28">
        <v>1430</v>
      </c>
      <c r="H28">
        <v>1988</v>
      </c>
      <c r="J28" s="1"/>
      <c r="K28">
        <f t="shared" si="0"/>
        <v>-0.20621132566415443</v>
      </c>
      <c r="L28">
        <f>LOG10(E28/C28)-LOG10(37995/47667)</f>
        <v>1.013179735897296E-2</v>
      </c>
      <c r="M28">
        <f>LOG10(F28/C28)-LOG10(35167/47667)</f>
        <v>-0.12401203075633785</v>
      </c>
      <c r="N28">
        <f>LOG10(G28/C28)-LOG10(34734/47667)</f>
        <v>3.8009369876534138E-2</v>
      </c>
      <c r="O28">
        <f>LOG10(H28/C28)-LOG10(33378/47667)</f>
        <v>0.19838420209874238</v>
      </c>
      <c r="Q28">
        <f>AVERAGE(K28:O28)</f>
        <v>-1.6739597417248557E-2</v>
      </c>
      <c r="R28">
        <f>STDEV(K28:O28)</f>
        <v>0.15604861514485655</v>
      </c>
    </row>
    <row r="29" spans="1:18">
      <c r="A29">
        <v>27</v>
      </c>
      <c r="C29">
        <v>2269</v>
      </c>
      <c r="D29">
        <v>792</v>
      </c>
      <c r="E29">
        <v>803</v>
      </c>
      <c r="F29">
        <v>929</v>
      </c>
      <c r="G29">
        <v>958</v>
      </c>
      <c r="H29">
        <v>837</v>
      </c>
      <c r="J29" s="1"/>
      <c r="K29">
        <f t="shared" si="0"/>
        <v>-0.51472184982580227</v>
      </c>
      <c r="L29">
        <f>LOG10(E29/C29)-LOG10(37995/47667)</f>
        <v>-0.35262757969335479</v>
      </c>
      <c r="M29">
        <f>LOG10(F29/C29)-LOG10(35167/47667)</f>
        <v>-0.25573628356207778</v>
      </c>
      <c r="N29">
        <f>LOG10(G29/C29)-LOG10(34734/47667)</f>
        <v>-0.23700596699770929</v>
      </c>
      <c r="O29">
        <f>LOG10(H29/C29)-LOG10(33378/47667)</f>
        <v>-0.27835152845701816</v>
      </c>
      <c r="Q29">
        <f>AVERAGE(K29:O29)</f>
        <v>-0.32768864170719247</v>
      </c>
      <c r="R29">
        <f>STDEV(K29:O29)</f>
        <v>0.11339974828674229</v>
      </c>
    </row>
    <row r="30" spans="1:18">
      <c r="A30">
        <v>28</v>
      </c>
      <c r="C30">
        <v>2834</v>
      </c>
      <c r="D30">
        <v>965</v>
      </c>
      <c r="E30">
        <v>1993</v>
      </c>
      <c r="F30">
        <v>508</v>
      </c>
      <c r="G30">
        <v>793</v>
      </c>
      <c r="H30">
        <v>850</v>
      </c>
      <c r="J30" s="1"/>
      <c r="K30">
        <f t="shared" si="0"/>
        <v>-0.52548506809800877</v>
      </c>
      <c r="L30">
        <f>LOG10(E30/C30)-LOG10(37995/47667)</f>
        <v>-5.4401176298053744E-2</v>
      </c>
      <c r="M30">
        <f>LOG10(F30/C30)-LOG10(35167/47667)</f>
        <v>-0.61445363529830588</v>
      </c>
      <c r="N30">
        <f>LOG10(G30/C30)-LOG10(34734/47667)</f>
        <v>-0.41566363878515555</v>
      </c>
      <c r="O30">
        <f>LOG10(H30/C30)-LOG10(33378/47667)</f>
        <v>-0.36822341076249099</v>
      </c>
      <c r="Q30">
        <f>AVERAGE(K30:O30)</f>
        <v>-0.39564538584840292</v>
      </c>
      <c r="R30">
        <f>STDEV(K30:O30)</f>
        <v>0.21350392199787846</v>
      </c>
    </row>
    <row r="31" spans="1:18">
      <c r="A31">
        <v>29</v>
      </c>
      <c r="C31">
        <v>880</v>
      </c>
      <c r="D31">
        <v>536</v>
      </c>
      <c r="E31">
        <v>376</v>
      </c>
      <c r="F31">
        <v>764</v>
      </c>
      <c r="G31">
        <v>391</v>
      </c>
      <c r="H31">
        <v>507</v>
      </c>
      <c r="J31" s="1"/>
      <c r="K31">
        <f t="shared" si="0"/>
        <v>-0.27293041798775836</v>
      </c>
      <c r="L31">
        <f>LOG10(E31/C31)-LOG10(37995/47667)</f>
        <v>-0.27080345630960734</v>
      </c>
      <c r="M31">
        <f>LOG10(F31/C31)-LOG10(35167/47667)</f>
        <v>7.0693184754737737E-2</v>
      </c>
      <c r="N31">
        <f>LOG10(G31/C31)-LOG10(34734/47667)</f>
        <v>-0.21484289494561951</v>
      </c>
      <c r="O31">
        <f>LOG10(H31/C31)-LOG10(33378/47667)</f>
        <v>-8.4717203382174838E-2</v>
      </c>
      <c r="Q31">
        <f>AVERAGE(K31:O31)</f>
        <v>-0.15452015757408444</v>
      </c>
      <c r="R31">
        <f>STDEV(K31:O31)</f>
        <v>0.14728809350799646</v>
      </c>
    </row>
    <row r="32" spans="1:18">
      <c r="A32">
        <v>30</v>
      </c>
      <c r="C32">
        <v>4294</v>
      </c>
      <c r="D32">
        <v>4575</v>
      </c>
      <c r="E32">
        <v>31575</v>
      </c>
      <c r="F32">
        <v>5803</v>
      </c>
      <c r="G32">
        <v>3864</v>
      </c>
      <c r="H32">
        <v>3979</v>
      </c>
      <c r="J32" s="1"/>
      <c r="K32">
        <f t="shared" si="0"/>
        <v>-3.0083477228122581E-2</v>
      </c>
      <c r="L32">
        <f>LOG10(E32/C32)-LOG10(37995/47667)</f>
        <v>0.96497269004003872</v>
      </c>
      <c r="M32">
        <f>LOG10(F32/C32)-LOG10(35167/47667)</f>
        <v>0.26287302879351698</v>
      </c>
      <c r="N32">
        <f>LOG10(G32/C32)-LOG10(34734/47667)</f>
        <v>9.1638097451908124E-2</v>
      </c>
      <c r="O32">
        <f>LOG10(H32/C32)-LOG10(33378/47667)</f>
        <v>0.12166940848081621</v>
      </c>
      <c r="Q32">
        <f>AVERAGE(K32:O32)</f>
        <v>0.28221394950763157</v>
      </c>
      <c r="R32">
        <f>STDEV(K32:O32)</f>
        <v>0.39565040021890474</v>
      </c>
    </row>
    <row r="33" spans="1:18">
      <c r="A33">
        <v>31</v>
      </c>
      <c r="C33">
        <v>1391</v>
      </c>
      <c r="D33">
        <v>1936</v>
      </c>
      <c r="E33">
        <v>931</v>
      </c>
      <c r="F33">
        <v>1248</v>
      </c>
      <c r="G33">
        <v>2236</v>
      </c>
      <c r="H33">
        <v>1700</v>
      </c>
      <c r="J33" s="1"/>
      <c r="K33">
        <f t="shared" si="0"/>
        <v>8.5965687449968686E-2</v>
      </c>
      <c r="L33">
        <f>LOG10(E33/C33)-LOG10(37995/47667)</f>
        <v>-7.5886078097803539E-2</v>
      </c>
      <c r="M33">
        <f>LOG10(F33/C33)-LOG10(35167/47667)</f>
        <v>8.4969953683575211E-2</v>
      </c>
      <c r="N33">
        <f>LOG10(G33/C33)-LOG10(34734/47667)</f>
        <v>0.34360768903102157</v>
      </c>
      <c r="O33">
        <f>LOG10(H33/C33)-LOG10(33378/47667)</f>
        <v>0.24187930082088535</v>
      </c>
      <c r="Q33">
        <f>AVERAGE(K33:O33)</f>
        <v>0.13610731057752945</v>
      </c>
      <c r="R33">
        <f>STDEV(K33:O33)</f>
        <v>0.16148879950355674</v>
      </c>
    </row>
    <row r="34" spans="1:18">
      <c r="A34">
        <v>32</v>
      </c>
      <c r="C34">
        <v>1006</v>
      </c>
      <c r="D34">
        <v>303</v>
      </c>
      <c r="E34">
        <v>338</v>
      </c>
      <c r="F34">
        <v>357</v>
      </c>
      <c r="G34">
        <v>492</v>
      </c>
      <c r="H34">
        <v>464</v>
      </c>
      <c r="J34" s="1"/>
      <c r="K34">
        <f t="shared" si="0"/>
        <v>-0.57876788774796328</v>
      </c>
      <c r="L34">
        <f>LOG10(E34/C34)-LOG10(37995/47667)</f>
        <v>-0.3751899095293536</v>
      </c>
      <c r="M34">
        <f>LOG10(F34/C34)-LOG10(35167/47667)</f>
        <v>-0.31784726627849902</v>
      </c>
      <c r="N34">
        <f>LOG10(G34/C34)-LOG10(34734/47667)</f>
        <v>-0.17316985814386596</v>
      </c>
      <c r="O34">
        <f>LOG10(H34/C34)-LOG10(33378/47667)</f>
        <v>-0.18132249073036991</v>
      </c>
      <c r="Q34">
        <f>AVERAGE(K34:O34)</f>
        <v>-0.32525948248601033</v>
      </c>
      <c r="R34">
        <f>STDEV(K34:O34)</f>
        <v>0.16633070331458213</v>
      </c>
    </row>
    <row r="35" spans="1:18">
      <c r="A35">
        <v>33</v>
      </c>
      <c r="C35">
        <v>908</v>
      </c>
      <c r="D35">
        <v>2836</v>
      </c>
      <c r="E35">
        <v>6797</v>
      </c>
      <c r="F35">
        <v>4792</v>
      </c>
      <c r="G35">
        <v>5235</v>
      </c>
      <c r="H35">
        <v>3324</v>
      </c>
      <c r="J35" s="1"/>
      <c r="K35">
        <f t="shared" si="0"/>
        <v>0.43700784245958407</v>
      </c>
      <c r="L35">
        <f>LOG10(E35/C35)-LOG10(37995/47667)</f>
        <v>0.97272279231407688</v>
      </c>
      <c r="M35">
        <f>LOG10(F35/C35)-LOG10(35167/47667)</f>
        <v>0.85451345918938626</v>
      </c>
      <c r="N35">
        <f>LOG10(G35/C35)-LOG10(34734/47667)</f>
        <v>0.89829385730245825</v>
      </c>
      <c r="O35">
        <f>LOG10(H35/C35)-LOG10(33378/47667)</f>
        <v>0.7183326760256461</v>
      </c>
      <c r="Q35">
        <f>AVERAGE(K35:O35)</f>
        <v>0.77617412545823028</v>
      </c>
      <c r="R35">
        <f>STDEV(K35:O35)</f>
        <v>0.2109864091319264</v>
      </c>
    </row>
    <row r="36" spans="1:18">
      <c r="A36">
        <v>34</v>
      </c>
      <c r="C36">
        <v>1225</v>
      </c>
      <c r="D36">
        <v>2539</v>
      </c>
      <c r="E36">
        <v>4133</v>
      </c>
      <c r="F36">
        <v>945</v>
      </c>
      <c r="G36">
        <v>1835</v>
      </c>
      <c r="H36">
        <v>1217</v>
      </c>
      <c r="J36" s="1"/>
      <c r="K36">
        <f t="shared" si="0"/>
        <v>0.25891407664281119</v>
      </c>
      <c r="L36">
        <f>LOG10(E36/C36)-LOG10(37995/47667)</f>
        <v>0.62662068749405719</v>
      </c>
      <c r="M36">
        <f>LOG10(F36/C36)-LOG10(35167/47667)</f>
        <v>1.9378218137928144E-2</v>
      </c>
      <c r="N36">
        <f>LOG10(G36/C36)-LOG10(34734/47667)</f>
        <v>0.31296299969623914</v>
      </c>
      <c r="O36">
        <f>LOG10(H36/C36)-LOG10(33378/47667)</f>
        <v>0.15191199896417154</v>
      </c>
      <c r="Q36">
        <f>AVERAGE(K36:O36)</f>
        <v>0.27395759618704141</v>
      </c>
      <c r="R36">
        <f>STDEV(K36:O36)</f>
        <v>0.22683957573733352</v>
      </c>
    </row>
    <row r="37" spans="1:18">
      <c r="A37">
        <v>35</v>
      </c>
      <c r="C37">
        <v>1406</v>
      </c>
      <c r="D37">
        <v>359</v>
      </c>
      <c r="E37">
        <v>354</v>
      </c>
      <c r="F37">
        <v>407</v>
      </c>
      <c r="G37">
        <v>364</v>
      </c>
      <c r="H37">
        <v>305</v>
      </c>
      <c r="J37" s="1"/>
      <c r="K37">
        <f t="shared" si="0"/>
        <v>-0.6505034076358458</v>
      </c>
      <c r="L37">
        <f>LOG10(E37/C37)-LOG10(37995/47667)</f>
        <v>-0.50049068774511707</v>
      </c>
      <c r="M37">
        <f>LOG10(F37/C37)-LOG10(35167/47667)</f>
        <v>-0.40630841312936861</v>
      </c>
      <c r="N37">
        <f>LOG10(G37/C37)-LOG10(34734/47667)</f>
        <v>-0.44942091722606692</v>
      </c>
      <c r="O37">
        <f>LOG10(H37/C37)-LOG10(33378/47667)</f>
        <v>-0.5089279719023615</v>
      </c>
      <c r="Q37">
        <f>AVERAGE(K37:O37)</f>
        <v>-0.50313027952775202</v>
      </c>
      <c r="R37">
        <f>STDEV(K37:O37)</f>
        <v>9.2220644355987549E-2</v>
      </c>
    </row>
    <row r="38" spans="1:18">
      <c r="A38">
        <v>36</v>
      </c>
      <c r="C38">
        <v>3688</v>
      </c>
      <c r="D38">
        <v>3294</v>
      </c>
      <c r="E38">
        <v>2249</v>
      </c>
      <c r="F38">
        <v>2321</v>
      </c>
      <c r="G38">
        <v>2989</v>
      </c>
      <c r="H38">
        <v>1903</v>
      </c>
      <c r="J38" s="1"/>
      <c r="K38">
        <f t="shared" si="0"/>
        <v>-0.10667985307821594</v>
      </c>
      <c r="L38">
        <f>LOG10(E38/C38)-LOG10(37995/47667)</f>
        <v>-0.11631008603305926</v>
      </c>
      <c r="M38">
        <f>LOG10(F38/C38)-LOG10(35167/47667)</f>
        <v>-6.9033273596457556E-2</v>
      </c>
      <c r="N38">
        <f>LOG10(G38/C38)-LOG10(34734/47667)</f>
        <v>4.6198022466371266E-2</v>
      </c>
      <c r="O38">
        <f>LOG10(H38/C38)-LOG10(33378/47667)</f>
        <v>-0.13259461465991343</v>
      </c>
      <c r="Q38">
        <f>AVERAGE(K38:O38)</f>
        <v>-7.5683960980254983E-2</v>
      </c>
      <c r="R38">
        <f>STDEV(K38:O38)</f>
        <v>7.202343264098364E-2</v>
      </c>
    </row>
    <row r="39" spans="1:18">
      <c r="A39">
        <v>37</v>
      </c>
      <c r="C39">
        <v>896</v>
      </c>
      <c r="D39">
        <v>649</v>
      </c>
      <c r="E39">
        <v>2076</v>
      </c>
      <c r="F39">
        <v>873</v>
      </c>
      <c r="G39">
        <v>710</v>
      </c>
      <c r="H39">
        <v>553</v>
      </c>
      <c r="J39" s="1"/>
      <c r="K39">
        <f t="shared" si="0"/>
        <v>-0.19767584839211574</v>
      </c>
      <c r="L39">
        <f>LOG10(E39/C39)-LOG10(37995/47667)</f>
        <v>0.46341071042719528</v>
      </c>
      <c r="M39">
        <f>LOG10(F39/C39)-LOG10(35167/47667)</f>
        <v>0.12078873237266097</v>
      </c>
      <c r="N39">
        <f>LOG10(G39/C39)-LOG10(34734/47667)</f>
        <v>3.6413358865632378E-2</v>
      </c>
      <c r="O39">
        <f>LOG10(H39/C39)-LOG10(33378/47667)</f>
        <v>-5.4825368922769152E-2</v>
      </c>
      <c r="Q39">
        <f>AVERAGE(K39:O39)</f>
        <v>7.3622316870120746E-2</v>
      </c>
      <c r="R39">
        <f>STDEV(K39:O39)</f>
        <v>0.24781327220265445</v>
      </c>
    </row>
    <row r="40" spans="1:18">
      <c r="A40">
        <v>38</v>
      </c>
      <c r="C40">
        <v>940</v>
      </c>
      <c r="D40">
        <v>1153</v>
      </c>
      <c r="E40">
        <v>451</v>
      </c>
      <c r="F40">
        <v>848</v>
      </c>
      <c r="G40">
        <v>787</v>
      </c>
      <c r="H40">
        <v>3322</v>
      </c>
      <c r="J40" s="1"/>
      <c r="K40">
        <f t="shared" si="0"/>
        <v>3.1088918164640621E-2</v>
      </c>
      <c r="L40">
        <f>LOG10(E40/C40)-LOG10(37995/47667)</f>
        <v>-0.22045994080883788</v>
      </c>
      <c r="M40">
        <f>LOG10(F40/C40)-LOG10(35167/47667)</f>
        <v>8.7350496986231596E-2</v>
      </c>
      <c r="N40">
        <f>LOG10(G40/C40)-LOG10(34734/47667)</f>
        <v>6.0309898568048151E-2</v>
      </c>
      <c r="O40">
        <f>LOG10(H40/C40)-LOG10(33378/47667)</f>
        <v>0.70302928395033482</v>
      </c>
      <c r="Q40">
        <f>AVERAGE(K40:O40)</f>
        <v>0.13226373137208347</v>
      </c>
      <c r="R40">
        <f>STDEV(K40:O40)</f>
        <v>0.34191307390640285</v>
      </c>
    </row>
    <row r="41" spans="1:18">
      <c r="A41">
        <v>39</v>
      </c>
      <c r="C41">
        <v>2349</v>
      </c>
      <c r="D41">
        <v>755</v>
      </c>
      <c r="E41">
        <v>1786</v>
      </c>
      <c r="F41">
        <v>1011</v>
      </c>
      <c r="G41">
        <v>985</v>
      </c>
      <c r="H41">
        <v>878</v>
      </c>
      <c r="J41" s="1"/>
      <c r="K41">
        <f t="shared" si="0"/>
        <v>-0.55054860067877731</v>
      </c>
      <c r="L41">
        <f>LOG10(E41/C41)-LOG10(37995/47667)</f>
        <v>-2.0510191312177975E-2</v>
      </c>
      <c r="M41">
        <f>LOG10(F41/C41)-LOG10(35167/47667)</f>
        <v>-0.23404936285738834</v>
      </c>
      <c r="N41">
        <f>LOG10(G41/C41)-LOG10(34734/47667)</f>
        <v>-0.23998376647131184</v>
      </c>
      <c r="O41">
        <f>LOG10(H41/C41)-LOG10(33378/47667)</f>
        <v>-0.27263099143684555</v>
      </c>
      <c r="Q41">
        <f>AVERAGE(K41:O41)</f>
        <v>-0.2635445825513002</v>
      </c>
      <c r="R41">
        <f>STDEV(K41:O41)</f>
        <v>0.18904011784001729</v>
      </c>
    </row>
    <row r="42" spans="1:18">
      <c r="A42">
        <v>40</v>
      </c>
      <c r="C42">
        <v>1497</v>
      </c>
      <c r="D42">
        <v>410</v>
      </c>
      <c r="E42">
        <v>459</v>
      </c>
      <c r="F42">
        <v>328</v>
      </c>
      <c r="G42">
        <v>459</v>
      </c>
      <c r="H42">
        <v>390</v>
      </c>
      <c r="J42" s="1"/>
      <c r="K42">
        <f t="shared" si="0"/>
        <v>-0.6200504791536765</v>
      </c>
      <c r="L42">
        <f>LOG10(E42/C42)-LOG10(37995/47667)</f>
        <v>-0.41491774389289082</v>
      </c>
      <c r="M42">
        <f>LOG10(F42/C42)-LOG10(35167/47667)</f>
        <v>-0.52726545830215676</v>
      </c>
      <c r="N42">
        <f>LOG10(G42/C42)-LOG10(34734/47667)</f>
        <v>-0.37594609499710885</v>
      </c>
      <c r="O42">
        <f>LOG10(H42/C42)-LOG10(33378/47667)</f>
        <v>-0.42939968388189531</v>
      </c>
      <c r="Q42">
        <f>AVERAGE(K42:O42)</f>
        <v>-0.47351589204554562</v>
      </c>
      <c r="R42">
        <f>STDEV(K42:O42)</f>
        <v>9.9072257945219788E-2</v>
      </c>
    </row>
    <row r="43" spans="1:18">
      <c r="A43">
        <v>41</v>
      </c>
      <c r="C43">
        <v>2578</v>
      </c>
      <c r="D43">
        <v>755</v>
      </c>
      <c r="E43">
        <v>917</v>
      </c>
      <c r="F43">
        <v>664</v>
      </c>
      <c r="G43">
        <v>903</v>
      </c>
      <c r="H43">
        <v>661</v>
      </c>
      <c r="J43" s="1"/>
      <c r="K43">
        <f t="shared" si="0"/>
        <v>-0.59094849691855567</v>
      </c>
      <c r="L43">
        <f>LOG10(E43/C43)-LOG10(37995/47667)</f>
        <v>-0.35042220643446287</v>
      </c>
      <c r="M43">
        <f>LOG10(F43/C43)-LOG10(35167/47667)</f>
        <v>-0.4570323353201502</v>
      </c>
      <c r="N43">
        <f>LOG10(G43/C43)-LOG10(34734/47667)</f>
        <v>-0.3181321428951962</v>
      </c>
      <c r="O43">
        <f>LOG10(H43/C43)-LOG10(33378/47667)</f>
        <v>-0.43632394409708619</v>
      </c>
      <c r="Q43">
        <f>AVERAGE(K43:O43)</f>
        <v>-0.43057182513309022</v>
      </c>
      <c r="R43">
        <f>STDEV(K43:O43)</f>
        <v>0.1066777458566361</v>
      </c>
    </row>
    <row r="44" spans="1:18">
      <c r="A44">
        <v>42</v>
      </c>
      <c r="C44">
        <v>1201</v>
      </c>
      <c r="D44">
        <v>392</v>
      </c>
      <c r="E44">
        <v>260</v>
      </c>
      <c r="F44">
        <v>283</v>
      </c>
      <c r="G44">
        <v>250</v>
      </c>
      <c r="H44">
        <v>238</v>
      </c>
      <c r="J44" s="1"/>
      <c r="K44">
        <f t="shared" si="0"/>
        <v>-0.54386947591280854</v>
      </c>
      <c r="L44">
        <f>LOG10(E44/C44)-LOG10(37995/47667)</f>
        <v>-0.56607828851918773</v>
      </c>
      <c r="M44">
        <f>LOG10(F44/C44)-LOG10(35167/47667)</f>
        <v>-0.4956740735493993</v>
      </c>
      <c r="N44">
        <f>LOG10(G44/C44)-LOG10(34734/47667)</f>
        <v>-0.54413997892218624</v>
      </c>
      <c r="O44">
        <f>LOG10(H44/C44)-LOG10(33378/47667)</f>
        <v>-0.54820854091173632</v>
      </c>
      <c r="Q44">
        <f>AVERAGE(K44:O44)</f>
        <v>-0.53959407156306372</v>
      </c>
      <c r="R44">
        <f>STDEV(K44:O44)</f>
        <v>2.6189374808928214E-2</v>
      </c>
    </row>
    <row r="45" spans="1:18">
      <c r="A45">
        <v>43</v>
      </c>
      <c r="C45">
        <v>637</v>
      </c>
      <c r="D45">
        <v>1724</v>
      </c>
      <c r="E45">
        <v>10914</v>
      </c>
      <c r="F45">
        <v>41621</v>
      </c>
      <c r="G45">
        <v>71640</v>
      </c>
      <c r="H45">
        <v>2615</v>
      </c>
      <c r="J45" s="1"/>
      <c r="K45">
        <f t="shared" si="0"/>
        <v>0.3747852936229838</v>
      </c>
      <c r="L45">
        <f>LOG10(E45/C45)-LOG10(37995/47667)</f>
        <v>1.3323358880246772</v>
      </c>
      <c r="M45">
        <f>LOG10(F45/C45)-LOG10(35167/47667)</f>
        <v>1.9472555764986093</v>
      </c>
      <c r="N45">
        <f>LOG10(G45/C45)-LOG10(34734/47667)</f>
        <v>2.1884791646503254</v>
      </c>
      <c r="O45">
        <f>LOG10(H45/C45)-LOG10(33378/47667)</f>
        <v>0.76808977030260051</v>
      </c>
      <c r="Q45">
        <f>AVERAGE(K45:O45)</f>
        <v>1.3221891386198392</v>
      </c>
      <c r="R45">
        <f>STDEV(K45:O45)</f>
        <v>0.76581159121715925</v>
      </c>
    </row>
    <row r="46" spans="1:18">
      <c r="A46">
        <v>44</v>
      </c>
      <c r="C46">
        <v>1558</v>
      </c>
      <c r="D46">
        <v>8821</v>
      </c>
      <c r="E46">
        <v>1440</v>
      </c>
      <c r="F46">
        <v>1838</v>
      </c>
      <c r="G46">
        <v>2199</v>
      </c>
      <c r="H46">
        <v>978</v>
      </c>
      <c r="J46" s="1"/>
      <c r="K46">
        <f t="shared" si="0"/>
        <v>0.69533783321093423</v>
      </c>
      <c r="L46">
        <f>LOG10(E46/C46)-LOG10(37995/47667)</f>
        <v>6.4286409671604261E-2</v>
      </c>
      <c r="M46">
        <f>LOG10(F46/C46)-LOG10(35167/47667)</f>
        <v>0.20386055204276321</v>
      </c>
      <c r="N46">
        <f>LOG10(G46/C46)-LOG10(34734/47667)</f>
        <v>0.28712079583292699</v>
      </c>
      <c r="O46">
        <f>LOG10(H46/C46)-LOG10(33378/47667)</f>
        <v>-4.7471089114286436E-2</v>
      </c>
      <c r="Q46">
        <f>AVERAGE(K46:O46)</f>
        <v>0.24062690032878847</v>
      </c>
      <c r="R46">
        <f>STDEV(K46:O46)</f>
        <v>0.28476828270294996</v>
      </c>
    </row>
    <row r="47" spans="1:18">
      <c r="A47">
        <v>45</v>
      </c>
      <c r="C47">
        <v>3163</v>
      </c>
      <c r="D47">
        <v>19714</v>
      </c>
      <c r="E47">
        <v>2482</v>
      </c>
      <c r="F47">
        <v>3120</v>
      </c>
      <c r="G47">
        <v>2388</v>
      </c>
      <c r="H47">
        <v>2677</v>
      </c>
      <c r="J47" s="1"/>
      <c r="K47">
        <f t="shared" si="0"/>
        <v>0.73706302477236096</v>
      </c>
      <c r="L47">
        <f>LOG10(E47/C47)-LOG10(37995/47667)</f>
        <v>-6.8060438401115475E-3</v>
      </c>
      <c r="M47">
        <f>LOG10(F47/C47)-LOG10(35167/47667)</f>
        <v>0.1261379004319364</v>
      </c>
      <c r="N47">
        <f>LOG10(G47/C47)-LOG10(34734/47667)</f>
        <v>1.5398150350290879E-2</v>
      </c>
      <c r="O47">
        <f>LOG10(H47/C47)-LOG10(33378/47667)</f>
        <v>8.2306688705867589E-2</v>
      </c>
      <c r="Q47">
        <f>AVERAGE(K47:O47)</f>
        <v>0.19081994408406885</v>
      </c>
      <c r="R47">
        <f>STDEV(K47:O47)</f>
        <v>0.30990693497540983</v>
      </c>
    </row>
    <row r="48" spans="1:18">
      <c r="A48">
        <v>46</v>
      </c>
      <c r="C48">
        <v>2634</v>
      </c>
      <c r="D48">
        <v>3098</v>
      </c>
      <c r="E48">
        <v>3299</v>
      </c>
      <c r="F48">
        <v>4044</v>
      </c>
      <c r="G48">
        <v>5997</v>
      </c>
      <c r="H48">
        <v>2175</v>
      </c>
      <c r="J48" s="1"/>
      <c r="K48">
        <f t="shared" si="0"/>
        <v>1.2853107267062423E-2</v>
      </c>
      <c r="L48">
        <f>LOG10(E48/C48)-LOG10(37995/47667)</f>
        <v>0.19625791583247909</v>
      </c>
      <c r="M48">
        <f>LOG10(F48/C48)-LOG10(35167/47667)</f>
        <v>0.31827787462241491</v>
      </c>
      <c r="N48">
        <f>LOG10(G48/C48)-LOG10(34734/47667)</f>
        <v>0.4947812980206967</v>
      </c>
      <c r="O48">
        <f>LOG10(H48/C48)-LOG10(33378/47667)</f>
        <v>7.1601000099548937E-2</v>
      </c>
      <c r="Q48">
        <f>AVERAGE(K48:O48)</f>
        <v>0.21875423916844042</v>
      </c>
      <c r="R48">
        <f>STDEV(K48:O48)</f>
        <v>0.19406914211368947</v>
      </c>
    </row>
    <row r="49" spans="1:18">
      <c r="A49">
        <v>47</v>
      </c>
      <c r="C49">
        <v>2445</v>
      </c>
      <c r="D49">
        <v>3128</v>
      </c>
      <c r="E49">
        <v>2358</v>
      </c>
      <c r="F49">
        <v>2830</v>
      </c>
      <c r="G49">
        <v>2384</v>
      </c>
      <c r="H49">
        <v>2229</v>
      </c>
      <c r="J49" s="1"/>
      <c r="K49">
        <f t="shared" si="0"/>
        <v>4.9375345397811597E-2</v>
      </c>
      <c r="L49">
        <f>LOG10(E49/C49)-LOG10(37995/47667)</f>
        <v>8.2756308212331528E-2</v>
      </c>
      <c r="M49">
        <f>LOG10(F49/C49)-LOG10(35167/47667)</f>
        <v>0.19559007039386761</v>
      </c>
      <c r="N49">
        <f>LOG10(G49/C49)-LOG10(34734/47667)</f>
        <v>0.12649040741724205</v>
      </c>
      <c r="O49">
        <f>LOG10(H49/C49)-LOG10(33378/47667)</f>
        <v>0.11458871445525645</v>
      </c>
      <c r="Q49">
        <f>AVERAGE(K49:O49)</f>
        <v>0.11376016917530185</v>
      </c>
      <c r="R49">
        <f>STDEV(K49:O49)</f>
        <v>5.4693516786469748E-2</v>
      </c>
    </row>
    <row r="50" spans="1:18">
      <c r="A50">
        <v>48</v>
      </c>
      <c r="C50">
        <v>1280</v>
      </c>
      <c r="D50">
        <v>720</v>
      </c>
      <c r="E50">
        <v>595</v>
      </c>
      <c r="F50">
        <v>598</v>
      </c>
      <c r="G50">
        <v>645</v>
      </c>
      <c r="H50">
        <v>1189</v>
      </c>
      <c r="J50" s="1"/>
      <c r="K50">
        <f t="shared" si="0"/>
        <v>-0.30749000874695964</v>
      </c>
      <c r="L50">
        <f>LOG10(E50/C50)-LOG10(37995/47667)</f>
        <v>-0.23420163300641852</v>
      </c>
      <c r="M50">
        <f>LOG10(F50/C50)-LOG10(35167/47667)</f>
        <v>-0.19842628733024112</v>
      </c>
      <c r="N50">
        <f>LOG10(G50/C50)-LOG10(34734/47667)</f>
        <v>-0.16018723520391834</v>
      </c>
      <c r="O50">
        <f>LOG10(H50/C50)-LOG10(33378/47667)</f>
        <v>0.12272939440548103</v>
      </c>
      <c r="Q50">
        <f>AVERAGE(K50:O50)</f>
        <v>-0.1555151539764113</v>
      </c>
      <c r="R50">
        <f>STDEV(K50:O50)</f>
        <v>0.16475067593003892</v>
      </c>
    </row>
    <row r="51" spans="1:18">
      <c r="A51">
        <v>49</v>
      </c>
      <c r="C51">
        <v>3930</v>
      </c>
      <c r="D51">
        <v>12151</v>
      </c>
      <c r="E51">
        <v>6285</v>
      </c>
      <c r="F51">
        <v>6057</v>
      </c>
      <c r="G51">
        <v>11678</v>
      </c>
      <c r="H51">
        <v>8928</v>
      </c>
      <c r="J51" s="1"/>
      <c r="K51">
        <f t="shared" si="0"/>
        <v>0.43260693495946495</v>
      </c>
      <c r="L51">
        <f>LOG10(E51/C51)-LOG10(37995/47667)</f>
        <v>0.30240410255945011</v>
      </c>
      <c r="M51">
        <f>LOG10(F51/C51)-LOG10(35167/47667)</f>
        <v>0.3199475216170915</v>
      </c>
      <c r="N51">
        <f>LOG10(G51/C51)-LOG10(34734/47667)</f>
        <v>0.61043894034852408</v>
      </c>
      <c r="O51">
        <f>LOG10(H51/C51)-LOG10(33378/47667)</f>
        <v>0.51111914065273456</v>
      </c>
      <c r="Q51">
        <f>AVERAGE(K51:O51)</f>
        <v>0.43530332802745308</v>
      </c>
      <c r="R51">
        <f>STDEV(K51:O51)</f>
        <v>0.12980461941439647</v>
      </c>
    </row>
    <row r="52" spans="1:18">
      <c r="A52">
        <v>50</v>
      </c>
      <c r="C52">
        <v>1234</v>
      </c>
      <c r="D52">
        <v>3445</v>
      </c>
      <c r="E52">
        <v>2439</v>
      </c>
      <c r="F52">
        <v>2875</v>
      </c>
      <c r="G52">
        <v>2357</v>
      </c>
      <c r="H52">
        <v>7533</v>
      </c>
      <c r="J52" s="1"/>
      <c r="K52">
        <f t="shared" si="0"/>
        <v>0.38826153101606198</v>
      </c>
      <c r="L52">
        <f>LOG10(E52/C52)-LOG10(37995/47667)</f>
        <v>0.39438801152940794</v>
      </c>
      <c r="M52">
        <f>LOG10(F52/C52)-LOG10(35167/47667)</f>
        <v>0.49940518765764286</v>
      </c>
      <c r="N52">
        <f>LOG10(G52/C52)-LOG10(34734/47667)</f>
        <v>0.41850744263578321</v>
      </c>
      <c r="O52">
        <f>LOG10(H52/C52)-LOG10(33378/47667)</f>
        <v>0.94041031717001977</v>
      </c>
      <c r="Q52">
        <f>AVERAGE(K52:O52)</f>
        <v>0.5281944980017832</v>
      </c>
      <c r="R52">
        <f>STDEV(K52:O52)</f>
        <v>0.23466325188927883</v>
      </c>
    </row>
    <row r="53" spans="1:18">
      <c r="A53">
        <v>51</v>
      </c>
      <c r="C53">
        <v>2179</v>
      </c>
      <c r="D53">
        <v>4543</v>
      </c>
      <c r="E53">
        <v>4018</v>
      </c>
      <c r="F53">
        <v>2333</v>
      </c>
      <c r="G53">
        <v>2858</v>
      </c>
      <c r="H53">
        <v>3156</v>
      </c>
      <c r="J53" s="1"/>
      <c r="K53">
        <f t="shared" si="0"/>
        <v>0.2614729710380107</v>
      </c>
      <c r="L53">
        <f>LOG10(E53/C53)-LOG10(37995/47667)</f>
        <v>0.36424407307887496</v>
      </c>
      <c r="M53">
        <f>LOG10(F53/C53)-LOG10(35167/47667)</f>
        <v>0.16174000687671344</v>
      </c>
      <c r="N53">
        <f>LOG10(G53/C53)-LOG10(34734/47667)</f>
        <v>0.25526801401737809</v>
      </c>
      <c r="O53">
        <f>LOG10(H53/C53)-LOG10(33378/47667)</f>
        <v>0.31563727372578487</v>
      </c>
      <c r="Q53">
        <f>AVERAGE(K53:O53)</f>
        <v>0.27167246774735243</v>
      </c>
      <c r="R53">
        <f>STDEV(K53:O53)</f>
        <v>7.5763922923040461E-2</v>
      </c>
    </row>
    <row r="54" spans="1:18">
      <c r="A54">
        <v>52</v>
      </c>
      <c r="C54">
        <v>1740</v>
      </c>
      <c r="D54">
        <v>3718</v>
      </c>
      <c r="E54">
        <v>2313</v>
      </c>
      <c r="F54">
        <v>8426</v>
      </c>
      <c r="G54">
        <v>2031</v>
      </c>
      <c r="H54">
        <v>1639</v>
      </c>
      <c r="J54" s="1"/>
      <c r="K54">
        <f t="shared" si="0"/>
        <v>0.27214760162292023</v>
      </c>
      <c r="L54">
        <f>LOG10(E54/C54)-LOG10(37995/47667)</f>
        <v>0.22211775540091996</v>
      </c>
      <c r="M54">
        <f>LOG10(F54/C54)-LOG10(35167/47667)</f>
        <v>0.81715470483744579</v>
      </c>
      <c r="N54">
        <f>LOG10(G54/C54)-LOG10(34734/47667)</f>
        <v>0.20462369493088933</v>
      </c>
      <c r="O54">
        <f>LOG10(H54/C54)-LOG10(33378/47667)</f>
        <v>0.12878721472255714</v>
      </c>
      <c r="Q54">
        <f>AVERAGE(K54:O54)</f>
        <v>0.32896619430294644</v>
      </c>
      <c r="R54">
        <f>STDEV(K54:O54)</f>
        <v>0.27771642200442881</v>
      </c>
    </row>
    <row r="55" spans="1:18">
      <c r="A55">
        <v>53</v>
      </c>
      <c r="C55">
        <v>2821</v>
      </c>
      <c r="D55">
        <v>8071</v>
      </c>
      <c r="E55">
        <v>3108</v>
      </c>
      <c r="F55">
        <v>3769</v>
      </c>
      <c r="G55">
        <v>5414</v>
      </c>
      <c r="H55">
        <v>3118</v>
      </c>
      <c r="J55" s="1"/>
      <c r="K55">
        <f t="shared" si="0"/>
        <v>0.3989117256232298</v>
      </c>
      <c r="L55">
        <f>LOG10(E55/C55)-LOG10(37995/47667)</f>
        <v>0.14056929488641062</v>
      </c>
      <c r="M55">
        <f>LOG10(F55/C55)-LOG10(35167/47667)</f>
        <v>0.25790554962345513</v>
      </c>
      <c r="N55">
        <f>LOG10(G55/C55)-LOG10(34734/47667)</f>
        <v>0.42057818508780365</v>
      </c>
      <c r="O55">
        <f>LOG10(H55/C55)-LOG10(33378/47667)</f>
        <v>0.19823053413211439</v>
      </c>
      <c r="Q55">
        <f>AVERAGE(K55:O55)</f>
        <v>0.28323905787060272</v>
      </c>
      <c r="R55">
        <f>STDEV(K55:O55)</f>
        <v>0.12294826040662707</v>
      </c>
    </row>
    <row r="56" spans="1:18">
      <c r="A56">
        <v>54</v>
      </c>
      <c r="C56">
        <v>1957</v>
      </c>
      <c r="D56">
        <v>2671</v>
      </c>
      <c r="E56">
        <v>4243</v>
      </c>
      <c r="F56">
        <v>3896</v>
      </c>
      <c r="G56">
        <v>3306</v>
      </c>
      <c r="H56">
        <v>2552</v>
      </c>
      <c r="J56" s="1"/>
      <c r="K56">
        <f t="shared" si="0"/>
        <v>7.7470526833011949E-2</v>
      </c>
      <c r="L56">
        <f>LOG10(E56/C56)-LOG10(37995/47667)</f>
        <v>0.434573577021515</v>
      </c>
      <c r="M56">
        <f>LOG10(F56/C56)-LOG10(35167/47667)</f>
        <v>0.43111062087779317</v>
      </c>
      <c r="N56">
        <f>LOG10(G56/C56)-LOG10(34734/47667)</f>
        <v>0.36517504338610973</v>
      </c>
      <c r="O56">
        <f>LOG10(H56/C56)-LOG10(33378/47667)</f>
        <v>0.27004735382578138</v>
      </c>
      <c r="Q56">
        <f>AVERAGE(K56:O56)</f>
        <v>0.31567542438884227</v>
      </c>
      <c r="R56">
        <f>STDEV(K56:O56)</f>
        <v>0.14894274202833027</v>
      </c>
    </row>
    <row r="57" spans="1:18">
      <c r="A57">
        <v>55</v>
      </c>
      <c r="C57">
        <v>889</v>
      </c>
      <c r="D57">
        <v>497</v>
      </c>
      <c r="E57">
        <v>1426</v>
      </c>
      <c r="F57">
        <v>558</v>
      </c>
      <c r="G57">
        <v>807</v>
      </c>
      <c r="H57">
        <v>472</v>
      </c>
      <c r="J57" s="1"/>
      <c r="K57">
        <f t="shared" si="0"/>
        <v>-0.31015790776724134</v>
      </c>
      <c r="L57">
        <f>LOG10(E57/C57)-LOG10(37995/47667)</f>
        <v>0.30370913545853334</v>
      </c>
      <c r="M57">
        <f>LOG10(F57/C57)-LOG10(35167/47667)</f>
        <v>-7.0185063703418538E-2</v>
      </c>
      <c r="N57">
        <f>LOG10(G57/C57)-LOG10(34734/47667)</f>
        <v>9.5434793560538994E-2</v>
      </c>
      <c r="O57">
        <f>LOG10(H57/C57)-LOG10(33378/47667)</f>
        <v>-0.12020225290146816</v>
      </c>
      <c r="Q57">
        <f>AVERAGE(K57:O57)</f>
        <v>-2.028025907061114E-2</v>
      </c>
      <c r="R57">
        <f>STDEV(K57:O57)</f>
        <v>0.23176661038815047</v>
      </c>
    </row>
    <row r="58" spans="1:18">
      <c r="A58">
        <v>56</v>
      </c>
      <c r="C58">
        <v>1614</v>
      </c>
      <c r="D58">
        <v>1303</v>
      </c>
      <c r="E58">
        <v>1426</v>
      </c>
      <c r="F58">
        <v>993</v>
      </c>
      <c r="G58">
        <v>1024</v>
      </c>
      <c r="H58">
        <v>946</v>
      </c>
      <c r="J58" s="1"/>
      <c r="K58">
        <f t="shared" si="0"/>
        <v>-0.15057165020382671</v>
      </c>
      <c r="L58">
        <f>LOG10(E58/C58)-LOG10(37995/47667)</f>
        <v>4.4707366042695408E-2</v>
      </c>
      <c r="M58">
        <f>LOG10(F58/C58)-LOG10(35167/47667)</f>
        <v>-7.8871783561453968E-2</v>
      </c>
      <c r="N58">
        <f>LOG10(G58/C58)-LOG10(34734/47667)</f>
        <v>-6.0140553937557378E-2</v>
      </c>
      <c r="O58">
        <f>LOG10(H58/C58)-LOG10(33378/47667)</f>
        <v>-7.7254884549601083E-2</v>
      </c>
      <c r="Q58">
        <f>AVERAGE(K58:O58)</f>
        <v>-6.4426301241948744E-2</v>
      </c>
      <c r="R58">
        <f>STDEV(K58:O58)</f>
        <v>7.0218926618541996E-2</v>
      </c>
    </row>
    <row r="59" spans="1:18">
      <c r="A59">
        <v>57</v>
      </c>
      <c r="C59">
        <v>890</v>
      </c>
      <c r="D59">
        <v>1845</v>
      </c>
      <c r="E59">
        <v>935</v>
      </c>
      <c r="F59">
        <v>1350</v>
      </c>
      <c r="G59">
        <v>1279</v>
      </c>
      <c r="H59">
        <v>931</v>
      </c>
      <c r="J59" s="1"/>
      <c r="K59">
        <f t="shared" si="0"/>
        <v>0.25899382831980661</v>
      </c>
      <c r="L59">
        <f>LOG10(E59/C59)-LOG10(37995/47667)</f>
        <v>0.11991297514050525</v>
      </c>
      <c r="M59">
        <f>LOG10(F59/C59)-LOG10(35167/47667)</f>
        <v>0.31302626017930979</v>
      </c>
      <c r="N59">
        <f>LOG10(G59/C59)-LOG10(34734/47667)</f>
        <v>0.29494355764242342</v>
      </c>
      <c r="O59">
        <f>LOG10(H59/C59)-LOG10(33378/47667)</f>
        <v>0.17431718377108765</v>
      </c>
      <c r="Q59">
        <f>AVERAGE(K59:O59)</f>
        <v>0.23223876101062654</v>
      </c>
      <c r="R59">
        <f>STDEV(K59:O59)</f>
        <v>8.2380726584772135E-2</v>
      </c>
    </row>
    <row r="60" spans="1:18">
      <c r="A60">
        <v>58</v>
      </c>
      <c r="C60">
        <v>2626</v>
      </c>
      <c r="D60">
        <v>4564</v>
      </c>
      <c r="E60">
        <v>2882</v>
      </c>
      <c r="F60">
        <v>6394</v>
      </c>
      <c r="G60">
        <v>3042</v>
      </c>
      <c r="H60">
        <v>5818</v>
      </c>
      <c r="J60" s="1"/>
      <c r="K60">
        <f t="shared" si="0"/>
        <v>0.18243837846235675</v>
      </c>
      <c r="L60">
        <f>LOG10(E60/C60)-LOG10(37995/47667)</f>
        <v>0.13889062563741017</v>
      </c>
      <c r="M60">
        <f>LOG10(F60/C60)-LOG10(35167/47667)</f>
        <v>0.51856040851142504</v>
      </c>
      <c r="N60">
        <f>LOG10(G60/C60)-LOG10(34734/47667)</f>
        <v>0.20132750777220132</v>
      </c>
      <c r="O60">
        <f>LOG10(H60/C60)-LOG10(33378/47667)</f>
        <v>0.50023650459223756</v>
      </c>
      <c r="Q60">
        <f>AVERAGE(K60:O60)</f>
        <v>0.30829068499512619</v>
      </c>
      <c r="R60">
        <f>STDEV(K60:O60)</f>
        <v>0.18508974764966477</v>
      </c>
    </row>
    <row r="61" spans="1:18">
      <c r="A61">
        <v>59</v>
      </c>
      <c r="C61">
        <v>2572</v>
      </c>
      <c r="D61">
        <v>4744</v>
      </c>
      <c r="E61">
        <v>5975</v>
      </c>
      <c r="F61">
        <v>7737</v>
      </c>
      <c r="G61">
        <v>5214</v>
      </c>
      <c r="H61">
        <v>5441</v>
      </c>
      <c r="J61" s="1"/>
      <c r="K61">
        <f t="shared" si="0"/>
        <v>0.20826118057366197</v>
      </c>
      <c r="L61">
        <f>LOG10(E61/C61)-LOG10(37995/47667)</f>
        <v>0.46455831628089106</v>
      </c>
      <c r="M61">
        <f>LOG10(F61/C61)-LOG10(35167/47667)</f>
        <v>0.61038413093463195</v>
      </c>
      <c r="N61">
        <f>LOG10(G61/C61)-LOG10(34734/47667)</f>
        <v>0.44436308238880795</v>
      </c>
      <c r="O61">
        <f>LOG10(H61/C61)-LOG10(33378/47667)</f>
        <v>0.48016527108837792</v>
      </c>
      <c r="Q61">
        <f>AVERAGE(K61:O61)</f>
        <v>0.44154639625327413</v>
      </c>
      <c r="R61">
        <f>STDEV(K61:O61)</f>
        <v>0.14573698242440791</v>
      </c>
    </row>
    <row r="62" spans="1:18">
      <c r="A62">
        <v>60</v>
      </c>
      <c r="C62">
        <v>2518</v>
      </c>
      <c r="D62">
        <v>3751</v>
      </c>
      <c r="E62">
        <v>3617</v>
      </c>
      <c r="F62">
        <v>3241</v>
      </c>
      <c r="G62">
        <v>3497</v>
      </c>
      <c r="H62">
        <v>3660</v>
      </c>
      <c r="J62" s="1"/>
      <c r="K62">
        <f t="shared" si="0"/>
        <v>0.11547880284851925</v>
      </c>
      <c r="L62">
        <f>LOG10(E62/C62)-LOG10(37995/47667)</f>
        <v>0.25578415390267617</v>
      </c>
      <c r="M62">
        <f>LOG10(F62/C62)-LOG10(35167/47667)</f>
        <v>0.2417058035895826</v>
      </c>
      <c r="N62">
        <f>LOG10(G62/C62)-LOG10(34734/47667)</f>
        <v>0.28010292634608325</v>
      </c>
      <c r="O62">
        <f>LOG10(H62/C62)-LOG10(33378/47667)</f>
        <v>0.31718286905722465</v>
      </c>
      <c r="Q62">
        <f>AVERAGE(K62:O62)</f>
        <v>0.24205091114881722</v>
      </c>
      <c r="R62">
        <f>STDEV(K62:O62)</f>
        <v>7.6324941230029489E-2</v>
      </c>
    </row>
    <row r="63" spans="1:18">
      <c r="A63">
        <v>61</v>
      </c>
      <c r="C63">
        <v>1128</v>
      </c>
      <c r="D63">
        <v>8906</v>
      </c>
      <c r="E63">
        <v>5496</v>
      </c>
      <c r="F63">
        <v>5711</v>
      </c>
      <c r="G63">
        <v>2783</v>
      </c>
      <c r="H63">
        <v>4069</v>
      </c>
      <c r="J63" s="1"/>
      <c r="K63">
        <f t="shared" si="0"/>
        <v>0.8397610556175209</v>
      </c>
      <c r="L63">
        <f>LOG10(E63/C63)-LOG10(37995/47667)</f>
        <v>0.7862289953170708</v>
      </c>
      <c r="M63">
        <f>LOG10(F63/C63)-LOG10(35167/47667)</f>
        <v>0.83648555884666465</v>
      </c>
      <c r="N63">
        <f>LOG10(G63/C63)-LOG10(34734/47667)</f>
        <v>0.52966712649540171</v>
      </c>
      <c r="O63">
        <f>LOG10(H63/C63)-LOG10(33378/47667)</f>
        <v>0.71193609964061955</v>
      </c>
      <c r="Q63">
        <f>AVERAGE(K63:O63)</f>
        <v>0.74081576718345543</v>
      </c>
      <c r="R63">
        <f>STDEV(K63:O63)</f>
        <v>0.12886332303209541</v>
      </c>
    </row>
    <row r="64" spans="1:18">
      <c r="A64">
        <v>62</v>
      </c>
      <c r="C64">
        <v>2491</v>
      </c>
      <c r="D64">
        <v>1957</v>
      </c>
      <c r="E64">
        <v>2348</v>
      </c>
      <c r="F64">
        <v>1601</v>
      </c>
      <c r="G64">
        <v>1764</v>
      </c>
      <c r="H64">
        <v>1997</v>
      </c>
      <c r="J64" s="1"/>
      <c r="K64">
        <f t="shared" si="0"/>
        <v>-0.16239543740886508</v>
      </c>
      <c r="L64">
        <f>LOG10(E64/C64)-LOG10(37995/47667)</f>
        <v>7.2815735951970606E-2</v>
      </c>
      <c r="M64">
        <f>LOG10(F64/C64)-LOG10(35167/47667)</f>
        <v>-5.9899897287990306E-2</v>
      </c>
      <c r="N64">
        <f>LOG10(G64/C64)-LOG10(34734/47667)</f>
        <v>-1.2412126932023287E-2</v>
      </c>
      <c r="O64">
        <f>LOG10(H64/C64)-LOG10(33378/47667)</f>
        <v>5.8761846768853862E-2</v>
      </c>
      <c r="Q64">
        <f>AVERAGE(K64:O64)</f>
        <v>-2.0625975781610843E-2</v>
      </c>
      <c r="R64">
        <f>STDEV(K64:O64)</f>
        <v>9.584136415778477E-2</v>
      </c>
    </row>
    <row r="65" spans="1:18">
      <c r="A65">
        <v>63</v>
      </c>
      <c r="C65">
        <v>3115</v>
      </c>
      <c r="D65">
        <v>7362</v>
      </c>
      <c r="E65">
        <v>6371</v>
      </c>
      <c r="F65">
        <v>12787</v>
      </c>
      <c r="G65">
        <v>7430</v>
      </c>
      <c r="H65">
        <v>5194</v>
      </c>
      <c r="J65" s="1"/>
      <c r="K65">
        <f t="shared" si="0"/>
        <v>0.31592522658509969</v>
      </c>
      <c r="L65">
        <f>LOG10(E65/C65)-LOG10(37995/47667)</f>
        <v>0.40924092499975329</v>
      </c>
      <c r="M65">
        <f>LOG10(F65/C65)-LOG10(35167/47667)</f>
        <v>0.74539311251083384</v>
      </c>
      <c r="N65">
        <f>LOG10(G65/C65)-LOG10(34734/47667)</f>
        <v>0.51499378257406914</v>
      </c>
      <c r="O65">
        <f>LOG10(H65/C65)-LOG10(33378/47667)</f>
        <v>0.37680140373275328</v>
      </c>
      <c r="Q65">
        <f>AVERAGE(K65:O65)</f>
        <v>0.47247089008050186</v>
      </c>
      <c r="R65">
        <f>STDEV(K65:O65)</f>
        <v>0.16878385567324081</v>
      </c>
    </row>
    <row r="66" spans="1:18">
      <c r="A66">
        <v>64</v>
      </c>
      <c r="C66">
        <v>2147</v>
      </c>
      <c r="D66">
        <v>2543</v>
      </c>
      <c r="E66">
        <v>1699</v>
      </c>
      <c r="F66">
        <v>2837</v>
      </c>
      <c r="G66">
        <v>1668</v>
      </c>
      <c r="H66">
        <v>5540</v>
      </c>
      <c r="J66" s="1"/>
      <c r="K66">
        <f t="shared" si="0"/>
        <v>1.5901780209100484E-2</v>
      </c>
      <c r="L66">
        <f>LOG10(E66/C66)-LOG10(37995/47667)</f>
        <v>-3.1472946543028152E-3</v>
      </c>
      <c r="M66">
        <f>LOG10(F66/C66)-LOG10(35167/47667)</f>
        <v>0.25310978968882003</v>
      </c>
      <c r="N66">
        <f>LOG10(G66/C66)-LOG10(34734/47667)</f>
        <v>2.782702167415349E-2</v>
      </c>
      <c r="O66">
        <f>LOG10(H66/C66)-LOG10(33378/47667)</f>
        <v>0.5664352297268388</v>
      </c>
      <c r="Q66">
        <f>AVERAGE(K66:O66)</f>
        <v>0.17202530532892199</v>
      </c>
      <c r="R66">
        <f>STDEV(K66:O66)</f>
        <v>0.2439195676638021</v>
      </c>
    </row>
    <row r="67" spans="1:18">
      <c r="A67">
        <v>65</v>
      </c>
      <c r="C67">
        <v>2609</v>
      </c>
      <c r="D67">
        <v>2479</v>
      </c>
      <c r="E67">
        <v>2578</v>
      </c>
      <c r="F67">
        <v>2249</v>
      </c>
      <c r="G67">
        <v>2193</v>
      </c>
      <c r="H67">
        <v>2020</v>
      </c>
      <c r="J67" s="1"/>
      <c r="K67">
        <f t="shared" ref="K67:K130" si="1">LOG10(D67/C67)-LOG10(54429/47667)</f>
        <v>-7.9810087862759088E-2</v>
      </c>
      <c r="L67">
        <f>LOG10(E67/C67)-LOG10(37995/47667)</f>
        <v>9.3300204830063696E-2</v>
      </c>
      <c r="M67">
        <f>LOG10(F67/C67)-LOG10(35167/47667)</f>
        <v>6.7597874664627841E-2</v>
      </c>
      <c r="N67">
        <f>LOG10(G67/C67)-LOG10(34734/47667)</f>
        <v>6.2027572385984373E-2</v>
      </c>
      <c r="O67">
        <f>LOG10(H67/C67)-LOG10(33378/47667)</f>
        <v>4.3634799781060787E-2</v>
      </c>
      <c r="Q67">
        <f>AVERAGE(K67:O67)</f>
        <v>3.7350072759795516E-2</v>
      </c>
      <c r="R67">
        <f>STDEV(K67:O67)</f>
        <v>6.786075231197633E-2</v>
      </c>
    </row>
    <row r="68" spans="1:18">
      <c r="A68">
        <v>66</v>
      </c>
      <c r="C68">
        <v>1002</v>
      </c>
      <c r="D68">
        <v>295</v>
      </c>
      <c r="E68">
        <v>460</v>
      </c>
      <c r="F68">
        <v>922</v>
      </c>
      <c r="G68">
        <v>469</v>
      </c>
      <c r="H68">
        <v>486</v>
      </c>
      <c r="J68" s="1"/>
      <c r="K68">
        <f t="shared" si="1"/>
        <v>-0.58865824108342357</v>
      </c>
      <c r="L68">
        <f>LOG10(E68/C68)-LOG10(37995/47667)</f>
        <v>-0.23961851893675259</v>
      </c>
      <c r="M68">
        <f>LOG10(F68/C68)-LOG10(35167/47667)</f>
        <v>9.5945697851618883E-2</v>
      </c>
      <c r="N68">
        <f>LOG10(G68/C68)-LOG10(34734/47667)</f>
        <v>-0.1922318590074614</v>
      </c>
      <c r="O68">
        <f>LOG10(H68/C68)-LOG10(33378/47667)</f>
        <v>-0.15947394283427577</v>
      </c>
      <c r="Q68">
        <f>AVERAGE(K68:O68)</f>
        <v>-0.21680737280205889</v>
      </c>
      <c r="R68">
        <f>STDEV(K68:O68)</f>
        <v>0.24520347566002543</v>
      </c>
    </row>
    <row r="69" spans="1:18">
      <c r="A69">
        <v>67</v>
      </c>
      <c r="C69">
        <v>3036</v>
      </c>
      <c r="D69">
        <v>1026</v>
      </c>
      <c r="E69">
        <v>951</v>
      </c>
      <c r="F69">
        <v>769</v>
      </c>
      <c r="G69">
        <v>866</v>
      </c>
      <c r="H69">
        <v>1097</v>
      </c>
      <c r="J69" s="1"/>
      <c r="K69">
        <f t="shared" si="1"/>
        <v>-0.528766941978005</v>
      </c>
      <c r="L69">
        <f>LOG10(E69/C69)-LOG10(37995/47667)</f>
        <v>-0.40562987937312855</v>
      </c>
      <c r="M69">
        <f>LOG10(F69/C69)-LOG10(35167/47667)</f>
        <v>-0.46429292909279518</v>
      </c>
      <c r="N69">
        <f>LOG10(G69/C69)-LOG10(34734/47667)</f>
        <v>-0.40732085539741381</v>
      </c>
      <c r="O69">
        <f>LOG10(H69/C69)-LOG10(33378/47667)</f>
        <v>-0.28733763021407377</v>
      </c>
      <c r="Q69">
        <f>AVERAGE(K69:O69)</f>
        <v>-0.41866964721108324</v>
      </c>
      <c r="R69">
        <f>STDEV(K69:O69)</f>
        <v>8.9092406345957845E-2</v>
      </c>
    </row>
    <row r="70" spans="1:18">
      <c r="A70">
        <v>68</v>
      </c>
      <c r="C70">
        <v>2517</v>
      </c>
      <c r="D70">
        <v>2549</v>
      </c>
      <c r="E70">
        <v>2279</v>
      </c>
      <c r="F70">
        <v>2071</v>
      </c>
      <c r="G70">
        <v>1908</v>
      </c>
      <c r="H70">
        <v>2760</v>
      </c>
      <c r="J70" s="1"/>
      <c r="K70">
        <f t="shared" si="1"/>
        <v>-5.2125915609454926E-2</v>
      </c>
      <c r="L70">
        <f>LOG10(E70/C70)-LOG10(37995/47667)</f>
        <v>5.5352480544913124E-2</v>
      </c>
      <c r="M70">
        <f>LOG10(F70/C70)-LOG10(35167/47667)</f>
        <v>4.7379381674306317E-2</v>
      </c>
      <c r="N70">
        <f>LOG10(G70/C70)-LOG10(34734/47667)</f>
        <v>1.7158174628395861E-2</v>
      </c>
      <c r="O70">
        <f>LOG10(H70/C70)-LOG10(33378/47667)</f>
        <v>0.19478337595151279</v>
      </c>
      <c r="Q70">
        <f>AVERAGE(K70:O70)</f>
        <v>5.2509499437934634E-2</v>
      </c>
      <c r="R70">
        <f>STDEV(K70:O70)</f>
        <v>9.0103472236053708E-2</v>
      </c>
    </row>
    <row r="71" spans="1:18">
      <c r="A71">
        <v>69</v>
      </c>
      <c r="C71">
        <v>1807</v>
      </c>
      <c r="D71">
        <v>775</v>
      </c>
      <c r="E71">
        <v>895</v>
      </c>
      <c r="F71">
        <v>709</v>
      </c>
      <c r="G71">
        <v>708</v>
      </c>
      <c r="H71">
        <v>748</v>
      </c>
      <c r="J71" s="1"/>
      <c r="K71">
        <f t="shared" si="1"/>
        <v>-0.42526898558498138</v>
      </c>
      <c r="L71">
        <f>LOG10(E71/C71)-LOG10(37995/47667)</f>
        <v>-0.2066437463321196</v>
      </c>
      <c r="M71">
        <f>LOG10(F71/C71)-LOG10(35167/47667)</f>
        <v>-0.27422941904864884</v>
      </c>
      <c r="N71">
        <f>LOG10(G71/C71)-LOG10(34734/47667)</f>
        <v>-0.26946187506248054</v>
      </c>
      <c r="O71">
        <f>LOG10(H71/C71)-LOG10(33378/47667)</f>
        <v>-0.22829904526181269</v>
      </c>
      <c r="Q71">
        <f>AVERAGE(K71:O71)</f>
        <v>-0.2807806142580086</v>
      </c>
      <c r="R71">
        <f>STDEV(K71:O71)</f>
        <v>8.5584040180590695E-2</v>
      </c>
    </row>
    <row r="72" spans="1:18">
      <c r="A72">
        <v>70</v>
      </c>
      <c r="C72">
        <v>2151</v>
      </c>
      <c r="D72">
        <v>3532</v>
      </c>
      <c r="E72">
        <v>1336</v>
      </c>
      <c r="F72">
        <v>1246</v>
      </c>
      <c r="G72">
        <v>1444</v>
      </c>
      <c r="H72">
        <v>1057</v>
      </c>
      <c r="J72" s="1"/>
      <c r="K72">
        <f t="shared" si="1"/>
        <v>0.15776774898770865</v>
      </c>
      <c r="L72">
        <f>LOG10(E72/C72)-LOG10(37995/47667)</f>
        <v>-0.10834258133503544</v>
      </c>
      <c r="M72">
        <f>LOG10(F72/C72)-LOG10(35167/47667)</f>
        <v>-0.10503986973509527</v>
      </c>
      <c r="N72">
        <f>LOG10(G72/C72)-LOG10(34734/47667)</f>
        <v>-3.5610197345159939E-2</v>
      </c>
      <c r="O72">
        <f>LOG10(H72/C72)-LOG10(33378/47667)</f>
        <v>-0.15380791364537846</v>
      </c>
      <c r="Q72">
        <f>AVERAGE(K72:O72)</f>
        <v>-4.9006562614592089E-2</v>
      </c>
      <c r="R72">
        <f>STDEV(K72:O72)</f>
        <v>0.12306390244845251</v>
      </c>
    </row>
    <row r="73" spans="1:18">
      <c r="A73">
        <v>71</v>
      </c>
      <c r="C73">
        <v>1946</v>
      </c>
      <c r="D73">
        <v>1524</v>
      </c>
      <c r="E73">
        <v>5026</v>
      </c>
      <c r="F73">
        <v>1376</v>
      </c>
      <c r="G73">
        <v>1589</v>
      </c>
      <c r="H73">
        <v>1286</v>
      </c>
      <c r="J73" s="1"/>
      <c r="K73">
        <f t="shared" si="1"/>
        <v>-0.1637704044591112</v>
      </c>
      <c r="L73">
        <f>LOG10(E73/C73)-LOG10(37995/47667)</f>
        <v>0.51057101923712433</v>
      </c>
      <c r="M73">
        <f>LOG10(F73/C73)-LOG10(35167/47667)</f>
        <v>-1.8441903703624196E-2</v>
      </c>
      <c r="N73">
        <f>LOG10(G73/C73)-LOG10(34734/47667)</f>
        <v>4.9444081083728747E-2</v>
      </c>
      <c r="O73">
        <f>LOG10(H73/C73)-LOG10(33378/47667)</f>
        <v>-2.5144357909472004E-2</v>
      </c>
      <c r="Q73">
        <f>AVERAGE(K73:O73)</f>
        <v>7.0531686849729144E-2</v>
      </c>
      <c r="R73">
        <f>STDEV(K73:O73)</f>
        <v>0.25789870904742007</v>
      </c>
    </row>
    <row r="74" spans="1:18">
      <c r="A74">
        <v>72</v>
      </c>
      <c r="C74">
        <v>1320</v>
      </c>
      <c r="D74">
        <v>147</v>
      </c>
      <c r="E74">
        <v>170</v>
      </c>
      <c r="F74">
        <v>165</v>
      </c>
      <c r="G74">
        <v>204</v>
      </c>
      <c r="H74">
        <v>181</v>
      </c>
      <c r="J74" s="1"/>
      <c r="K74">
        <f t="shared" si="1"/>
        <v>-1.0108691319880336</v>
      </c>
      <c r="L74">
        <f>LOG10(E74/C74)-LOG10(37995/47667)</f>
        <v>-0.79163363891467564</v>
      </c>
      <c r="M74">
        <f>LOG10(F74/C74)-LOG10(35167/47667)</f>
        <v>-0.77100748866272706</v>
      </c>
      <c r="N74">
        <f>LOG10(G74/C74)-LOG10(34734/47667)</f>
        <v>-0.67348074397126889</v>
      </c>
      <c r="O74">
        <f>LOG10(H74/C74)-LOG10(33378/47667)</f>
        <v>-0.70813784690200754</v>
      </c>
      <c r="Q74">
        <f>AVERAGE(K74:O74)</f>
        <v>-0.79102577008774255</v>
      </c>
      <c r="R74">
        <f>STDEV(K74:O74)</f>
        <v>0.13173785128249083</v>
      </c>
    </row>
    <row r="75" spans="1:18">
      <c r="A75">
        <v>73</v>
      </c>
      <c r="C75">
        <v>812</v>
      </c>
      <c r="D75">
        <v>1997</v>
      </c>
      <c r="E75">
        <v>880</v>
      </c>
      <c r="F75">
        <v>1339</v>
      </c>
      <c r="G75">
        <v>1260</v>
      </c>
      <c r="H75">
        <v>1358</v>
      </c>
      <c r="J75" s="1"/>
      <c r="K75">
        <f t="shared" si="1"/>
        <v>0.3332095000991675</v>
      </c>
      <c r="L75">
        <f>LOG10(E75/C75)-LOG10(37995/47667)</f>
        <v>0.13341801382189356</v>
      </c>
      <c r="M75">
        <f>LOG10(F75/C75)-LOG10(35167/47667)</f>
        <v>0.34930704610005014</v>
      </c>
      <c r="N75">
        <f>LOG10(G75/C75)-LOG10(34734/47667)</f>
        <v>0.3282775356850699</v>
      </c>
      <c r="O75">
        <f>LOG10(H75/C75)-LOG10(33378/47667)</f>
        <v>0.37810125013796536</v>
      </c>
      <c r="Q75">
        <f>AVERAGE(K75:O75)</f>
        <v>0.30446266916882936</v>
      </c>
      <c r="R75">
        <f>STDEV(K75:O75)</f>
        <v>9.7574921250254104E-2</v>
      </c>
    </row>
    <row r="76" spans="1:18">
      <c r="A76">
        <v>74</v>
      </c>
      <c r="C76">
        <v>925</v>
      </c>
      <c r="D76">
        <v>2229</v>
      </c>
      <c r="E76">
        <v>1314</v>
      </c>
      <c r="F76">
        <v>1490</v>
      </c>
      <c r="G76">
        <v>3684</v>
      </c>
      <c r="H76">
        <v>1600</v>
      </c>
      <c r="J76" s="1"/>
      <c r="K76">
        <f t="shared" si="1"/>
        <v>0.32435580021084531</v>
      </c>
      <c r="L76">
        <f>LOG10(E76/C76)-LOG10(37995/47667)</f>
        <v>0.2509450033976296</v>
      </c>
      <c r="M76">
        <f>LOG10(F76/C76)-LOG10(35167/47667)</f>
        <v>0.33912703400245792</v>
      </c>
      <c r="N76">
        <f>LOG10(G76/C76)-LOG10(34734/47667)</f>
        <v>0.73764090859446096</v>
      </c>
      <c r="O76">
        <f>LOG10(H76/C76)-LOG10(33378/47667)</f>
        <v>0.39273575935155003</v>
      </c>
      <c r="Q76">
        <f>AVERAGE(K76:O76)</f>
        <v>0.40896090111138877</v>
      </c>
      <c r="R76">
        <f>STDEV(K76:O76)</f>
        <v>0.19058962364742163</v>
      </c>
    </row>
    <row r="77" spans="1:18">
      <c r="A77">
        <v>75</v>
      </c>
      <c r="C77">
        <v>2661</v>
      </c>
      <c r="D77">
        <v>10734</v>
      </c>
      <c r="E77">
        <v>5384</v>
      </c>
      <c r="F77">
        <v>16123</v>
      </c>
      <c r="G77">
        <v>36667</v>
      </c>
      <c r="H77">
        <v>2874</v>
      </c>
      <c r="J77" s="1"/>
      <c r="K77">
        <f t="shared" si="1"/>
        <v>0.54810418086926804</v>
      </c>
      <c r="L77">
        <f>LOG10(E77/C77)-LOG10(37995/47667)</f>
        <v>0.40455154757743184</v>
      </c>
      <c r="M77">
        <f>LOG10(F77/C77)-LOG10(35167/47667)</f>
        <v>0.91448347776207917</v>
      </c>
      <c r="N77">
        <f>LOG10(G77/C77)-LOG10(34734/47667)</f>
        <v>1.2766935238095638</v>
      </c>
      <c r="O77">
        <f>LOG10(H77/C77)-LOG10(33378/47667)</f>
        <v>0.18819939868147581</v>
      </c>
      <c r="Q77">
        <f>AVERAGE(K77:O77)</f>
        <v>0.66640642573996378</v>
      </c>
      <c r="R77">
        <f>STDEV(K77:O77)</f>
        <v>0.4316358201358162</v>
      </c>
    </row>
    <row r="78" spans="1:18">
      <c r="A78">
        <v>76</v>
      </c>
      <c r="C78">
        <v>2143</v>
      </c>
      <c r="D78">
        <v>1271</v>
      </c>
      <c r="E78">
        <v>1711</v>
      </c>
      <c r="F78">
        <v>805</v>
      </c>
      <c r="G78">
        <v>849</v>
      </c>
      <c r="H78">
        <v>977</v>
      </c>
      <c r="J78" s="1"/>
      <c r="K78">
        <f t="shared" si="1"/>
        <v>-0.28448915601818031</v>
      </c>
      <c r="L78">
        <f>LOG10(E78/C78)-LOG10(37995/47667)</f>
        <v>7.1920941217185064E-4</v>
      </c>
      <c r="M78">
        <f>LOG10(F78/C78)-LOG10(35167/47667)</f>
        <v>-0.29314379234474375</v>
      </c>
      <c r="N78">
        <f>LOG10(G78/C78)-LOG10(34734/47667)</f>
        <v>-0.26465146098919368</v>
      </c>
      <c r="O78">
        <f>LOG10(H78/C78)-LOG10(33378/47667)</f>
        <v>-0.18637009788839778</v>
      </c>
      <c r="Q78">
        <f>AVERAGE(K78:O78)</f>
        <v>-0.20558705956566872</v>
      </c>
      <c r="R78">
        <f>STDEV(K78:O78)</f>
        <v>0.12279240004040354</v>
      </c>
    </row>
    <row r="79" spans="1:18">
      <c r="A79">
        <v>77</v>
      </c>
      <c r="C79">
        <v>2894</v>
      </c>
      <c r="D79">
        <v>1444</v>
      </c>
      <c r="E79">
        <v>1331</v>
      </c>
      <c r="F79">
        <v>1456</v>
      </c>
      <c r="G79">
        <v>1897</v>
      </c>
      <c r="H79">
        <v>1601</v>
      </c>
      <c r="J79" s="1"/>
      <c r="K79">
        <f t="shared" si="1"/>
        <v>-0.3595438690797581</v>
      </c>
      <c r="L79">
        <f>LOG10(E79/C79)-LOG10(37995/47667)</f>
        <v>-0.23882910039544328</v>
      </c>
      <c r="M79">
        <f>LOG10(F79/C79)-LOG10(35167/47667)</f>
        <v>-0.16625465347678378</v>
      </c>
      <c r="N79">
        <f>LOG10(G79/C79)-LOG10(34734/47667)</f>
        <v>-4.5968176085673801E-2</v>
      </c>
      <c r="O79">
        <f>LOG10(H79/C79)-LOG10(33378/47667)</f>
        <v>-0.10234968542906117</v>
      </c>
      <c r="Q79">
        <f>AVERAGE(K79:O79)</f>
        <v>-0.18258909689334404</v>
      </c>
      <c r="R79">
        <f>STDEV(K79:O79)</f>
        <v>0.12231760154374842</v>
      </c>
    </row>
    <row r="80" spans="1:18">
      <c r="A80">
        <v>78</v>
      </c>
      <c r="C80">
        <v>2047</v>
      </c>
      <c r="D80">
        <v>3307</v>
      </c>
      <c r="E80">
        <v>5703</v>
      </c>
      <c r="F80">
        <v>3166</v>
      </c>
      <c r="G80">
        <v>3612</v>
      </c>
      <c r="H80">
        <v>10658</v>
      </c>
      <c r="J80" s="1"/>
      <c r="K80">
        <f t="shared" si="1"/>
        <v>0.15070381672083746</v>
      </c>
      <c r="L80">
        <f>LOG10(E80/C80)-LOG10(37995/47667)</f>
        <v>0.54347689983550018</v>
      </c>
      <c r="M80">
        <f>LOG10(F80/C80)-LOG10(35167/47667)</f>
        <v>0.3214755661930479</v>
      </c>
      <c r="N80">
        <f>LOG10(G80/C80)-LOG10(34734/47667)</f>
        <v>0.38409291878764484</v>
      </c>
      <c r="O80">
        <f>LOG10(H80/C80)-LOG10(33378/47667)</f>
        <v>0.87131538267704511</v>
      </c>
      <c r="Q80">
        <f>AVERAGE(K80:O80)</f>
        <v>0.45421291684281517</v>
      </c>
      <c r="R80">
        <f>STDEV(K80:O80)</f>
        <v>0.27230328583508784</v>
      </c>
    </row>
    <row r="81" spans="1:18">
      <c r="A81">
        <v>79</v>
      </c>
      <c r="C81">
        <v>3925</v>
      </c>
      <c r="D81">
        <v>4591</v>
      </c>
      <c r="E81">
        <v>5350</v>
      </c>
      <c r="F81">
        <v>4083</v>
      </c>
      <c r="G81">
        <v>10573</v>
      </c>
      <c r="H81">
        <v>4895</v>
      </c>
      <c r="J81" s="1"/>
      <c r="K81">
        <f t="shared" si="1"/>
        <v>1.0455096154389727E-2</v>
      </c>
      <c r="L81">
        <f>LOG10(E81/C81)-LOG10(37995/47667)</f>
        <v>0.23300549185285732</v>
      </c>
      <c r="M81">
        <f>LOG10(F81/C81)-LOG10(35167/47667)</f>
        <v>0.14922221717094222</v>
      </c>
      <c r="N81">
        <f>LOG10(G81/C81)-LOG10(34734/47667)</f>
        <v>0.56782159093427942</v>
      </c>
      <c r="O81">
        <f>LOG10(H81/C81)-LOG10(33378/47667)</f>
        <v>0.25067054449254306</v>
      </c>
      <c r="Q81">
        <f>AVERAGE(K81:O81)</f>
        <v>0.24223498812100233</v>
      </c>
      <c r="R81">
        <f>STDEV(K81:O81)</f>
        <v>0.20526584714950444</v>
      </c>
    </row>
    <row r="82" spans="1:18">
      <c r="A82">
        <v>80</v>
      </c>
      <c r="C82">
        <v>1345</v>
      </c>
      <c r="D82">
        <v>534</v>
      </c>
      <c r="E82">
        <v>750</v>
      </c>
      <c r="F82">
        <v>364</v>
      </c>
      <c r="G82">
        <v>642</v>
      </c>
      <c r="H82">
        <v>491</v>
      </c>
      <c r="J82" s="1"/>
      <c r="K82">
        <f t="shared" si="1"/>
        <v>-0.45879356284023015</v>
      </c>
      <c r="L82">
        <f>LOG10(E82/C82)-LOG10(37995/47667)</f>
        <v>-0.15516965003382646</v>
      </c>
      <c r="M82">
        <f>LOG10(F82/C82)-LOG10(35167/47667)</f>
        <v>-0.43553840236015429</v>
      </c>
      <c r="N82">
        <f>LOG10(G82/C82)-LOG10(34734/47667)</f>
        <v>-0.18372423646089123</v>
      </c>
      <c r="O82">
        <f>LOG10(H82/C82)-LOG10(33378/47667)</f>
        <v>-0.28288328278080055</v>
      </c>
      <c r="Q82">
        <f>AVERAGE(K82:O82)</f>
        <v>-0.30322182689518057</v>
      </c>
      <c r="R82">
        <f>STDEV(K82:O82)</f>
        <v>0.13993124984917921</v>
      </c>
    </row>
    <row r="83" spans="1:18">
      <c r="A83">
        <v>81</v>
      </c>
      <c r="C83">
        <v>2344</v>
      </c>
      <c r="D83">
        <v>3134</v>
      </c>
      <c r="E83">
        <v>7354</v>
      </c>
      <c r="F83">
        <v>3139</v>
      </c>
      <c r="G83">
        <v>6262</v>
      </c>
      <c r="H83">
        <v>5094</v>
      </c>
      <c r="J83" s="1"/>
      <c r="K83">
        <f t="shared" si="1"/>
        <v>6.8528849256158569E-2</v>
      </c>
      <c r="L83">
        <f>LOG10(E83/C83)-LOG10(37995/47667)</f>
        <v>0.59505738909969075</v>
      </c>
      <c r="M83">
        <f>LOG10(F83/C83)-LOG10(35167/47667)</f>
        <v>0.25891620668320581</v>
      </c>
      <c r="N83">
        <f>LOG10(G83/C83)-LOG10(34734/47667)</f>
        <v>0.56421847574352568</v>
      </c>
      <c r="O83">
        <f>LOG10(H83/C83)-LOG10(33378/47667)</f>
        <v>0.49185884271620106</v>
      </c>
      <c r="Q83">
        <f>AVERAGE(K83:O83)</f>
        <v>0.39571595269975635</v>
      </c>
      <c r="R83">
        <f>STDEV(K83:O83)</f>
        <v>0.22535479527226818</v>
      </c>
    </row>
    <row r="84" spans="1:18">
      <c r="A84">
        <v>82</v>
      </c>
      <c r="C84">
        <v>2065</v>
      </c>
      <c r="D84">
        <v>4042</v>
      </c>
      <c r="E84">
        <v>4770</v>
      </c>
      <c r="F84">
        <v>4503</v>
      </c>
      <c r="G84">
        <v>3312</v>
      </c>
      <c r="H84">
        <v>3690</v>
      </c>
      <c r="J84" s="1"/>
      <c r="K84">
        <f t="shared" si="1"/>
        <v>0.2340637176565056</v>
      </c>
      <c r="L84">
        <f>LOG10(E84/C84)-LOG10(37995/47667)</f>
        <v>0.46208969396059441</v>
      </c>
      <c r="M84">
        <f>LOG10(F84/C84)-LOG10(35167/47667)</f>
        <v>0.47066438929972942</v>
      </c>
      <c r="N84">
        <f>LOG10(G84/C84)-LOG10(34734/47667)</f>
        <v>0.34263329192910497</v>
      </c>
      <c r="O84">
        <f>LOG10(H84/C84)-LOG10(33378/47667)</f>
        <v>0.40686381960129836</v>
      </c>
      <c r="Q84">
        <f>AVERAGE(K84:O84)</f>
        <v>0.38326298248944657</v>
      </c>
      <c r="R84">
        <f>STDEV(K84:O84)</f>
        <v>9.7878557723169793E-2</v>
      </c>
    </row>
    <row r="85" spans="1:18">
      <c r="A85">
        <v>83</v>
      </c>
      <c r="C85">
        <v>4872</v>
      </c>
      <c r="D85">
        <v>7308</v>
      </c>
      <c r="E85">
        <v>9625</v>
      </c>
      <c r="F85">
        <v>4551</v>
      </c>
      <c r="G85">
        <v>5745</v>
      </c>
      <c r="H85">
        <v>4947</v>
      </c>
      <c r="J85" s="1"/>
      <c r="K85">
        <f t="shared" si="1"/>
        <v>0.11847872352532149</v>
      </c>
      <c r="L85">
        <f>LOG10(E85/C85)-LOG10(37995/47667)</f>
        <v>0.39418482946861966</v>
      </c>
      <c r="M85">
        <f>LOG10(F85/C85)-LOG10(35167/47667)</f>
        <v>0.10248205421079046</v>
      </c>
      <c r="N85">
        <f>LOG10(G85/C85)-LOG10(34734/47667)</f>
        <v>0.20904577320816733</v>
      </c>
      <c r="O85">
        <f>LOG10(H85/C85)-LOG10(33378/47667)</f>
        <v>0.16139214017402012</v>
      </c>
      <c r="Q85">
        <f>AVERAGE(K85:O85)</f>
        <v>0.19711670411738383</v>
      </c>
      <c r="R85">
        <f>STDEV(K85:O85)</f>
        <v>0.11767969466130045</v>
      </c>
    </row>
    <row r="86" spans="1:18">
      <c r="A86">
        <v>84</v>
      </c>
      <c r="C86">
        <v>2114</v>
      </c>
      <c r="D86">
        <v>495</v>
      </c>
      <c r="E86">
        <v>699</v>
      </c>
      <c r="F86">
        <v>685</v>
      </c>
      <c r="G86">
        <v>819</v>
      </c>
      <c r="H86">
        <v>500</v>
      </c>
      <c r="J86" s="1"/>
      <c r="K86">
        <f t="shared" si="1"/>
        <v>-0.68811231956819841</v>
      </c>
      <c r="L86">
        <f>LOG10(E86/C86)-LOG10(37995/47667)</f>
        <v>-0.38213643631282579</v>
      </c>
      <c r="M86">
        <f>LOG10(F86/C86)-LOG10(35167/47667)</f>
        <v>-0.35733191314976542</v>
      </c>
      <c r="N86">
        <f>LOG10(G86/C86)-LOG10(34734/47667)</f>
        <v>-0.27435806140230679</v>
      </c>
      <c r="O86">
        <f>LOG10(H86/C86)-LOG10(33378/47667)</f>
        <v>-0.47137746920073087</v>
      </c>
      <c r="Q86">
        <f>AVERAGE(K86:O86)</f>
        <v>-0.43466323992676548</v>
      </c>
      <c r="R86">
        <f>STDEV(K86:O86)</f>
        <v>0.15813073709988973</v>
      </c>
    </row>
    <row r="87" spans="1:18">
      <c r="A87">
        <v>85</v>
      </c>
      <c r="C87">
        <v>3098</v>
      </c>
      <c r="D87">
        <v>5121</v>
      </c>
      <c r="E87">
        <v>7278</v>
      </c>
      <c r="F87">
        <v>3391</v>
      </c>
      <c r="G87">
        <v>4013</v>
      </c>
      <c r="H87">
        <v>4357</v>
      </c>
      <c r="J87" s="1"/>
      <c r="K87">
        <f t="shared" si="1"/>
        <v>0.16066082688084909</v>
      </c>
      <c r="L87">
        <f>LOG10(E87/C87)-LOG10(37995/47667)</f>
        <v>0.46942200873992967</v>
      </c>
      <c r="M87">
        <f>LOG10(F87/C87)-LOG10(35167/47667)</f>
        <v>0.17132887468411559</v>
      </c>
      <c r="N87">
        <f>LOG10(G87/C87)-LOG10(34734/47667)</f>
        <v>0.24985076611933385</v>
      </c>
      <c r="O87">
        <f>LOG10(H87/C87)-LOG10(33378/47667)</f>
        <v>0.30286365594722453</v>
      </c>
      <c r="Q87">
        <f>AVERAGE(K87:O87)</f>
        <v>0.27082522647429058</v>
      </c>
      <c r="R87">
        <f>STDEV(K87:O87)</f>
        <v>0.12544200834835706</v>
      </c>
    </row>
    <row r="88" spans="1:18">
      <c r="A88">
        <v>86</v>
      </c>
      <c r="C88">
        <v>1264</v>
      </c>
      <c r="D88">
        <v>992</v>
      </c>
      <c r="E88">
        <v>403</v>
      </c>
      <c r="F88">
        <v>517</v>
      </c>
      <c r="G88">
        <v>492</v>
      </c>
      <c r="H88">
        <v>382</v>
      </c>
      <c r="J88" s="1"/>
      <c r="K88">
        <f t="shared" si="1"/>
        <v>-0.16284793732254732</v>
      </c>
      <c r="L88">
        <f>LOG10(E88/C88)-LOG10(37995/47667)</f>
        <v>-0.39795065689235654</v>
      </c>
      <c r="M88">
        <f>LOG10(F88/C88)-LOG10(35167/47667)</f>
        <v>-0.25617403252320725</v>
      </c>
      <c r="N88">
        <f>LOG10(G88/C88)-LOG10(34734/47667)</f>
        <v>-0.27231895137032358</v>
      </c>
      <c r="O88">
        <f>LOG10(H88/C88)-LOG10(33378/47667)</f>
        <v>-0.36492620159999967</v>
      </c>
      <c r="Q88">
        <f>AVERAGE(K88:O88)</f>
        <v>-0.29084355594168687</v>
      </c>
      <c r="R88">
        <f>STDEV(K88:O88)</f>
        <v>9.3391895628151506E-2</v>
      </c>
    </row>
    <row r="89" spans="1:18">
      <c r="A89">
        <v>87</v>
      </c>
      <c r="C89">
        <v>3638</v>
      </c>
      <c r="D89">
        <v>3890</v>
      </c>
      <c r="E89">
        <v>2367</v>
      </c>
      <c r="F89">
        <v>3598</v>
      </c>
      <c r="G89">
        <v>2624</v>
      </c>
      <c r="H89">
        <v>3056</v>
      </c>
      <c r="J89" s="1"/>
      <c r="K89">
        <f t="shared" si="1"/>
        <v>-2.8525628932116787E-2</v>
      </c>
      <c r="L89">
        <f>LOG10(E89/C89)-LOG10(37995/47667)</f>
        <v>-8.8173065885481766E-2</v>
      </c>
      <c r="M89">
        <f>LOG10(F89/C89)-LOG10(35167/47667)</f>
        <v>0.12728096261128424</v>
      </c>
      <c r="N89">
        <f>LOG10(G89/C89)-LOG10(34734/47667)</f>
        <v>-4.4358442151598287E-3</v>
      </c>
      <c r="O89">
        <f>LOG10(H89/C89)-LOG10(33378/47667)</f>
        <v>7.9048164610845351E-2</v>
      </c>
      <c r="Q89">
        <f>AVERAGE(K89:O89)</f>
        <v>1.7038917637874244E-2</v>
      </c>
      <c r="R89">
        <f>STDEV(K89:O89)</f>
        <v>8.6030968214600823E-2</v>
      </c>
    </row>
    <row r="90" spans="1:18">
      <c r="A90">
        <v>88</v>
      </c>
      <c r="C90">
        <v>1019</v>
      </c>
      <c r="D90">
        <v>1472</v>
      </c>
      <c r="E90">
        <v>1248</v>
      </c>
      <c r="F90">
        <v>1725</v>
      </c>
      <c r="G90">
        <v>1448</v>
      </c>
      <c r="H90">
        <v>2014</v>
      </c>
      <c r="J90" s="1"/>
      <c r="K90">
        <f t="shared" si="1"/>
        <v>0.10212109046469392</v>
      </c>
      <c r="L90">
        <f>LOG10(E90/C90)-LOG10(37995/47667)</f>
        <v>0.18653177225287904</v>
      </c>
      <c r="M90">
        <f>LOG10(F90/C90)-LOG10(35167/47667)</f>
        <v>0.36069741373208297</v>
      </c>
      <c r="N90">
        <f>LOG10(G90/C90)-LOG10(34734/47667)</f>
        <v>0.29005739766338401</v>
      </c>
      <c r="O90">
        <f>LOG10(H90/C90)-LOG10(33378/47667)</f>
        <v>0.45064279164583065</v>
      </c>
      <c r="Q90">
        <f>AVERAGE(K90:O90)</f>
        <v>0.27801009315177411</v>
      </c>
      <c r="R90">
        <f>STDEV(K90:O90)</f>
        <v>0.13792172017200832</v>
      </c>
    </row>
    <row r="91" spans="1:18">
      <c r="A91">
        <v>89</v>
      </c>
      <c r="C91">
        <v>889</v>
      </c>
      <c r="D91">
        <v>435</v>
      </c>
      <c r="E91">
        <v>447</v>
      </c>
      <c r="F91">
        <v>356</v>
      </c>
      <c r="G91">
        <v>368</v>
      </c>
      <c r="H91">
        <v>455</v>
      </c>
      <c r="J91" s="1"/>
      <c r="K91">
        <f t="shared" si="1"/>
        <v>-0.36802503954593613</v>
      </c>
      <c r="L91">
        <f>LOG10(E91/C91)-LOG10(37995/47667)</f>
        <v>-0.20010286692537696</v>
      </c>
      <c r="M91">
        <f>LOG10(F91/C91)-LOG10(35167/47667)</f>
        <v>-0.26536926466812205</v>
      </c>
      <c r="N91">
        <f>LOG10(G91/C91)-LOG10(34734/47667)</f>
        <v>-0.2455909224880137</v>
      </c>
      <c r="O91">
        <f>LOG10(H91/C91)-LOG10(33378/47667)</f>
        <v>-0.13613285487844354</v>
      </c>
      <c r="Q91">
        <f>AVERAGE(K91:O91)</f>
        <v>-0.24304418970117844</v>
      </c>
      <c r="R91">
        <f>STDEV(K91:O91)</f>
        <v>8.5730826374472296E-2</v>
      </c>
    </row>
    <row r="92" spans="1:18">
      <c r="A92">
        <v>90</v>
      </c>
      <c r="C92">
        <v>1724</v>
      </c>
      <c r="D92">
        <v>1192</v>
      </c>
      <c r="E92">
        <v>8046</v>
      </c>
      <c r="F92">
        <v>1424</v>
      </c>
      <c r="G92">
        <v>1465</v>
      </c>
      <c r="H92">
        <v>1989</v>
      </c>
      <c r="J92" s="1"/>
      <c r="K92">
        <f t="shared" si="1"/>
        <v>-0.21787354161483613</v>
      </c>
      <c r="L92">
        <f>LOG10(E92/C92)-LOG10(37995/47667)</f>
        <v>0.76753413765944878</v>
      </c>
      <c r="M92">
        <f>LOG10(F92/C92)-LOG10(35167/47667)</f>
        <v>4.9055226141360042E-2</v>
      </c>
      <c r="N92">
        <f>LOG10(G92/C92)-LOG10(34734/47667)</f>
        <v>6.6763383010116542E-2</v>
      </c>
      <c r="O92">
        <f>LOG10(H92/C92)-LOG10(33378/47667)</f>
        <v>0.21685503107039941</v>
      </c>
      <c r="Q92">
        <f>AVERAGE(K92:O92)</f>
        <v>0.1764668472532977</v>
      </c>
      <c r="R92">
        <f>STDEV(K92:O92)</f>
        <v>0.3656380248053091</v>
      </c>
    </row>
    <row r="93" spans="1:18">
      <c r="A93">
        <v>91</v>
      </c>
      <c r="C93">
        <v>2064</v>
      </c>
      <c r="D93">
        <v>4900</v>
      </c>
      <c r="E93">
        <v>1866</v>
      </c>
      <c r="F93">
        <v>2038</v>
      </c>
      <c r="G93">
        <v>1665</v>
      </c>
      <c r="H93">
        <v>5598</v>
      </c>
      <c r="J93" s="1"/>
      <c r="K93">
        <f t="shared" si="1"/>
        <v>0.3178738515429802</v>
      </c>
      <c r="L93">
        <f>LOG10(E93/C93)-LOG10(37995/47667)</f>
        <v>5.4693317368207671E-2</v>
      </c>
      <c r="M93">
        <f>LOG10(F93/C93)-LOG10(35167/47667)</f>
        <v>0.12657698504445028</v>
      </c>
      <c r="N93">
        <f>LOG10(G93/C93)-LOG10(34734/47667)</f>
        <v>4.4167564695847206E-2</v>
      </c>
      <c r="O93">
        <f>LOG10(H93/C93)-LOG10(33378/47667)</f>
        <v>0.58808071060962763</v>
      </c>
      <c r="Q93">
        <f>AVERAGE(K93:O93)</f>
        <v>0.22627848585222257</v>
      </c>
      <c r="R93">
        <f>STDEV(K93:O93)</f>
        <v>0.23012866388548009</v>
      </c>
    </row>
    <row r="94" spans="1:18">
      <c r="A94">
        <v>92</v>
      </c>
      <c r="C94">
        <v>1546</v>
      </c>
      <c r="D94">
        <v>1447</v>
      </c>
      <c r="E94">
        <v>1734</v>
      </c>
      <c r="F94">
        <v>581</v>
      </c>
      <c r="G94">
        <v>784</v>
      </c>
      <c r="H94">
        <v>734</v>
      </c>
      <c r="J94" s="1"/>
      <c r="K94">
        <f t="shared" si="1"/>
        <v>-8.6353493993628377E-2</v>
      </c>
      <c r="L94">
        <f>LOG10(E94/C94)-LOG10(37995/47667)</f>
        <v>0.14833097447078566</v>
      </c>
      <c r="M94">
        <f>LOG10(F94/C94)-LOG10(35167/47667)</f>
        <v>-0.29295085886275896</v>
      </c>
      <c r="N94">
        <f>LOG10(G94/C94)-LOG10(34734/47667)</f>
        <v>-0.1574304070891854</v>
      </c>
      <c r="O94">
        <f>LOG10(H94/C94)-LOG10(33378/47667)</f>
        <v>-0.16875592023157779</v>
      </c>
      <c r="Q94">
        <f>AVERAGE(K94:O94)</f>
        <v>-0.11143194114127297</v>
      </c>
      <c r="R94">
        <f>STDEV(K94:O94)</f>
        <v>0.16313852685501765</v>
      </c>
    </row>
    <row r="95" spans="1:18">
      <c r="A95">
        <v>93</v>
      </c>
      <c r="C95">
        <v>1997</v>
      </c>
      <c r="D95">
        <v>2164</v>
      </c>
      <c r="E95">
        <v>4429</v>
      </c>
      <c r="F95">
        <v>3560</v>
      </c>
      <c r="G95">
        <v>3903</v>
      </c>
      <c r="H95">
        <v>4203</v>
      </c>
      <c r="J95" s="1"/>
      <c r="K95">
        <f t="shared" si="1"/>
        <v>-2.2733343966530484E-2</v>
      </c>
      <c r="L95">
        <f>LOG10(E95/C95)-LOG10(37995/47667)</f>
        <v>0.44441898632695642</v>
      </c>
      <c r="M95">
        <f>LOG10(F95/C95)-LOG10(35167/47667)</f>
        <v>0.38315443143138905</v>
      </c>
      <c r="N95">
        <f>LOG10(G95/C95)-LOG10(34734/47667)</f>
        <v>0.42848350621922837</v>
      </c>
      <c r="O95">
        <f>LOG10(H95/C95)-LOG10(33378/47667)</f>
        <v>0.47793883456939223</v>
      </c>
      <c r="Q95">
        <f>AVERAGE(K95:O95)</f>
        <v>0.34225248291608712</v>
      </c>
      <c r="R95">
        <f>STDEV(K95:O95)</f>
        <v>0.20686480672267027</v>
      </c>
    </row>
    <row r="96" spans="1:18">
      <c r="A96">
        <v>94</v>
      </c>
      <c r="C96">
        <v>4099</v>
      </c>
      <c r="D96">
        <v>3438</v>
      </c>
      <c r="E96">
        <v>6073</v>
      </c>
      <c r="F96">
        <v>5020</v>
      </c>
      <c r="G96">
        <v>5166</v>
      </c>
      <c r="H96">
        <v>3987</v>
      </c>
      <c r="J96" s="1"/>
      <c r="K96">
        <f t="shared" si="1"/>
        <v>-0.1339845814958279</v>
      </c>
      <c r="L96">
        <f>LOG10(E96/C96)-LOG10(37995/47667)</f>
        <v>0.26921673371896193</v>
      </c>
      <c r="M96">
        <f>LOG10(F96/C96)-LOG10(35167/47667)</f>
        <v>0.220108297157734</v>
      </c>
      <c r="N96">
        <f>LOG10(G96/C96)-LOG10(34734/47667)</f>
        <v>0.23793950332947889</v>
      </c>
      <c r="O96">
        <f>LOG10(H96/C96)-LOG10(33378/47667)</f>
        <v>0.14272582678055049</v>
      </c>
      <c r="Q96">
        <f>AVERAGE(K96:O96)</f>
        <v>0.14720115589817948</v>
      </c>
      <c r="R96">
        <f>STDEV(K96:O96)</f>
        <v>0.16395284966772158</v>
      </c>
    </row>
    <row r="97" spans="1:18">
      <c r="A97">
        <v>95</v>
      </c>
      <c r="C97">
        <v>3267</v>
      </c>
      <c r="D97">
        <v>7485</v>
      </c>
      <c r="E97">
        <v>3133</v>
      </c>
      <c r="F97">
        <v>6077</v>
      </c>
      <c r="G97">
        <v>3906</v>
      </c>
      <c r="H97">
        <v>3215</v>
      </c>
      <c r="J97" s="1"/>
      <c r="K97">
        <f t="shared" si="1"/>
        <v>0.30243013467327395</v>
      </c>
      <c r="L97">
        <f>LOG10(E97/C97)-LOG10(37995/47667)</f>
        <v>8.0302631319168011E-2</v>
      </c>
      <c r="M97">
        <f>LOG10(F97/C97)-LOG10(35167/47667)</f>
        <v>0.40162260020109541</v>
      </c>
      <c r="N97">
        <f>LOG10(G97/C97)-LOG10(34734/47667)</f>
        <v>0.21504612428508049</v>
      </c>
      <c r="O97">
        <f>LOG10(H97/C97)-LOG10(33378/47667)</f>
        <v>0.1477893522194613</v>
      </c>
      <c r="Q97">
        <f>AVERAGE(K97:O97)</f>
        <v>0.22943816853961585</v>
      </c>
      <c r="R97">
        <f>STDEV(K97:O97)</f>
        <v>0.12658038378139613</v>
      </c>
    </row>
    <row r="98" spans="1:18">
      <c r="A98">
        <v>96</v>
      </c>
      <c r="C98">
        <v>3032</v>
      </c>
      <c r="D98">
        <v>1232</v>
      </c>
      <c r="E98">
        <v>1952</v>
      </c>
      <c r="F98">
        <v>1207</v>
      </c>
      <c r="G98">
        <v>1808</v>
      </c>
      <c r="H98">
        <v>1171</v>
      </c>
      <c r="J98" s="1"/>
      <c r="K98">
        <f t="shared" si="1"/>
        <v>-0.44873102466196901</v>
      </c>
      <c r="L98">
        <f>LOG10(E98/C98)-LOG10(37995/47667)</f>
        <v>-9.2758012716442684E-2</v>
      </c>
      <c r="M98">
        <f>LOG10(F98/C98)-LOG10(35167/47667)</f>
        <v>-0.26793942853345021</v>
      </c>
      <c r="N98">
        <f>LOG10(G98/C98)-LOG10(34734/47667)</f>
        <v>-8.7067751011989158E-2</v>
      </c>
      <c r="O98">
        <f>LOG10(H98/C98)-LOG10(33378/47667)</f>
        <v>-0.25841479245299492</v>
      </c>
      <c r="Q98">
        <f>AVERAGE(K98:O98)</f>
        <v>-0.23098220187536919</v>
      </c>
      <c r="R98">
        <f>STDEV(K98:O98)</f>
        <v>0.14945754337683778</v>
      </c>
    </row>
    <row r="99" spans="1:18">
      <c r="A99">
        <v>97</v>
      </c>
      <c r="C99">
        <v>1640</v>
      </c>
      <c r="D99">
        <v>1844</v>
      </c>
      <c r="E99">
        <v>4275</v>
      </c>
      <c r="F99">
        <v>1905</v>
      </c>
      <c r="G99">
        <v>1837</v>
      </c>
      <c r="H99">
        <v>2274</v>
      </c>
      <c r="J99" s="1"/>
      <c r="K99">
        <f t="shared" si="1"/>
        <v>-6.6954668604470649E-3</v>
      </c>
      <c r="L99">
        <f>LOG10(E99/C99)-LOG10(37995/47667)</f>
        <v>0.51458364192939388</v>
      </c>
      <c r="M99">
        <f>LOG10(F99/C99)-LOG10(35167/47667)</f>
        <v>0.19713363029315667</v>
      </c>
      <c r="N99">
        <f>LOG10(G99/C99)-LOG10(34734/47667)</f>
        <v>0.18672832806679271</v>
      </c>
      <c r="O99">
        <f>LOG10(H99/C99)-LOG10(33378/47667)</f>
        <v>0.29670412173867589</v>
      </c>
      <c r="Q99">
        <f>AVERAGE(K99:O99)</f>
        <v>0.23769085103351442</v>
      </c>
      <c r="R99">
        <f>STDEV(K99:O99)</f>
        <v>0.18981499087566425</v>
      </c>
    </row>
    <row r="100" spans="1:18">
      <c r="A100">
        <v>98</v>
      </c>
      <c r="C100">
        <v>1235</v>
      </c>
      <c r="D100">
        <v>906</v>
      </c>
      <c r="E100">
        <v>883</v>
      </c>
      <c r="F100">
        <v>910</v>
      </c>
      <c r="G100">
        <v>1440</v>
      </c>
      <c r="H100">
        <v>993</v>
      </c>
      <c r="J100" s="1"/>
      <c r="K100">
        <f t="shared" si="1"/>
        <v>-0.19215129544923121</v>
      </c>
      <c r="L100">
        <f>LOG10(E100/C100)-LOG10(37995/47667)</f>
        <v>-4.7214883105215683E-2</v>
      </c>
      <c r="M100">
        <f>LOG10(F100/C100)-LOG10(35167/47667)</f>
        <v>-5.4306694537450961E-4</v>
      </c>
      <c r="N100">
        <f>LOG10(G100/C100)-LOG10(34734/47667)</f>
        <v>0.20415855430824736</v>
      </c>
      <c r="O100">
        <f>LOG10(H100/C100)-LOG10(33378/47667)</f>
        <v>6.0039800334354423E-2</v>
      </c>
      <c r="Q100">
        <f>AVERAGE(K100:O100)</f>
        <v>4.8578218285560779E-3</v>
      </c>
      <c r="R100">
        <f>STDEV(K100:O100)</f>
        <v>0.14518880914863655</v>
      </c>
    </row>
    <row r="101" spans="1:18">
      <c r="A101">
        <v>99</v>
      </c>
      <c r="C101">
        <v>910</v>
      </c>
      <c r="D101">
        <v>1658</v>
      </c>
      <c r="E101">
        <v>1530</v>
      </c>
      <c r="F101">
        <v>916</v>
      </c>
      <c r="G101">
        <v>1261</v>
      </c>
      <c r="H101">
        <v>973</v>
      </c>
      <c r="J101" s="1"/>
      <c r="K101">
        <f t="shared" si="1"/>
        <v>0.20293059836280139</v>
      </c>
      <c r="L101">
        <f>LOG10(E101/C101)-LOG10(37995/47667)</f>
        <v>0.32414140940940545</v>
      </c>
      <c r="M101">
        <f>LOG10(F101/C101)-LOG10(35167/47667)</f>
        <v>0.13493657967597322</v>
      </c>
      <c r="N101">
        <f>LOG10(G101/C101)-LOG10(34734/47667)</f>
        <v>0.27913671406067031</v>
      </c>
      <c r="O101">
        <f>LOG10(H101/C101)-LOG10(33378/47667)</f>
        <v>0.1838289573819161</v>
      </c>
      <c r="Q101">
        <f>AVERAGE(K101:O101)</f>
        <v>0.22499485177815332</v>
      </c>
      <c r="R101">
        <f>STDEV(K101:O101)</f>
        <v>7.5916624753402329E-2</v>
      </c>
    </row>
    <row r="102" spans="1:18">
      <c r="A102">
        <v>100</v>
      </c>
      <c r="C102">
        <v>1535</v>
      </c>
      <c r="D102">
        <v>14182</v>
      </c>
      <c r="E102">
        <v>9128</v>
      </c>
      <c r="F102">
        <v>4403</v>
      </c>
      <c r="G102">
        <v>5630</v>
      </c>
      <c r="H102">
        <v>5948</v>
      </c>
      <c r="J102" s="1"/>
      <c r="K102">
        <f t="shared" si="1"/>
        <v>0.90801656569495337</v>
      </c>
      <c r="L102">
        <f>LOG10(E102/C102)-LOG10(37995/47667)</f>
        <v>0.87275862250985325</v>
      </c>
      <c r="M102">
        <f>LOG10(F102/C102)-LOG10(35167/47667)</f>
        <v>0.58972280397553689</v>
      </c>
      <c r="N102">
        <f>LOG10(G102/C102)-LOG10(34734/47667)</f>
        <v>0.70186303484682322</v>
      </c>
      <c r="O102">
        <f>LOG10(H102/C102)-LOG10(33378/47667)</f>
        <v>0.74302008947136911</v>
      </c>
      <c r="Q102">
        <f>AVERAGE(K102:O102)</f>
        <v>0.76307622329970715</v>
      </c>
      <c r="R102">
        <f>STDEV(K102:O102)</f>
        <v>0.12965207526900163</v>
      </c>
    </row>
    <row r="103" spans="1:18">
      <c r="A103">
        <v>101</v>
      </c>
      <c r="C103">
        <v>2150</v>
      </c>
      <c r="D103">
        <v>2146</v>
      </c>
      <c r="E103">
        <v>3626</v>
      </c>
      <c r="F103">
        <v>3207</v>
      </c>
      <c r="G103">
        <v>2828</v>
      </c>
      <c r="H103">
        <v>2480</v>
      </c>
      <c r="J103" s="1"/>
      <c r="K103">
        <f t="shared" si="1"/>
        <v>-5.8421277816032784E-2</v>
      </c>
      <c r="L103">
        <f>LOG10(E103/C103)-LOG10(37995/47667)</f>
        <v>0.32548071075678475</v>
      </c>
      <c r="M103">
        <f>LOG10(F103/C103)-LOG10(35167/47667)</f>
        <v>0.30574299834205154</v>
      </c>
      <c r="N103">
        <f>LOG10(G103/C103)-LOG10(34734/47667)</f>
        <v>0.25650396501793871</v>
      </c>
      <c r="O103">
        <f>LOG10(H103/C103)-LOG10(33378/47667)</f>
        <v>0.21677073034526878</v>
      </c>
      <c r="Q103">
        <f>AVERAGE(K103:O103)</f>
        <v>0.20921542532920218</v>
      </c>
      <c r="R103">
        <f>STDEV(K103:O103)</f>
        <v>0.15552964543579617</v>
      </c>
    </row>
    <row r="104" spans="1:18">
      <c r="A104">
        <v>102</v>
      </c>
      <c r="C104">
        <v>1911</v>
      </c>
      <c r="D104">
        <v>2186</v>
      </c>
      <c r="E104">
        <v>2483</v>
      </c>
      <c r="F104">
        <v>1840</v>
      </c>
      <c r="G104">
        <v>1763</v>
      </c>
      <c r="H104">
        <v>1903</v>
      </c>
      <c r="J104" s="1"/>
      <c r="K104">
        <f t="shared" si="1"/>
        <v>7.7693502831140127E-4</v>
      </c>
      <c r="L104">
        <f>LOG10(E104/C104)-LOG10(37995/47667)</f>
        <v>0.21220740341245173</v>
      </c>
      <c r="M104">
        <f>LOG10(F104/C104)-LOG10(35167/47667)</f>
        <v>0.11563963428374008</v>
      </c>
      <c r="N104">
        <f>LOG10(G104/C104)-LOG10(34734/47667)</f>
        <v>0.10245464505299143</v>
      </c>
      <c r="O104">
        <f>LOG10(H104/C104)-LOG10(33378/47667)</f>
        <v>0.15293561066666542</v>
      </c>
      <c r="Q104">
        <f>AVERAGE(K104:O104)</f>
        <v>0.11680284568883201</v>
      </c>
      <c r="R104">
        <f>STDEV(K104:O104)</f>
        <v>7.7583571402464482E-2</v>
      </c>
    </row>
    <row r="105" spans="1:18">
      <c r="A105">
        <v>103</v>
      </c>
      <c r="C105">
        <v>1888</v>
      </c>
      <c r="D105">
        <v>3905</v>
      </c>
      <c r="E105">
        <v>15395</v>
      </c>
      <c r="F105">
        <v>3710</v>
      </c>
      <c r="G105">
        <v>4993</v>
      </c>
      <c r="H105">
        <v>4492</v>
      </c>
      <c r="J105" s="1"/>
      <c r="K105">
        <f t="shared" si="1"/>
        <v>0.25800651272090919</v>
      </c>
      <c r="L105">
        <f>LOG10(E105/C105)-LOG10(37995/47667)</f>
        <v>1.0098690741900671</v>
      </c>
      <c r="M105">
        <f>LOG10(F105/C105)-LOG10(35167/47667)</f>
        <v>0.42545441798221217</v>
      </c>
      <c r="N105">
        <f>LOG10(G105/C105)-LOG10(34734/47667)</f>
        <v>0.55982259590174188</v>
      </c>
      <c r="O105">
        <f>LOG10(H105/C105)-LOG10(33378/47667)</f>
        <v>0.5311952670620278</v>
      </c>
      <c r="Q105">
        <f>AVERAGE(K105:O105)</f>
        <v>0.55686957357139166</v>
      </c>
      <c r="R105">
        <f>STDEV(K105:O105)</f>
        <v>0.27949307244359256</v>
      </c>
    </row>
    <row r="106" spans="1:18">
      <c r="A106">
        <v>104</v>
      </c>
      <c r="C106">
        <v>1583</v>
      </c>
      <c r="D106">
        <v>1465</v>
      </c>
      <c r="E106">
        <v>15944</v>
      </c>
      <c r="F106">
        <v>1912</v>
      </c>
      <c r="G106">
        <v>2037</v>
      </c>
      <c r="H106">
        <v>1727</v>
      </c>
      <c r="J106" s="1"/>
      <c r="K106">
        <f t="shared" si="1"/>
        <v>-9.125582570258739E-2</v>
      </c>
      <c r="L106">
        <f>LOG10(E106/C106)-LOG10(37995/47667)</f>
        <v>1.1016077417429755</v>
      </c>
      <c r="M106">
        <f>LOG10(F106/C106)-LOG10(35167/47667)</f>
        <v>0.21408947140694184</v>
      </c>
      <c r="N106">
        <f>LOG10(G106/C106)-LOG10(34734/47667)</f>
        <v>0.24697313394649051</v>
      </c>
      <c r="O106">
        <f>LOG10(H106/C106)-LOG10(33378/47667)</f>
        <v>0.19256893213976067</v>
      </c>
      <c r="Q106">
        <f>AVERAGE(K106:O106)</f>
        <v>0.33279669070671619</v>
      </c>
      <c r="R106">
        <f>STDEV(K106:O106)</f>
        <v>0.45055850895031191</v>
      </c>
    </row>
    <row r="107" spans="1:18">
      <c r="A107">
        <v>105</v>
      </c>
      <c r="C107">
        <v>3955</v>
      </c>
      <c r="D107">
        <v>7398</v>
      </c>
      <c r="E107">
        <v>4920</v>
      </c>
      <c r="F107">
        <v>6543</v>
      </c>
      <c r="G107">
        <v>7888</v>
      </c>
      <c r="H107">
        <v>4544</v>
      </c>
      <c r="J107" s="1"/>
      <c r="K107">
        <f t="shared" si="1"/>
        <v>0.21435530361532015</v>
      </c>
      <c r="L107">
        <f>LOG10(E107/C107)-LOG10(37995/47667)</f>
        <v>0.19330998584656517</v>
      </c>
      <c r="M107">
        <f>LOG10(F107/C107)-LOG10(35167/47667)</f>
        <v>0.35071293079388383</v>
      </c>
      <c r="N107">
        <f>LOG10(G107/C107)-LOG10(34734/47667)</f>
        <v>0.43728343390814173</v>
      </c>
      <c r="O107">
        <f>LOG10(H107/C107)-LOG10(33378/47667)</f>
        <v>0.21504934430392489</v>
      </c>
      <c r="Q107">
        <f>AVERAGE(K107:O107)</f>
        <v>0.28214219969356719</v>
      </c>
      <c r="R107">
        <f>STDEV(K107:O107)</f>
        <v>0.10695609433135565</v>
      </c>
    </row>
    <row r="108" spans="1:18">
      <c r="A108">
        <v>106</v>
      </c>
      <c r="C108">
        <v>1595</v>
      </c>
      <c r="D108">
        <v>2405</v>
      </c>
      <c r="E108">
        <v>9807</v>
      </c>
      <c r="F108">
        <v>2604</v>
      </c>
      <c r="G108">
        <v>3421</v>
      </c>
      <c r="H108">
        <v>3072</v>
      </c>
      <c r="J108" s="1"/>
      <c r="K108">
        <f t="shared" si="1"/>
        <v>0.12074185778629087</v>
      </c>
      <c r="L108">
        <f>LOG10(E108/C108)-LOG10(37995/47667)</f>
        <v>0.88726685881973177</v>
      </c>
      <c r="M108">
        <f>LOG10(F108/C108)-LOG10(35167/47667)</f>
        <v>0.34496279083217085</v>
      </c>
      <c r="N108">
        <f>LOG10(G108/C108)-LOG10(34734/47667)</f>
        <v>0.46885540660054492</v>
      </c>
      <c r="O108">
        <f>LOG10(H108/C108)-LOG10(33378/47667)</f>
        <v>0.43941803340093222</v>
      </c>
      <c r="Q108">
        <f>AVERAGE(K108:O108)</f>
        <v>0.45224898948793413</v>
      </c>
      <c r="R108">
        <f>STDEV(K108:O108)</f>
        <v>0.27887643318881217</v>
      </c>
    </row>
    <row r="109" spans="1:18">
      <c r="A109">
        <v>107</v>
      </c>
      <c r="C109">
        <v>3052</v>
      </c>
      <c r="D109">
        <v>2100</v>
      </c>
      <c r="E109">
        <v>2576</v>
      </c>
      <c r="F109">
        <v>1700</v>
      </c>
      <c r="G109">
        <v>1567</v>
      </c>
      <c r="H109">
        <v>2507</v>
      </c>
      <c r="J109" s="1"/>
      <c r="K109">
        <f t="shared" si="1"/>
        <v>-0.21997777007928335</v>
      </c>
      <c r="L109">
        <f>LOG10(E109/C109)-LOG10(37995/47667)</f>
        <v>2.4852700317831905E-2</v>
      </c>
      <c r="M109">
        <f>LOG10(F109/C109)-LOG10(35167/47667)</f>
        <v>-0.12205310957535245</v>
      </c>
      <c r="N109">
        <f>LOG10(G109/C109)-LOG10(34734/47667)</f>
        <v>-0.15205251300557041</v>
      </c>
      <c r="O109">
        <f>LOG10(H109/C109)-LOG10(33378/47667)</f>
        <v>6.9327314110031443E-2</v>
      </c>
      <c r="Q109">
        <f>AVERAGE(K109:O109)</f>
        <v>-7.9980675646468574E-2</v>
      </c>
      <c r="R109">
        <f>STDEV(K109:O109)</f>
        <v>0.12231776077889002</v>
      </c>
    </row>
    <row r="110" spans="1:18">
      <c r="A110">
        <v>108</v>
      </c>
      <c r="C110">
        <v>595</v>
      </c>
      <c r="D110">
        <v>411</v>
      </c>
      <c r="E110">
        <v>427</v>
      </c>
      <c r="F110">
        <v>375</v>
      </c>
      <c r="G110">
        <v>455</v>
      </c>
      <c r="H110">
        <v>616</v>
      </c>
      <c r="J110" s="1"/>
      <c r="K110">
        <f t="shared" si="1"/>
        <v>-0.21828767938284011</v>
      </c>
      <c r="L110">
        <f>LOG10(E110/C110)-LOG10(37995/47667)</f>
        <v>-4.5597719790625435E-2</v>
      </c>
      <c r="M110">
        <f>LOG10(F110/C110)-LOG10(35167/47667)</f>
        <v>-6.8403199671614262E-2</v>
      </c>
      <c r="N110">
        <f>LOG10(G110/C110)-LOG10(34734/47667)</f>
        <v>2.0957450737245087E-2</v>
      </c>
      <c r="O110">
        <f>LOG10(H110/C110)-LOG10(33378/47667)</f>
        <v>0.16982125587053373</v>
      </c>
      <c r="Q110">
        <f>AVERAGE(K110:O110)</f>
        <v>-2.8301978447460192E-2</v>
      </c>
      <c r="R110">
        <f>STDEV(K110:O110)</f>
        <v>0.14113922604330409</v>
      </c>
    </row>
    <row r="111" spans="1:18">
      <c r="A111">
        <v>109</v>
      </c>
      <c r="C111">
        <v>1435</v>
      </c>
      <c r="D111">
        <v>5247</v>
      </c>
      <c r="E111">
        <v>4458</v>
      </c>
      <c r="F111">
        <v>4695</v>
      </c>
      <c r="G111">
        <v>6152</v>
      </c>
      <c r="H111">
        <v>4733</v>
      </c>
      <c r="J111" s="1"/>
      <c r="K111">
        <f t="shared" si="1"/>
        <v>0.5054466275979681</v>
      </c>
      <c r="L111">
        <f>LOG10(E111/C111)-LOG10(37995/47667)</f>
        <v>0.59077953398710803</v>
      </c>
      <c r="M111">
        <f>LOG10(F111/C111)-LOG10(35167/47667)</f>
        <v>0.64686619386133504</v>
      </c>
      <c r="N111">
        <f>LOG10(G111/C111)-LOG10(34734/47667)</f>
        <v>0.76962744553204576</v>
      </c>
      <c r="O111">
        <f>LOG10(H111/C111)-LOG10(33378/47667)</f>
        <v>0.6730421128326407</v>
      </c>
      <c r="Q111">
        <f>AVERAGE(K111:O111)</f>
        <v>0.63715238276221953</v>
      </c>
      <c r="R111">
        <f>STDEV(K111:O111)</f>
        <v>9.8016478402066357E-2</v>
      </c>
    </row>
    <row r="112" spans="1:18">
      <c r="A112">
        <v>110</v>
      </c>
      <c r="C112">
        <v>2625</v>
      </c>
      <c r="D112">
        <v>2579</v>
      </c>
      <c r="E112">
        <v>5563</v>
      </c>
      <c r="F112">
        <v>1920</v>
      </c>
      <c r="G112">
        <v>2013</v>
      </c>
      <c r="H112">
        <v>1842</v>
      </c>
      <c r="J112" s="1"/>
      <c r="K112">
        <f t="shared" si="1"/>
        <v>-6.5290501134397924E-2</v>
      </c>
      <c r="L112">
        <f>LOG10(E112/C112)-LOG10(37995/47667)</f>
        <v>0.42467112311175259</v>
      </c>
      <c r="M112">
        <f>LOG10(F112/C112)-LOG10(35167/47667)</f>
        <v>-3.7455807092096338E-3</v>
      </c>
      <c r="N112">
        <f>LOG10(G112/C112)-LOG10(34734/47667)</f>
        <v>2.2177486955361134E-2</v>
      </c>
      <c r="O112">
        <f>LOG10(H112/C112)-LOG10(33378/47667)</f>
        <v>9.1782755351224599E-4</v>
      </c>
      <c r="Q112">
        <f>AVERAGE(K112:O112)</f>
        <v>7.5746071155403688E-2</v>
      </c>
      <c r="R112">
        <f>STDEV(K112:O112)</f>
        <v>0.1977547651612365</v>
      </c>
    </row>
    <row r="113" spans="1:18">
      <c r="A113">
        <v>111</v>
      </c>
      <c r="C113">
        <v>1596</v>
      </c>
      <c r="D113">
        <v>831</v>
      </c>
      <c r="E113">
        <v>1492</v>
      </c>
      <c r="F113">
        <v>1078</v>
      </c>
      <c r="G113">
        <v>687</v>
      </c>
      <c r="H113">
        <v>1667</v>
      </c>
      <c r="J113" s="1"/>
      <c r="K113">
        <f t="shared" si="1"/>
        <v>-0.34104439876095943</v>
      </c>
      <c r="L113">
        <f>LOG10(E113/C113)-LOG10(37995/47667)</f>
        <v>6.9227307034839633E-2</v>
      </c>
      <c r="M113">
        <f>LOG10(F113/C113)-LOG10(35167/47667)</f>
        <v>-3.8331627834774284E-2</v>
      </c>
      <c r="N113">
        <f>LOG10(G113/C113)-LOG10(34734/47667)</f>
        <v>-0.22861313014647791</v>
      </c>
      <c r="O113">
        <f>LOG10(H113/C113)-LOG10(33378/47667)</f>
        <v>0.17366022224795247</v>
      </c>
      <c r="Q113">
        <f>AVERAGE(K113:O113)</f>
        <v>-7.3020325491883892E-2</v>
      </c>
      <c r="R113">
        <f>STDEV(K113:O113)</f>
        <v>0.21114865145784098</v>
      </c>
    </row>
    <row r="114" spans="1:18">
      <c r="A114">
        <v>112</v>
      </c>
      <c r="C114">
        <v>1066</v>
      </c>
      <c r="D114">
        <v>1369</v>
      </c>
      <c r="E114">
        <v>1227</v>
      </c>
      <c r="F114">
        <v>1357</v>
      </c>
      <c r="G114">
        <v>2504</v>
      </c>
      <c r="H114">
        <v>1382</v>
      </c>
      <c r="J114" s="1"/>
      <c r="K114">
        <f t="shared" si="1"/>
        <v>5.1033707913076744E-2</v>
      </c>
      <c r="L114">
        <f>LOG10(E114/C114)-LOG10(37995/47667)</f>
        <v>0.15957872894935099</v>
      </c>
      <c r="M114">
        <f>LOG10(F114/C114)-LOG10(35167/47667)</f>
        <v>0.23690514129840007</v>
      </c>
      <c r="N114">
        <f>LOG10(G114/C114)-LOG10(34734/47667)</f>
        <v>0.50834013965652092</v>
      </c>
      <c r="O114">
        <f>LOG10(H114/C114)-LOG10(33378/47667)</f>
        <v>0.26750834778228394</v>
      </c>
      <c r="Q114">
        <f>AVERAGE(K114:O114)</f>
        <v>0.24467321311992657</v>
      </c>
      <c r="R114">
        <f>STDEV(K114:O114)</f>
        <v>0.16943978552655226</v>
      </c>
    </row>
    <row r="115" spans="1:18">
      <c r="A115">
        <v>113</v>
      </c>
      <c r="C115">
        <v>2148</v>
      </c>
      <c r="D115">
        <v>497</v>
      </c>
      <c r="E115">
        <v>382</v>
      </c>
      <c r="F115">
        <v>412</v>
      </c>
      <c r="G115">
        <v>444</v>
      </c>
      <c r="H115">
        <v>253</v>
      </c>
      <c r="J115" s="1"/>
      <c r="K115">
        <f t="shared" si="1"/>
        <v>-0.69329042382454564</v>
      </c>
      <c r="L115">
        <f>LOG10(E115/C115)-LOG10(37995/47667)</f>
        <v>-0.65147954320290902</v>
      </c>
      <c r="M115">
        <f>LOG10(F115/C115)-LOG10(35167/47667)</f>
        <v>-0.58505456266516698</v>
      </c>
      <c r="N115">
        <f>LOG10(G115/C115)-LOG10(34734/47667)</f>
        <v>-0.54718828710421596</v>
      </c>
      <c r="O115">
        <f>LOG10(H115/C115)-LOG10(33378/47667)</f>
        <v>-0.77415624641704228</v>
      </c>
      <c r="Q115">
        <f>AVERAGE(K115:O115)</f>
        <v>-0.65023381264277602</v>
      </c>
      <c r="R115">
        <f>STDEV(K115:O115)</f>
        <v>8.9552928713674498E-2</v>
      </c>
    </row>
    <row r="116" spans="1:18">
      <c r="A116">
        <v>114</v>
      </c>
      <c r="C116">
        <v>2605</v>
      </c>
      <c r="D116">
        <v>6285</v>
      </c>
      <c r="E116">
        <v>5761</v>
      </c>
      <c r="F116">
        <v>4062</v>
      </c>
      <c r="G116">
        <v>9376</v>
      </c>
      <c r="H116">
        <v>8079</v>
      </c>
      <c r="J116" s="1"/>
      <c r="K116">
        <f t="shared" si="1"/>
        <v>0.32488501885607352</v>
      </c>
      <c r="L116">
        <f>LOG10(E116/C116)-LOG10(37995/47667)</f>
        <v>0.44318151850388365</v>
      </c>
      <c r="M116">
        <f>LOG10(F116/C116)-LOG10(35167/47667)</f>
        <v>0.32501468976246106</v>
      </c>
      <c r="N116">
        <f>LOG10(G116/C116)-LOG10(34734/47667)</f>
        <v>0.69367289084715444</v>
      </c>
      <c r="O116">
        <f>LOG10(H116/C116)-LOG10(33378/47667)</f>
        <v>0.64630738993028736</v>
      </c>
      <c r="Q116">
        <f>AVERAGE(K116:O116)</f>
        <v>0.48661230157997198</v>
      </c>
      <c r="R116">
        <f>STDEV(K116:O116)</f>
        <v>0.17502310126942464</v>
      </c>
    </row>
    <row r="117" spans="1:18">
      <c r="A117">
        <v>115</v>
      </c>
      <c r="C117">
        <v>536</v>
      </c>
      <c r="D117">
        <v>825</v>
      </c>
      <c r="E117">
        <v>1769</v>
      </c>
      <c r="F117">
        <v>1305</v>
      </c>
      <c r="G117">
        <v>799</v>
      </c>
      <c r="H117">
        <v>469</v>
      </c>
      <c r="J117" s="1"/>
      <c r="K117">
        <f t="shared" si="1"/>
        <v>0.12967662332679533</v>
      </c>
      <c r="L117">
        <f>LOG10(E117/C117)-LOG10(37995/47667)</f>
        <v>0.6170544141298534</v>
      </c>
      <c r="M117">
        <f>LOG10(F117/C117)-LOG10(35167/47667)</f>
        <v>0.51852822031074619</v>
      </c>
      <c r="N117">
        <f>LOG10(G117/C117)-LOG10(34734/47667)</f>
        <v>0.31084500942990367</v>
      </c>
      <c r="O117">
        <f>LOG10(H117/C117)-LOG10(33378/47667)</f>
        <v>9.6765562456971044E-2</v>
      </c>
      <c r="Q117">
        <f>AVERAGE(K117:O117)</f>
        <v>0.33457396593085387</v>
      </c>
      <c r="R117">
        <f>STDEV(K117:O117)</f>
        <v>0.23061504312641665</v>
      </c>
    </row>
    <row r="118" spans="1:18">
      <c r="A118">
        <v>116</v>
      </c>
      <c r="C118">
        <v>1295</v>
      </c>
      <c r="D118">
        <v>4184</v>
      </c>
      <c r="E118">
        <v>1977</v>
      </c>
      <c r="F118">
        <v>2381</v>
      </c>
      <c r="G118">
        <v>1701</v>
      </c>
      <c r="H118">
        <v>1521</v>
      </c>
      <c r="J118" s="1"/>
      <c r="K118">
        <f t="shared" si="1"/>
        <v>0.45170937191158739</v>
      </c>
      <c r="L118">
        <f>LOG10(E118/C118)-LOG10(37995/47667)</f>
        <v>0.28222827180930193</v>
      </c>
      <c r="M118">
        <f>LOG10(F118/C118)-LOG10(35167/47667)</f>
        <v>0.39657212531682573</v>
      </c>
      <c r="N118">
        <f>LOG10(G118/C118)-LOG10(34734/47667)</f>
        <v>0.25589756500398064</v>
      </c>
      <c r="O118">
        <f>LOG10(H118/C118)-LOG10(33378/47667)</f>
        <v>0.22461695507038557</v>
      </c>
      <c r="Q118">
        <f>AVERAGE(K118:O118)</f>
        <v>0.32220485782241626</v>
      </c>
      <c r="R118">
        <f>STDEV(K118:O118)</f>
        <v>9.7236943747953747E-2</v>
      </c>
    </row>
    <row r="119" spans="1:18">
      <c r="A119">
        <v>117</v>
      </c>
      <c r="C119">
        <v>2705</v>
      </c>
      <c r="D119">
        <v>6008</v>
      </c>
      <c r="E119">
        <v>4626</v>
      </c>
      <c r="F119">
        <v>4760</v>
      </c>
      <c r="G119">
        <v>6124</v>
      </c>
      <c r="H119">
        <v>4326</v>
      </c>
      <c r="J119" s="1"/>
      <c r="K119">
        <f t="shared" si="1"/>
        <v>0.28895011902316398</v>
      </c>
      <c r="L119">
        <f>LOG10(E119/C119)-LOG10(37995/47667)</f>
        <v>0.33152972990491258</v>
      </c>
      <c r="M119">
        <f>LOG10(F119/C119)-LOG10(35167/47667)</f>
        <v>0.37752218160712137</v>
      </c>
      <c r="N119">
        <f>LOG10(G119/C119)-LOG10(34734/47667)</f>
        <v>0.49233093239231751</v>
      </c>
      <c r="O119">
        <f>LOG10(H119/C119)-LOG10(33378/47667)</f>
        <v>0.35867675509514219</v>
      </c>
      <c r="Q119">
        <f>AVERAGE(K119:O119)</f>
        <v>0.36980194360453156</v>
      </c>
      <c r="R119">
        <f>STDEV(K119:O119)</f>
        <v>7.6155277012084049E-2</v>
      </c>
    </row>
    <row r="120" spans="1:18">
      <c r="A120">
        <v>118</v>
      </c>
      <c r="C120">
        <v>1198</v>
      </c>
      <c r="D120">
        <v>486</v>
      </c>
      <c r="E120">
        <v>1204</v>
      </c>
      <c r="F120">
        <v>342</v>
      </c>
      <c r="G120">
        <v>442</v>
      </c>
      <c r="H120">
        <v>530</v>
      </c>
      <c r="J120" s="1"/>
      <c r="K120">
        <f t="shared" si="1"/>
        <v>-0.44943308432135898</v>
      </c>
      <c r="L120">
        <f>LOG10(E120/C120)-LOG10(37995/47667)</f>
        <v>0.10066103978141341</v>
      </c>
      <c r="M120">
        <f>LOG10(F120/C120)-LOG10(35167/47667)</f>
        <v>-0.41234821366794105</v>
      </c>
      <c r="N120">
        <f>LOG10(G120/C120)-LOG10(34734/47667)</f>
        <v>-0.29557152889551841</v>
      </c>
      <c r="O120">
        <f>LOG10(H120/C120)-LOG10(33378/47667)</f>
        <v>-0.19942343901784573</v>
      </c>
      <c r="Q120">
        <f>AVERAGE(K120:O120)</f>
        <v>-0.25122304522425015</v>
      </c>
      <c r="R120">
        <f>STDEV(K120:O120)</f>
        <v>0.22006870290447794</v>
      </c>
    </row>
    <row r="121" spans="1:18">
      <c r="A121">
        <v>119</v>
      </c>
      <c r="C121">
        <v>3534</v>
      </c>
      <c r="D121">
        <v>3551</v>
      </c>
      <c r="E121">
        <v>2377</v>
      </c>
      <c r="F121">
        <v>2003</v>
      </c>
      <c r="G121">
        <v>3804</v>
      </c>
      <c r="H121">
        <v>2161</v>
      </c>
      <c r="J121" s="1"/>
      <c r="K121">
        <f t="shared" si="1"/>
        <v>-5.5528408399489505E-2</v>
      </c>
      <c r="L121">
        <f>LOG10(E121/C121)-LOG10(37995/47667)</f>
        <v>-7.3745992529664767E-2</v>
      </c>
      <c r="M121">
        <f>LOG10(F121/C121)-LOG10(35167/47667)</f>
        <v>-0.11450309754795263</v>
      </c>
      <c r="N121">
        <f>LOG10(G121/C121)-LOG10(34734/47667)</f>
        <v>0.1694369829033133</v>
      </c>
      <c r="O121">
        <f>LOG10(H121/C121)-LOG10(33378/47667)</f>
        <v>-5.8854268852846114E-2</v>
      </c>
      <c r="Q121">
        <f>AVERAGE(K121:O121)</f>
        <v>-2.6638956885327941E-2</v>
      </c>
      <c r="R121">
        <f>STDEV(K121:O121)</f>
        <v>0.11209079012069947</v>
      </c>
    </row>
    <row r="122" spans="1:18">
      <c r="A122">
        <v>120</v>
      </c>
      <c r="C122">
        <v>2372</v>
      </c>
      <c r="D122">
        <v>6655</v>
      </c>
      <c r="E122">
        <v>3150</v>
      </c>
      <c r="F122">
        <v>2105</v>
      </c>
      <c r="G122">
        <v>2854</v>
      </c>
      <c r="H122">
        <v>2402</v>
      </c>
      <c r="J122" s="1"/>
      <c r="K122">
        <f t="shared" si="1"/>
        <v>0.39042083958810919</v>
      </c>
      <c r="L122">
        <f>LOG10(E122/C122)-LOG10(37995/47667)</f>
        <v>0.22168724001027573</v>
      </c>
      <c r="M122">
        <f>LOG10(F122/C122)-LOG10(35167/47667)</f>
        <v>8.0219913808678586E-2</v>
      </c>
      <c r="N122">
        <f>LOG10(G122/C122)-LOG10(34734/47667)</f>
        <v>0.21780230389508548</v>
      </c>
      <c r="O122">
        <f>LOG10(H122/C122)-LOG10(33378/47667)</f>
        <v>0.16021582780932001</v>
      </c>
      <c r="Q122">
        <f>AVERAGE(K122:O122)</f>
        <v>0.21406922502229381</v>
      </c>
      <c r="R122">
        <f>STDEV(K122:O122)</f>
        <v>0.11400404432950507</v>
      </c>
    </row>
    <row r="123" spans="1:18">
      <c r="A123">
        <v>121</v>
      </c>
      <c r="C123">
        <v>2938</v>
      </c>
      <c r="D123">
        <v>3041</v>
      </c>
      <c r="E123">
        <v>1731</v>
      </c>
      <c r="F123">
        <v>1642</v>
      </c>
      <c r="G123">
        <v>1970</v>
      </c>
      <c r="H123">
        <v>1667</v>
      </c>
      <c r="J123" s="1"/>
      <c r="K123">
        <f t="shared" si="1"/>
        <v>-4.2647906840465294E-2</v>
      </c>
      <c r="L123">
        <f>LOG10(E123/C123)-LOG10(37995/47667)</f>
        <v>-0.13126335266594361</v>
      </c>
      <c r="M123">
        <f>LOG10(F123/C123)-LOG10(35167/47667)</f>
        <v>-0.12059614034159929</v>
      </c>
      <c r="N123">
        <f>LOG10(G123/C123)-LOG10(34734/47667)</f>
        <v>-3.6122545483962459E-2</v>
      </c>
      <c r="O123">
        <f>LOG10(H123/C123)-LOG10(33378/47667)</f>
        <v>-9.1358682191574558E-2</v>
      </c>
      <c r="Q123">
        <f>AVERAGE(K123:O123)</f>
        <v>-8.4397725504709045E-2</v>
      </c>
      <c r="R123">
        <f>STDEV(K123:O123)</f>
        <v>4.3671236324520808E-2</v>
      </c>
    </row>
    <row r="124" spans="1:18">
      <c r="A124">
        <v>122</v>
      </c>
      <c r="C124">
        <v>1483</v>
      </c>
      <c r="D124">
        <v>6574</v>
      </c>
      <c r="E124">
        <v>4647</v>
      </c>
      <c r="F124">
        <v>5083</v>
      </c>
      <c r="G124">
        <v>5330</v>
      </c>
      <c r="H124">
        <v>4968</v>
      </c>
      <c r="J124" s="1"/>
      <c r="K124">
        <f t="shared" si="1"/>
        <v>0.58907601318686387</v>
      </c>
      <c r="L124">
        <f>LOG10(E124/C124)-LOG10(37995/47667)</f>
        <v>0.59452289236338662</v>
      </c>
      <c r="M124">
        <f>LOG10(F124/C124)-LOG10(35167/47667)</f>
        <v>0.66706145700353803</v>
      </c>
      <c r="N124">
        <f>LOG10(G124/C124)-LOG10(34734/47667)</f>
        <v>0.69304907780687253</v>
      </c>
      <c r="O124">
        <f>LOG10(H124/C124)-LOG10(33378/47667)</f>
        <v>0.67979794557479956</v>
      </c>
      <c r="Q124">
        <f>AVERAGE(K124:O124)</f>
        <v>0.64470147718709214</v>
      </c>
      <c r="R124">
        <f>STDEV(K124:O124)</f>
        <v>4.919680857667879E-2</v>
      </c>
    </row>
    <row r="125" spans="1:18">
      <c r="A125">
        <v>123</v>
      </c>
      <c r="C125">
        <v>1395</v>
      </c>
      <c r="D125">
        <v>4638</v>
      </c>
      <c r="E125">
        <v>976</v>
      </c>
      <c r="F125">
        <v>480</v>
      </c>
      <c r="G125">
        <v>515</v>
      </c>
      <c r="H125">
        <v>552</v>
      </c>
      <c r="J125" s="1"/>
      <c r="K125">
        <f t="shared" si="1"/>
        <v>0.46414400116199245</v>
      </c>
      <c r="L125">
        <f>LOG10(E125/C125)-LOG10(37995/47667)</f>
        <v>-5.6633019030024295E-2</v>
      </c>
      <c r="M125">
        <f>LOG10(F125/C125)-LOG10(35167/47667)</f>
        <v>-0.3312504719048126</v>
      </c>
      <c r="N125">
        <f>LOG10(G125/C125)-LOG10(34734/47667)</f>
        <v>-0.29530395875974313</v>
      </c>
      <c r="O125">
        <f>LOG10(H125/C125)-LOG10(33378/47667)</f>
        <v>-0.24787762044575964</v>
      </c>
      <c r="Q125">
        <f>AVERAGE(K125:O125)</f>
        <v>-9.3384213795669455E-2</v>
      </c>
      <c r="R125">
        <f>STDEV(K125:O125)</f>
        <v>0.32916884483579678</v>
      </c>
    </row>
    <row r="126" spans="1:18">
      <c r="A126">
        <v>124</v>
      </c>
      <c r="C126">
        <v>1516</v>
      </c>
      <c r="D126">
        <v>4860</v>
      </c>
      <c r="E126">
        <v>1581</v>
      </c>
      <c r="F126">
        <v>2370</v>
      </c>
      <c r="G126">
        <v>1589</v>
      </c>
      <c r="H126">
        <v>1082</v>
      </c>
      <c r="J126" s="1"/>
      <c r="K126">
        <f t="shared" si="1"/>
        <v>0.44832453243589893</v>
      </c>
      <c r="L126">
        <f>LOG10(E126/C126)-LOG10(37995/47667)</f>
        <v>0.11672403954907457</v>
      </c>
      <c r="M126">
        <f>LOG10(F126/C126)-LOG10(35167/47667)</f>
        <v>0.32613164304328557</v>
      </c>
      <c r="N126">
        <f>LOG10(G126/C126)-LOG10(34734/47667)</f>
        <v>0.15788771572002713</v>
      </c>
      <c r="O126">
        <f>LOG10(H126/C126)-LOG10(33378/47667)</f>
        <v>8.2855689091737017E-3</v>
      </c>
      <c r="Q126">
        <f>AVERAGE(K126:O126)</f>
        <v>0.21147069993149198</v>
      </c>
      <c r="R126">
        <f>STDEV(K126:O126)</f>
        <v>0.17491364524137015</v>
      </c>
    </row>
    <row r="127" spans="1:18">
      <c r="A127">
        <v>125</v>
      </c>
      <c r="C127">
        <v>1560</v>
      </c>
      <c r="D127">
        <v>3670</v>
      </c>
      <c r="E127">
        <v>3340</v>
      </c>
      <c r="F127">
        <v>2927</v>
      </c>
      <c r="G127">
        <v>2830</v>
      </c>
      <c r="H127">
        <v>2622</v>
      </c>
      <c r="J127" s="1"/>
      <c r="K127">
        <f t="shared" si="1"/>
        <v>0.31392893036726799</v>
      </c>
      <c r="L127">
        <f>LOG10(E127/C127)-LOG10(37995/47667)</f>
        <v>0.42911323937000312</v>
      </c>
      <c r="M127">
        <f>LOG10(F127/C127)-LOG10(35167/47667)</f>
        <v>0.40538062240854678</v>
      </c>
      <c r="N127">
        <f>LOG10(G127/C127)-LOG10(34734/47667)</f>
        <v>0.39612485697851096</v>
      </c>
      <c r="O127">
        <f>LOG10(H127/C127)-LOG10(33378/47667)</f>
        <v>0.38026559843426166</v>
      </c>
      <c r="Q127">
        <f>AVERAGE(K127:O127)</f>
        <v>0.3849626495117181</v>
      </c>
      <c r="R127">
        <f>STDEV(K127:O127)</f>
        <v>4.3470146715587077E-2</v>
      </c>
    </row>
    <row r="128" spans="1:18">
      <c r="A128">
        <v>126</v>
      </c>
      <c r="C128">
        <v>895</v>
      </c>
      <c r="D128">
        <v>2658</v>
      </c>
      <c r="E128">
        <v>1299</v>
      </c>
      <c r="F128">
        <v>2805</v>
      </c>
      <c r="G128">
        <v>1131</v>
      </c>
      <c r="H128">
        <v>7231</v>
      </c>
      <c r="J128" s="1"/>
      <c r="K128">
        <f t="shared" si="1"/>
        <v>0.41511940576044143</v>
      </c>
      <c r="L128">
        <f>LOG10(E128/C128)-LOG10(37995/47667)</f>
        <v>0.26027748667001616</v>
      </c>
      <c r="M128">
        <f>LOG10(F128/C128)-LOG10(35167/47667)</f>
        <v>0.62819232860548468</v>
      </c>
      <c r="N128">
        <f>LOG10(G128/C128)-LOG10(34734/47667)</f>
        <v>0.2391025894182256</v>
      </c>
      <c r="O128">
        <f>LOG10(H128/C128)-LOG10(33378/47667)</f>
        <v>1.0621328356526232</v>
      </c>
      <c r="Q128">
        <f>AVERAGE(K128:O128)</f>
        <v>0.52096492922135818</v>
      </c>
      <c r="R128">
        <f>STDEV(K128:O128)</f>
        <v>0.34020876468348538</v>
      </c>
    </row>
    <row r="129" spans="1:18">
      <c r="A129">
        <v>127</v>
      </c>
      <c r="C129">
        <v>1935</v>
      </c>
      <c r="D129">
        <v>2901</v>
      </c>
      <c r="E129">
        <v>3890</v>
      </c>
      <c r="F129">
        <v>2756</v>
      </c>
      <c r="G129">
        <v>2480</v>
      </c>
      <c r="H129">
        <v>2087</v>
      </c>
      <c r="J129" s="1"/>
      <c r="K129">
        <f t="shared" si="1"/>
        <v>0.11825422391737414</v>
      </c>
      <c r="L129">
        <f>LOG10(E129/C129)-LOG10(37995/47667)</f>
        <v>0.40176000288367775</v>
      </c>
      <c r="M129">
        <f>LOG10(F129/C129)-LOG10(35167/47667)</f>
        <v>0.28568074220987449</v>
      </c>
      <c r="N129">
        <f>LOG10(G129/C129)-LOG10(34734/47667)</f>
        <v>0.24523373127996831</v>
      </c>
      <c r="O129">
        <f>LOG10(H129/C129)-LOG10(33378/47667)</f>
        <v>0.18759898914518164</v>
      </c>
      <c r="Q129">
        <f>AVERAGE(K129:O129)</f>
        <v>0.24770553788721528</v>
      </c>
      <c r="R129">
        <f>STDEV(K129:O129)</f>
        <v>0.10671392135845545</v>
      </c>
    </row>
    <row r="130" spans="1:18">
      <c r="A130">
        <v>128</v>
      </c>
      <c r="C130">
        <v>1600</v>
      </c>
      <c r="D130">
        <v>585</v>
      </c>
      <c r="E130">
        <v>1116</v>
      </c>
      <c r="F130">
        <v>460</v>
      </c>
      <c r="G130">
        <v>445</v>
      </c>
      <c r="H130">
        <v>477</v>
      </c>
      <c r="J130" s="1"/>
      <c r="K130">
        <f t="shared" si="1"/>
        <v>-0.49457665210410412</v>
      </c>
      <c r="L130">
        <f>LOG10(E130/C130)-LOG10(37995/47667)</f>
        <v>-5.796441714146458E-2</v>
      </c>
      <c r="M130">
        <f>LOG10(F130/C130)-LOG10(35167/47667)</f>
        <v>-0.40927965264513422</v>
      </c>
      <c r="N130">
        <f>LOG10(G130/C130)-LOG10(34734/47667)</f>
        <v>-0.41829695186631088</v>
      </c>
      <c r="O130">
        <f>LOG10(H130/C130)-LOG10(33378/47667)</f>
        <v>-0.37084409418115305</v>
      </c>
      <c r="Q130">
        <f>AVERAGE(K130:O130)</f>
        <v>-0.35019235358763334</v>
      </c>
      <c r="R130">
        <f>STDEV(K130:O130)</f>
        <v>0.1694107671488386</v>
      </c>
    </row>
    <row r="131" spans="1:18">
      <c r="A131">
        <v>129</v>
      </c>
      <c r="C131">
        <v>3852</v>
      </c>
      <c r="D131">
        <v>5302</v>
      </c>
      <c r="E131">
        <v>4185</v>
      </c>
      <c r="F131">
        <v>10545</v>
      </c>
      <c r="G131">
        <v>3468</v>
      </c>
      <c r="H131">
        <v>2791</v>
      </c>
      <c r="J131" s="1"/>
      <c r="K131">
        <f t="shared" ref="K131:K194" si="2">LOG10(D131/C131)-LOG10(54429/47667)</f>
        <v>8.1140909414217949E-2</v>
      </c>
      <c r="L131">
        <f>LOG10(E131/C131)-LOG10(37995/47667)</f>
        <v>0.13450055478968215</v>
      </c>
      <c r="M131">
        <f>LOG10(F131/C131)-LOG10(35167/47667)</f>
        <v>0.5694428039522248</v>
      </c>
      <c r="N131">
        <f>LOG10(G131/C131)-LOG10(34734/47667)</f>
        <v>9.185583016035806E-2</v>
      </c>
      <c r="O131">
        <f>LOG10(H131/C131)-LOG10(33378/47667)</f>
        <v>1.4831067470791937E-2</v>
      </c>
      <c r="Q131">
        <f>AVERAGE(K131:O131)</f>
        <v>0.17835423315745497</v>
      </c>
      <c r="R131">
        <f>STDEV(K131:O131)</f>
        <v>0.22279230522121005</v>
      </c>
    </row>
    <row r="132" spans="1:18">
      <c r="A132">
        <v>130</v>
      </c>
      <c r="C132">
        <v>1433</v>
      </c>
      <c r="D132">
        <v>1676</v>
      </c>
      <c r="E132">
        <v>1465</v>
      </c>
      <c r="F132">
        <v>2771</v>
      </c>
      <c r="G132">
        <v>1893</v>
      </c>
      <c r="H132">
        <v>1149</v>
      </c>
      <c r="J132" s="1"/>
      <c r="K132">
        <f t="shared" si="2"/>
        <v>1.041528836655347E-2</v>
      </c>
      <c r="L132">
        <f>LOG10(E132/C132)-LOG10(37995/47667)</f>
        <v>0.10808280520568408</v>
      </c>
      <c r="M132">
        <f>LOG10(F132/C132)-LOG10(35167/47667)</f>
        <v>0.41847283371410371</v>
      </c>
      <c r="N132">
        <f>LOG10(G132/C132)-LOG10(34734/47667)</f>
        <v>0.25836744337513456</v>
      </c>
      <c r="O132">
        <f>LOG10(H132/C132)-LOG10(33378/47667)</f>
        <v>5.8831347725598518E-2</v>
      </c>
      <c r="Q132">
        <f>AVERAGE(K132:O132)</f>
        <v>0.17083394367741486</v>
      </c>
      <c r="R132">
        <f>STDEV(K132:O132)</f>
        <v>0.16673599287430649</v>
      </c>
    </row>
    <row r="133" spans="1:18">
      <c r="A133">
        <v>131</v>
      </c>
      <c r="C133">
        <v>1356</v>
      </c>
      <c r="D133">
        <v>1786</v>
      </c>
      <c r="E133">
        <v>1850</v>
      </c>
      <c r="F133">
        <v>14793</v>
      </c>
      <c r="G133">
        <v>8191</v>
      </c>
      <c r="H133">
        <v>2492</v>
      </c>
      <c r="J133" s="1"/>
      <c r="K133">
        <f t="shared" si="2"/>
        <v>6.2009229491123342E-2</v>
      </c>
      <c r="L133">
        <f>LOG10(E133/C133)-LOG10(37995/47667)</f>
        <v>0.23340340978486954</v>
      </c>
      <c r="M133">
        <f>LOG10(F133/C133)-LOG10(35167/47667)</f>
        <v>1.169879066048972</v>
      </c>
      <c r="N133">
        <f>LOG10(G133/C133)-LOG10(34734/47667)</f>
        <v>0.91854025621026092</v>
      </c>
      <c r="O133">
        <f>LOG10(H133/C133)-LOG10(33378/47667)</f>
        <v>0.41904585789074522</v>
      </c>
      <c r="Q133">
        <f>AVERAGE(K133:O133)</f>
        <v>0.56057556388519414</v>
      </c>
      <c r="R133">
        <f>STDEV(K133:O133)</f>
        <v>0.46771522975767188</v>
      </c>
    </row>
    <row r="134" spans="1:18">
      <c r="A134">
        <v>132</v>
      </c>
      <c r="C134">
        <v>1270</v>
      </c>
      <c r="D134">
        <v>2441</v>
      </c>
      <c r="E134">
        <v>811</v>
      </c>
      <c r="F134">
        <v>522</v>
      </c>
      <c r="G134">
        <v>646</v>
      </c>
      <c r="H134">
        <v>426</v>
      </c>
      <c r="J134" s="1"/>
      <c r="K134">
        <f t="shared" si="2"/>
        <v>0.22615152293087201</v>
      </c>
      <c r="L134">
        <f>LOG10(E134/C134)-LOG10(37995/47667)</f>
        <v>-9.6291495831900581E-2</v>
      </c>
      <c r="M134">
        <f>LOG10(F134/C134)-LOG10(35167/47667)</f>
        <v>-0.25405071962447823</v>
      </c>
      <c r="N134">
        <f>LOG10(G134/C134)-LOG10(34734/47667)</f>
        <v>-0.15610818315219047</v>
      </c>
      <c r="O134">
        <f>LOG10(H134/C134)-LOG10(33378/47667)</f>
        <v>-0.31963661241858021</v>
      </c>
      <c r="Q134">
        <f>AVERAGE(K134:O134)</f>
        <v>-0.11998709761925549</v>
      </c>
      <c r="R134">
        <f>STDEV(K134:O134)</f>
        <v>0.21184377646349012</v>
      </c>
    </row>
    <row r="135" spans="1:18">
      <c r="A135">
        <v>133</v>
      </c>
      <c r="C135">
        <v>1257</v>
      </c>
      <c r="D135">
        <v>8312</v>
      </c>
      <c r="E135">
        <v>2125</v>
      </c>
      <c r="F135">
        <v>7825</v>
      </c>
      <c r="G135">
        <v>2882</v>
      </c>
      <c r="H135">
        <v>2148</v>
      </c>
      <c r="J135" s="1"/>
      <c r="K135">
        <f t="shared" si="2"/>
        <v>0.76275772133280351</v>
      </c>
      <c r="L135">
        <f>LOG10(E135/C135)-LOG10(37995/47667)</f>
        <v>0.32651502761327283</v>
      </c>
      <c r="M135">
        <f>LOG10(F135/C135)-LOG10(35167/47667)</f>
        <v>0.92623156686174479</v>
      </c>
      <c r="N135">
        <f>LOG10(G135/C135)-LOG10(34734/47667)</f>
        <v>0.49782171860069502</v>
      </c>
      <c r="O135">
        <f>LOG10(H135/C135)-LOG10(33378/47667)</f>
        <v>0.38745650877621807</v>
      </c>
      <c r="Q135">
        <f>AVERAGE(K135:O135)</f>
        <v>0.58015650863694679</v>
      </c>
      <c r="R135">
        <f>STDEV(K135:O135)</f>
        <v>0.25561565743114045</v>
      </c>
    </row>
    <row r="136" spans="1:18">
      <c r="A136">
        <v>134</v>
      </c>
      <c r="C136">
        <v>1238</v>
      </c>
      <c r="D136">
        <v>100</v>
      </c>
      <c r="E136">
        <v>104</v>
      </c>
      <c r="F136">
        <v>80</v>
      </c>
      <c r="G136">
        <v>57</v>
      </c>
      <c r="H136">
        <v>65</v>
      </c>
      <c r="J136" s="1"/>
      <c r="K136">
        <f t="shared" si="2"/>
        <v>-1.150333180214459</v>
      </c>
      <c r="L136">
        <f>LOG10(E136/C136)-LOG10(37995/47667)</f>
        <v>-0.97719593447241859</v>
      </c>
      <c r="M136">
        <f>LOG10(F136/C136)-LOG10(35167/47667)</f>
        <v>-1.0575481593629392</v>
      </c>
      <c r="N136">
        <f>LOG10(G136/C136)-LOG10(34734/47667)</f>
        <v>-1.1993827692029253</v>
      </c>
      <c r="O136">
        <f>LOG10(H136/C136)-LOG10(33378/47667)</f>
        <v>-1.1250497786065858</v>
      </c>
      <c r="Q136">
        <f>AVERAGE(K136:O136)</f>
        <v>-1.1019019643718657</v>
      </c>
      <c r="R136">
        <f>STDEV(K136:O136)</f>
        <v>8.6462080119552656E-2</v>
      </c>
    </row>
    <row r="137" spans="1:18">
      <c r="A137">
        <v>135</v>
      </c>
      <c r="C137">
        <v>2175</v>
      </c>
      <c r="D137">
        <v>18684</v>
      </c>
      <c r="E137">
        <v>5304</v>
      </c>
      <c r="F137">
        <v>6973</v>
      </c>
      <c r="G137">
        <v>5003</v>
      </c>
      <c r="H137">
        <v>19333</v>
      </c>
      <c r="J137" s="1"/>
      <c r="K137">
        <f t="shared" si="2"/>
        <v>0.87639806179472934</v>
      </c>
      <c r="L137">
        <f>LOG10(E137/C137)-LOG10(37995/47667)</f>
        <v>0.48563562501896085</v>
      </c>
      <c r="M137">
        <f>LOG10(F137/C137)-LOG10(35167/47667)</f>
        <v>0.6380429022434787</v>
      </c>
      <c r="N137">
        <f>LOG10(G137/C137)-LOG10(34734/47667)</f>
        <v>0.49923426140143523</v>
      </c>
      <c r="O137">
        <f>LOG10(H137/C137)-LOG10(33378/47667)</f>
        <v>1.1035974990868305</v>
      </c>
      <c r="Q137">
        <f>AVERAGE(K137:O137)</f>
        <v>0.7205816699090869</v>
      </c>
      <c r="R137">
        <f>STDEV(K137:O137)</f>
        <v>0.26551216582828091</v>
      </c>
    </row>
    <row r="138" spans="1:18">
      <c r="A138">
        <v>136</v>
      </c>
      <c r="C138">
        <v>1188</v>
      </c>
      <c r="D138">
        <v>1670</v>
      </c>
      <c r="E138">
        <v>1613</v>
      </c>
      <c r="F138">
        <v>1274</v>
      </c>
      <c r="G138">
        <v>1594</v>
      </c>
      <c r="H138">
        <v>1836</v>
      </c>
      <c r="J138" s="1"/>
      <c r="K138">
        <f t="shared" si="2"/>
        <v>9.0287494972048771E-2</v>
      </c>
      <c r="L138">
        <f>LOG10(E138/C138)-LOG10(37995/47667)</f>
        <v>0.23130929765668701</v>
      </c>
      <c r="M138">
        <f>LOG10(F138/C138)-LOG10(35167/47667)</f>
        <v>0.16243548568337335</v>
      </c>
      <c r="N138">
        <f>LOG10(G138/C138)-LOG10(34734/47667)</f>
        <v>0.26513489622360109</v>
      </c>
      <c r="O138">
        <f>LOG10(H138/C138)-LOG10(33378/47667)</f>
        <v>0.34381374565470668</v>
      </c>
      <c r="Q138">
        <f>AVERAGE(K138:O138)</f>
        <v>0.2185961840380834</v>
      </c>
      <c r="R138">
        <f>STDEV(K138:O138)</f>
        <v>9.6984607614445537E-2</v>
      </c>
    </row>
    <row r="139" spans="1:18">
      <c r="A139">
        <v>137</v>
      </c>
      <c r="C139">
        <v>1953</v>
      </c>
      <c r="D139">
        <v>3080</v>
      </c>
      <c r="E139">
        <v>1572</v>
      </c>
      <c r="F139">
        <v>3066</v>
      </c>
      <c r="G139">
        <v>1431</v>
      </c>
      <c r="H139">
        <v>1871</v>
      </c>
      <c r="J139" s="1"/>
      <c r="K139">
        <f t="shared" si="2"/>
        <v>0.14023593768223014</v>
      </c>
      <c r="L139">
        <f>LOG10(E139/C139)-LOG10(37995/47667)</f>
        <v>4.2416693284349632E-3</v>
      </c>
      <c r="M139">
        <f>LOG10(F139/C139)-LOG10(35167/47667)</f>
        <v>0.32795240555971839</v>
      </c>
      <c r="N139">
        <f>LOG10(G139/C139)-LOG10(34734/47667)</f>
        <v>2.4004102806042815E-3</v>
      </c>
      <c r="O139">
        <f>LOG10(H139/C139)-LOG10(33378/47667)</f>
        <v>0.13612905364681332</v>
      </c>
      <c r="Q139">
        <f>AVERAGE(K139:O139)</f>
        <v>0.1221918952995602</v>
      </c>
      <c r="R139">
        <f>STDEV(K139:O139)</f>
        <v>0.13334117436158918</v>
      </c>
    </row>
    <row r="140" spans="1:18">
      <c r="A140">
        <v>138</v>
      </c>
      <c r="C140">
        <v>1155</v>
      </c>
      <c r="D140">
        <v>4624</v>
      </c>
      <c r="E140">
        <v>613</v>
      </c>
      <c r="F140">
        <v>721</v>
      </c>
      <c r="G140">
        <v>1348</v>
      </c>
      <c r="H140">
        <v>946</v>
      </c>
      <c r="J140" s="1"/>
      <c r="K140">
        <f t="shared" si="2"/>
        <v>0.54482330565394987</v>
      </c>
      <c r="L140">
        <f>LOG10(E140/C140)-LOG10(37995/47667)</f>
        <v>-0.17663013879684783</v>
      </c>
      <c r="M140">
        <f>LOG10(F140/C140)-LOG10(35167/47667)</f>
        <v>-7.2564221179517607E-2</v>
      </c>
      <c r="N140">
        <f>LOG10(G140/C140)-LOG10(34734/47667)</f>
        <v>0.20457092777982022</v>
      </c>
      <c r="O140">
        <f>LOG10(H140/C140)-LOG10(33378/47667)</f>
        <v>6.8066661608287435E-2</v>
      </c>
      <c r="Q140">
        <f>AVERAGE(K140:O140)</f>
        <v>0.11365330701313843</v>
      </c>
      <c r="R140">
        <f>STDEV(K140:O140)</f>
        <v>0.28071033577807614</v>
      </c>
    </row>
    <row r="141" spans="1:18">
      <c r="A141">
        <v>139</v>
      </c>
      <c r="C141">
        <v>863</v>
      </c>
      <c r="D141">
        <v>699</v>
      </c>
      <c r="E141">
        <v>759</v>
      </c>
      <c r="F141">
        <v>1917</v>
      </c>
      <c r="G141">
        <v>813</v>
      </c>
      <c r="H141">
        <v>739</v>
      </c>
      <c r="J141" s="1"/>
      <c r="K141">
        <f t="shared" si="2"/>
        <v>-0.14914615549988794</v>
      </c>
      <c r="L141">
        <f>LOG10(E141/C141)-LOG10(37995/47667)</f>
        <v>4.2722351093171025E-2</v>
      </c>
      <c r="M141">
        <f>LOG10(F141/C141)-LOG10(35167/47667)</f>
        <v>0.47869381549206946</v>
      </c>
      <c r="N141">
        <f>LOG10(G141/C141)-LOG10(34734/47667)</f>
        <v>0.11154276968754086</v>
      </c>
      <c r="O141">
        <f>LOG10(H141/C141)-LOG10(33378/47667)</f>
        <v>8.7391152114273965E-2</v>
      </c>
      <c r="Q141">
        <f>AVERAGE(K141:O141)</f>
        <v>0.11424078657743346</v>
      </c>
      <c r="R141">
        <f>STDEV(K141:O141)</f>
        <v>0.2280579752617494</v>
      </c>
    </row>
    <row r="142" spans="1:18">
      <c r="A142">
        <v>140</v>
      </c>
      <c r="C142">
        <v>1503</v>
      </c>
      <c r="D142">
        <v>6070</v>
      </c>
      <c r="E142">
        <v>1976</v>
      </c>
      <c r="F142">
        <v>2664</v>
      </c>
      <c r="G142">
        <v>1670</v>
      </c>
      <c r="H142">
        <v>1315</v>
      </c>
      <c r="J142" s="1"/>
      <c r="K142">
        <f t="shared" si="2"/>
        <v>0.54861717495798967</v>
      </c>
      <c r="L142">
        <f>LOG10(E142/C142)-LOG10(37995/47667)</f>
        <v>0.21731933057760144</v>
      </c>
      <c r="M142">
        <f>LOG10(F142/C142)-LOG10(35167/47667)</f>
        <v>0.38065773824057175</v>
      </c>
      <c r="N142">
        <f>LOG10(G142/C142)-LOG10(34734/47667)</f>
        <v>0.18322051036935744</v>
      </c>
      <c r="O142">
        <f>LOG10(H142/C142)-LOG10(33378/47667)</f>
        <v>9.6724281673526327E-2</v>
      </c>
      <c r="Q142">
        <f>AVERAGE(K142:O142)</f>
        <v>0.28530780716380932</v>
      </c>
      <c r="R142">
        <f>STDEV(K142:O142)</f>
        <v>0.17960472413481396</v>
      </c>
    </row>
    <row r="143" spans="1:18">
      <c r="A143">
        <v>141</v>
      </c>
      <c r="C143">
        <v>2073</v>
      </c>
      <c r="D143">
        <v>91</v>
      </c>
      <c r="E143">
        <v>123</v>
      </c>
      <c r="F143">
        <v>87</v>
      </c>
      <c r="G143">
        <v>58</v>
      </c>
      <c r="H143">
        <v>61</v>
      </c>
      <c r="J143" s="2"/>
      <c r="K143">
        <f t="shared" si="2"/>
        <v>-1.4151704453031271</v>
      </c>
      <c r="L143">
        <f>LOG10(E143/C143)-LOG10(37995/47667)</f>
        <v>-1.1282028197415626</v>
      </c>
      <c r="M143">
        <f>LOG10(F143/C143)-LOG10(35167/47667)</f>
        <v>-1.2449975511460258</v>
      </c>
      <c r="N143">
        <f>LOG10(G143/C143)-LOG10(34734/47667)</f>
        <v>-1.4157082887222412</v>
      </c>
      <c r="O143">
        <f>LOG10(H143/C143)-LOG10(33378/47667)</f>
        <v>-1.3765119576484359</v>
      </c>
      <c r="Q143">
        <f>AVERAGE(K143:O143)</f>
        <v>-1.3161182125122786</v>
      </c>
      <c r="R143">
        <f>STDEV(K143:O143)</f>
        <v>0.12624111440540617</v>
      </c>
    </row>
    <row r="144" spans="1:18">
      <c r="A144">
        <v>142</v>
      </c>
      <c r="C144">
        <v>2279</v>
      </c>
      <c r="D144">
        <v>55</v>
      </c>
      <c r="E144">
        <v>81</v>
      </c>
      <c r="F144">
        <v>49</v>
      </c>
      <c r="G144">
        <v>34</v>
      </c>
      <c r="H144">
        <v>36</v>
      </c>
      <c r="J144" s="2"/>
      <c r="K144">
        <f t="shared" si="2"/>
        <v>-1.6749941712164915</v>
      </c>
      <c r="L144">
        <f>LOG10(E144/C144)-LOG10(37995/47667)</f>
        <v>-1.3507679353888256</v>
      </c>
      <c r="M144">
        <f>LOG10(F144/C144)-LOG10(35167/47667)</f>
        <v>-1.5354657468226456</v>
      </c>
      <c r="N144">
        <f>LOG10(G144/C144)-LOG10(34734/47667)</f>
        <v>-1.6888023883294381</v>
      </c>
      <c r="O144">
        <f>LOG10(H144/C144)-LOG10(33378/47667)</f>
        <v>-1.6466843149784305</v>
      </c>
      <c r="Q144">
        <f>AVERAGE(K144:O144)</f>
        <v>-1.5793429113471662</v>
      </c>
      <c r="R144">
        <f>STDEV(K144:O144)</f>
        <v>0.1412773251975688</v>
      </c>
    </row>
    <row r="145" spans="1:18">
      <c r="A145">
        <v>143</v>
      </c>
      <c r="C145">
        <v>959</v>
      </c>
      <c r="D145">
        <v>20</v>
      </c>
      <c r="E145">
        <v>27</v>
      </c>
      <c r="F145">
        <v>24</v>
      </c>
      <c r="G145">
        <v>36</v>
      </c>
      <c r="H145">
        <v>42</v>
      </c>
      <c r="J145" s="2"/>
      <c r="K145">
        <f t="shared" si="2"/>
        <v>-1.7384011470370422</v>
      </c>
      <c r="L145">
        <f>LOG10(E145/C145)-LOG10(37995/47667)</f>
        <v>-1.451963472098776</v>
      </c>
      <c r="M145">
        <f>LOG10(F145/C145)-LOG10(35167/47667)</f>
        <v>-1.4695248671298411</v>
      </c>
      <c r="N145">
        <f>LOG10(G145/C145)-LOG10(34734/47667)</f>
        <v>-1.288053086594694</v>
      </c>
      <c r="O145">
        <f>LOG10(H145/C145)-LOG10(33378/47667)</f>
        <v>-1.2038118073381052</v>
      </c>
      <c r="Q145">
        <f>AVERAGE(K145:O145)</f>
        <v>-1.4303508760396917</v>
      </c>
      <c r="R145">
        <f>STDEV(K145:O145)</f>
        <v>0.2052226144196842</v>
      </c>
    </row>
    <row r="146" spans="1:18">
      <c r="A146">
        <v>144</v>
      </c>
      <c r="C146">
        <v>2708</v>
      </c>
      <c r="D146">
        <v>52</v>
      </c>
      <c r="E146">
        <v>74</v>
      </c>
      <c r="F146">
        <v>35</v>
      </c>
      <c r="G146">
        <v>84</v>
      </c>
      <c r="H146">
        <v>41</v>
      </c>
      <c r="J146" s="2"/>
      <c r="K146">
        <f t="shared" si="2"/>
        <v>-1.7742578519086674</v>
      </c>
      <c r="L146">
        <f>LOG10(E146/C146)-LOG10(37995/47667)</f>
        <v>-1.4649255693692302</v>
      </c>
      <c r="M146">
        <f>LOG10(F146/C146)-LOG10(35167/47667)</f>
        <v>-1.7564981173336147</v>
      </c>
      <c r="N146">
        <f>LOG10(G146/C146)-LOG10(34734/47667)</f>
        <v>-1.3709063541425426</v>
      </c>
      <c r="O146">
        <f>LOG10(H146/C146)-LOG10(33378/47667)</f>
        <v>-1.6651072938587133</v>
      </c>
      <c r="Q146">
        <f>AVERAGE(K146:O146)</f>
        <v>-1.6063390373225537</v>
      </c>
      <c r="R146">
        <f>STDEV(K146:O146)</f>
        <v>0.18001701503330098</v>
      </c>
    </row>
    <row r="147" spans="1:18">
      <c r="A147">
        <v>145</v>
      </c>
      <c r="C147">
        <v>766</v>
      </c>
      <c r="D147">
        <v>33</v>
      </c>
      <c r="E147">
        <v>39</v>
      </c>
      <c r="F147">
        <v>60</v>
      </c>
      <c r="G147">
        <v>41</v>
      </c>
      <c r="H147">
        <v>55</v>
      </c>
      <c r="J147" s="2"/>
      <c r="K147">
        <f t="shared" si="2"/>
        <v>-1.4233273652850762</v>
      </c>
      <c r="L147">
        <f>LOG10(E147/C147)-LOG10(37995/47667)</f>
        <v>-1.1946727916932045</v>
      </c>
      <c r="M147">
        <f>LOG10(F147/C147)-LOG10(35167/47667)</f>
        <v>-0.97399502091974377</v>
      </c>
      <c r="N147">
        <f>LOG10(G147/C147)-LOG10(34734/47667)</f>
        <v>-1.1339818931041861</v>
      </c>
      <c r="O147">
        <f>LOG10(H147/C147)-LOG10(33378/47667)</f>
        <v>-0.98910857070370217</v>
      </c>
      <c r="Q147">
        <f>AVERAGE(K147:O147)</f>
        <v>-1.1430171283411825</v>
      </c>
      <c r="R147">
        <f>STDEV(K147:O147)</f>
        <v>0.1827430497166041</v>
      </c>
    </row>
    <row r="148" spans="1:18">
      <c r="A148">
        <v>146</v>
      </c>
      <c r="C148">
        <v>1649</v>
      </c>
      <c r="D148">
        <v>128</v>
      </c>
      <c r="E148">
        <v>79</v>
      </c>
      <c r="F148">
        <v>193</v>
      </c>
      <c r="G148">
        <v>107</v>
      </c>
      <c r="H148">
        <v>83</v>
      </c>
      <c r="J148" s="2"/>
      <c r="K148">
        <f t="shared" si="2"/>
        <v>-1.1676232215270101</v>
      </c>
      <c r="L148">
        <f>LOG10(E148/C148)-LOG10(37995/47667)</f>
        <v>-1.221102193441177</v>
      </c>
      <c r="M148">
        <f>LOG10(F148/C148)-LOG10(35167/47667)</f>
        <v>-0.79958084830752851</v>
      </c>
      <c r="N148">
        <f>LOG10(G148/C148)-LOG10(34734/47667)</f>
        <v>-1.0503738581506268</v>
      </c>
      <c r="O148">
        <f>LOG10(H148/C148)-LOG10(33378/47667)</f>
        <v>-1.1433850538337871</v>
      </c>
      <c r="Q148">
        <f>AVERAGE(K148:O148)</f>
        <v>-1.0764130350520258</v>
      </c>
      <c r="R148">
        <f>STDEV(K148:O148)</f>
        <v>0.16662352799298119</v>
      </c>
    </row>
    <row r="149" spans="1:18">
      <c r="A149">
        <v>147</v>
      </c>
      <c r="C149">
        <v>2399</v>
      </c>
      <c r="D149">
        <v>114</v>
      </c>
      <c r="E149">
        <v>57</v>
      </c>
      <c r="F149">
        <v>51</v>
      </c>
      <c r="G149">
        <v>66</v>
      </c>
      <c r="H149">
        <v>65</v>
      </c>
      <c r="J149" s="2"/>
      <c r="K149">
        <f t="shared" si="2"/>
        <v>-1.3807379321617179</v>
      </c>
      <c r="L149">
        <f>LOG10(E149/C149)-LOG10(37995/47667)</f>
        <v>-1.5256640213824388</v>
      </c>
      <c r="M149">
        <f>LOG10(F149/C149)-LOG10(35167/47667)</f>
        <v>-1.5403775735406779</v>
      </c>
      <c r="N149">
        <f>LOG10(G149/C149)-LOG10(34734/47667)</f>
        <v>-1.4230232926172797</v>
      </c>
      <c r="O149">
        <f>LOG10(H149/C149)-LOG10(33378/47667)</f>
        <v>-1.4123593818903173</v>
      </c>
      <c r="Q149">
        <f>AVERAGE(K149:O149)</f>
        <v>-1.4564324403184863</v>
      </c>
      <c r="R149">
        <f>STDEV(K149:O149)</f>
        <v>7.1812362102104413E-2</v>
      </c>
    </row>
    <row r="150" spans="1:18">
      <c r="A150">
        <v>148</v>
      </c>
      <c r="C150">
        <v>542</v>
      </c>
      <c r="D150">
        <v>15</v>
      </c>
      <c r="E150">
        <v>18</v>
      </c>
      <c r="F150">
        <v>13</v>
      </c>
      <c r="G150">
        <v>11</v>
      </c>
      <c r="H150">
        <v>13</v>
      </c>
      <c r="J150" s="2"/>
      <c r="K150">
        <f t="shared" si="2"/>
        <v>-1.6155205630130656</v>
      </c>
      <c r="L150">
        <f>LOG10(E150/C150)-LOG10(37995/47667)</f>
        <v>-1.3802354105221806</v>
      </c>
      <c r="M150">
        <f>LOG10(F150/C150)-LOG10(35167/47667)</f>
        <v>-1.4879734359023338</v>
      </c>
      <c r="N150">
        <f>LOG10(G150/C150)-LOG10(34734/47667)</f>
        <v>-1.5551435815714796</v>
      </c>
      <c r="O150">
        <f>LOG10(H150/C150)-LOG10(33378/47667)</f>
        <v>-1.4652984247968923</v>
      </c>
      <c r="Q150">
        <f>AVERAGE(K150:O150)</f>
        <v>-1.5008342831611903</v>
      </c>
      <c r="R150">
        <f>STDEV(K150:O150)</f>
        <v>8.9547095686827935E-2</v>
      </c>
    </row>
    <row r="151" spans="1:18">
      <c r="A151">
        <v>149</v>
      </c>
      <c r="C151">
        <v>1455</v>
      </c>
      <c r="D151">
        <v>31</v>
      </c>
      <c r="E151">
        <v>24</v>
      </c>
      <c r="F151">
        <v>28</v>
      </c>
      <c r="G151">
        <v>44</v>
      </c>
      <c r="H151">
        <v>39</v>
      </c>
      <c r="J151" s="2"/>
      <c r="K151">
        <f t="shared" si="2"/>
        <v>-1.7291138350180133</v>
      </c>
      <c r="L151">
        <f>LOG10(E151/C151)-LOG10(37995/47667)</f>
        <v>-1.6841603806974197</v>
      </c>
      <c r="M151">
        <f>LOG10(F151/C151)-LOG10(35167/47667)</f>
        <v>-1.5836224636504905</v>
      </c>
      <c r="N151">
        <f>LOG10(G151/C151)-LOG10(34734/47667)</f>
        <v>-1.3819472970270563</v>
      </c>
      <c r="O151">
        <f>LOG10(H151/C151)-LOG10(33378/47667)</f>
        <v>-1.4170408768607692</v>
      </c>
      <c r="Q151">
        <f>AVERAGE(K151:O151)</f>
        <v>-1.5591769706507497</v>
      </c>
      <c r="R151">
        <f>STDEV(K151:O151)</f>
        <v>0.15549115662675739</v>
      </c>
    </row>
    <row r="152" spans="1:18">
      <c r="A152">
        <v>150</v>
      </c>
      <c r="C152">
        <v>2127</v>
      </c>
      <c r="D152">
        <v>40</v>
      </c>
      <c r="E152">
        <v>38</v>
      </c>
      <c r="F152">
        <v>42</v>
      </c>
      <c r="G152">
        <v>29</v>
      </c>
      <c r="H152">
        <v>46</v>
      </c>
      <c r="J152" s="2"/>
      <c r="K152">
        <f t="shared" si="2"/>
        <v>-1.7833200341051265</v>
      </c>
      <c r="L152">
        <f>LOG10(E152/C152)-LOG10(37995/47667)</f>
        <v>-1.6494925223730186</v>
      </c>
      <c r="M152">
        <f>LOG10(F152/C152)-LOG10(35167/47667)</f>
        <v>-1.572435701175612</v>
      </c>
      <c r="N152">
        <f>LOG10(G152/C152)-LOG10(34734/47667)</f>
        <v>-1.7279064721950905</v>
      </c>
      <c r="O152">
        <f>LOG10(H152/C152)-LOG10(33378/47667)</f>
        <v>-1.5102521487864971</v>
      </c>
      <c r="Q152">
        <f>AVERAGE(K152:O152)</f>
        <v>-1.6486813757270689</v>
      </c>
      <c r="R152">
        <f>STDEV(K152:O152)</f>
        <v>0.11110906348973393</v>
      </c>
    </row>
    <row r="153" spans="1:18">
      <c r="A153">
        <v>151</v>
      </c>
      <c r="C153">
        <v>963</v>
      </c>
      <c r="D153">
        <v>11</v>
      </c>
      <c r="E153">
        <v>48</v>
      </c>
      <c r="F153">
        <v>27</v>
      </c>
      <c r="G153">
        <v>22</v>
      </c>
      <c r="H153">
        <v>38</v>
      </c>
      <c r="J153" s="2"/>
      <c r="K153">
        <f t="shared" si="2"/>
        <v>-1.9998461374966694</v>
      </c>
      <c r="L153">
        <f>LOG10(E153/C153)-LOG10(37995/47667)</f>
        <v>-1.203893678836047</v>
      </c>
      <c r="M153">
        <f>LOG10(F153/C153)-LOG10(35167/47667)</f>
        <v>-1.4201800246363308</v>
      </c>
      <c r="N153">
        <f>LOG10(G153/C153)-LOG10(34734/47667)</f>
        <v>-1.5037405864936459</v>
      </c>
      <c r="O153">
        <f>LOG10(H153/C153)-LOG10(33378/47667)</f>
        <v>-1.2490851810730665</v>
      </c>
      <c r="Q153">
        <f>AVERAGE(K153:O153)</f>
        <v>-1.4753491217071519</v>
      </c>
      <c r="R153">
        <f>STDEV(K153:O153)</f>
        <v>0.31773819899882</v>
      </c>
    </row>
    <row r="154" spans="1:18">
      <c r="A154">
        <v>152</v>
      </c>
      <c r="C154">
        <v>2180</v>
      </c>
      <c r="D154">
        <v>54</v>
      </c>
      <c r="E154">
        <v>65</v>
      </c>
      <c r="F154">
        <v>134</v>
      </c>
      <c r="G154">
        <v>89</v>
      </c>
      <c r="H154">
        <v>86</v>
      </c>
      <c r="J154" s="2"/>
      <c r="K154">
        <f t="shared" si="2"/>
        <v>-1.6636752693119961</v>
      </c>
      <c r="L154">
        <f>LOG10(E154/C154)-LOG10(37995/47667)</f>
        <v>-1.4270517660488489</v>
      </c>
      <c r="M154">
        <f>LOG10(F154/C154)-LOG10(35167/47667)</f>
        <v>-1.0792691969105808</v>
      </c>
      <c r="N154">
        <f>LOG10(G154/C154)-LOG10(34734/47667)</f>
        <v>-1.2516034671510097</v>
      </c>
      <c r="O154">
        <f>LOG10(H154/C154)-LOG10(33378/47667)</f>
        <v>-1.2492005329263793</v>
      </c>
      <c r="Q154">
        <f>AVERAGE(K154:O154)</f>
        <v>-1.3341600464697632</v>
      </c>
      <c r="R154">
        <f>STDEV(K154:O154)</f>
        <v>0.22147923524027502</v>
      </c>
    </row>
    <row r="155" spans="1:18">
      <c r="A155">
        <v>153</v>
      </c>
      <c r="C155">
        <v>1191</v>
      </c>
      <c r="D155">
        <v>275</v>
      </c>
      <c r="E155">
        <v>153</v>
      </c>
      <c r="F155">
        <v>83</v>
      </c>
      <c r="G155">
        <v>76</v>
      </c>
      <c r="H155">
        <v>58</v>
      </c>
      <c r="J155" s="2"/>
      <c r="K155">
        <f t="shared" si="2"/>
        <v>-0.69419160318287454</v>
      </c>
      <c r="L155">
        <f>LOG10(E155/C155)-LOG10(37995/47667)</f>
        <v>-0.79272895975227842</v>
      </c>
      <c r="M155">
        <f>LOG10(F155/C155)-LOG10(35167/47667)</f>
        <v>-1.0247511707774872</v>
      </c>
      <c r="N155">
        <f>LOG10(G155/C155)-LOG10(34734/47667)</f>
        <v>-1.0576351493933038</v>
      </c>
      <c r="O155">
        <f>LOG10(H155/C155)-LOG10(33378/47667)</f>
        <v>-1.1577262584851824</v>
      </c>
      <c r="Q155">
        <f>AVERAGE(K155:O155)</f>
        <v>-0.94540662831822542</v>
      </c>
      <c r="R155">
        <f>STDEV(K155:O155)</f>
        <v>0.19390067176746051</v>
      </c>
    </row>
    <row r="156" spans="1:18">
      <c r="A156">
        <v>154</v>
      </c>
      <c r="C156">
        <v>1054</v>
      </c>
      <c r="D156">
        <v>27</v>
      </c>
      <c r="E156">
        <v>31</v>
      </c>
      <c r="F156">
        <v>25</v>
      </c>
      <c r="G156">
        <v>103</v>
      </c>
      <c r="H156">
        <v>19</v>
      </c>
      <c r="J156" s="2"/>
      <c r="K156">
        <f t="shared" si="2"/>
        <v>-1.6490893822479002</v>
      </c>
      <c r="L156">
        <f>LOG10(E156/C156)-LOG10(37995/47667)</f>
        <v>-1.4329875461293549</v>
      </c>
      <c r="M156">
        <f>LOG10(F156/C156)-LOG10(35167/47667)</f>
        <v>-1.4928181038752739</v>
      </c>
      <c r="N156">
        <f>LOG10(G156/C156)-LOG10(34734/47667)</f>
        <v>-0.87254036636267329</v>
      </c>
      <c r="O156">
        <f>LOG10(H156/C156)-LOG10(33378/47667)</f>
        <v>-1.5893295004890409</v>
      </c>
      <c r="Q156">
        <f>AVERAGE(K156:O156)</f>
        <v>-1.4073529798208486</v>
      </c>
      <c r="R156">
        <f>STDEV(K156:O156)</f>
        <v>0.31045848847563456</v>
      </c>
    </row>
    <row r="157" spans="1:18">
      <c r="A157">
        <v>155</v>
      </c>
      <c r="C157">
        <v>817</v>
      </c>
      <c r="D157">
        <v>18</v>
      </c>
      <c r="E157">
        <v>20</v>
      </c>
      <c r="F157">
        <v>27</v>
      </c>
      <c r="G157">
        <v>26</v>
      </c>
      <c r="H157">
        <v>25</v>
      </c>
      <c r="J157" s="2"/>
      <c r="K157">
        <f t="shared" si="2"/>
        <v>-1.7145620869594693</v>
      </c>
      <c r="L157">
        <f>LOG10(E157/C157)-LOG10(37995/47667)</f>
        <v>-1.512700689955534</v>
      </c>
      <c r="M157">
        <f>LOG10(F157/C157)-LOG10(35167/47667)</f>
        <v>-1.3487757940442118</v>
      </c>
      <c r="N157">
        <f>LOG10(G157/C157)-LOG10(34734/47667)</f>
        <v>-1.3597856887529152</v>
      </c>
      <c r="O157">
        <f>LOG10(H157/C157)-LOG10(33378/47667)</f>
        <v>-1.35952453842572</v>
      </c>
      <c r="Q157">
        <f>AVERAGE(K157:O157)</f>
        <v>-1.4590697596275699</v>
      </c>
      <c r="R157">
        <f>STDEV(K157:O157)</f>
        <v>0.15818023158013858</v>
      </c>
    </row>
    <row r="158" spans="1:18">
      <c r="A158">
        <v>156</v>
      </c>
      <c r="C158">
        <v>985</v>
      </c>
      <c r="D158">
        <v>64</v>
      </c>
      <c r="E158">
        <v>60</v>
      </c>
      <c r="F158">
        <v>28</v>
      </c>
      <c r="G158">
        <v>29</v>
      </c>
      <c r="H158">
        <v>28</v>
      </c>
      <c r="J158" s="2"/>
      <c r="K158">
        <f t="shared" si="2"/>
        <v>-1.2448687920440844</v>
      </c>
      <c r="L158">
        <f>LOG10(E158/C158)-LOG10(37995/47667)</f>
        <v>-1.1167936092010677</v>
      </c>
      <c r="M158">
        <f>LOG10(F158/C158)-LOG10(35167/47667)</f>
        <v>-1.4141957008261761</v>
      </c>
      <c r="N158">
        <f>LOG10(G158/C158)-LOG10(34734/47667)</f>
        <v>-1.3935752127899732</v>
      </c>
      <c r="O158">
        <f>LOG10(H158/C158)-LOG10(33378/47667)</f>
        <v>-1.3915206897207346</v>
      </c>
      <c r="Q158">
        <f>AVERAGE(K158:O158)</f>
        <v>-1.3121908009164072</v>
      </c>
      <c r="R158">
        <f>STDEV(K158:O158)</f>
        <v>0.12848537734715321</v>
      </c>
    </row>
    <row r="159" spans="1:18">
      <c r="A159">
        <v>157</v>
      </c>
      <c r="C159">
        <v>2522</v>
      </c>
      <c r="D159">
        <v>69</v>
      </c>
      <c r="E159">
        <v>178</v>
      </c>
      <c r="F159">
        <v>145</v>
      </c>
      <c r="G159">
        <v>134</v>
      </c>
      <c r="H159">
        <v>100</v>
      </c>
      <c r="J159" s="2"/>
      <c r="K159">
        <f t="shared" si="2"/>
        <v>-1.6205085270301673</v>
      </c>
      <c r="L159">
        <f>LOG10(E159/C159)-LOG10(37995/47667)</f>
        <v>-1.0528337090152686</v>
      </c>
      <c r="M159">
        <f>LOG10(F159/C159)-LOG10(35167/47667)</f>
        <v>-1.1082945816728715</v>
      </c>
      <c r="N159">
        <f>LOG10(G159/C159)-LOG10(34734/47667)</f>
        <v>-1.1371772640635729</v>
      </c>
      <c r="O159">
        <f>LOG10(H159/C159)-LOG10(33378/47667)</f>
        <v>-1.2469875728024049</v>
      </c>
      <c r="Q159">
        <f>AVERAGE(K159:O159)</f>
        <v>-1.2331603309168571</v>
      </c>
      <c r="R159">
        <f>STDEV(K159:O159)</f>
        <v>0.22778921872734581</v>
      </c>
    </row>
    <row r="160" spans="1:18">
      <c r="A160">
        <v>158</v>
      </c>
      <c r="C160">
        <v>2652</v>
      </c>
      <c r="D160">
        <v>89</v>
      </c>
      <c r="E160">
        <v>112</v>
      </c>
      <c r="F160">
        <v>112</v>
      </c>
      <c r="G160">
        <v>103</v>
      </c>
      <c r="H160">
        <v>106</v>
      </c>
      <c r="J160" s="2"/>
      <c r="K160">
        <f t="shared" si="2"/>
        <v>-1.5317960486181825</v>
      </c>
      <c r="L160">
        <f>LOG10(E160/C160)-LOG10(37995/47667)</f>
        <v>-1.2758641261496535</v>
      </c>
      <c r="M160">
        <f>LOG10(F160/C160)-LOG10(35167/47667)</f>
        <v>-1.2422729987333374</v>
      </c>
      <c r="N160">
        <f>LOG10(G160/C160)-LOG10(34734/47667)</f>
        <v>-1.2732732752188809</v>
      </c>
      <c r="O160">
        <f>LOG10(H160/C160)-LOG10(33378/47667)</f>
        <v>-1.2435101450333075</v>
      </c>
      <c r="Q160">
        <f>AVERAGE(K160:O160)</f>
        <v>-1.3133433187506725</v>
      </c>
      <c r="R160">
        <f>STDEV(K160:O160)</f>
        <v>0.12314580381811367</v>
      </c>
    </row>
    <row r="161" spans="1:18">
      <c r="A161">
        <v>159</v>
      </c>
      <c r="C161">
        <v>1109</v>
      </c>
      <c r="D161">
        <v>29</v>
      </c>
      <c r="E161">
        <v>68</v>
      </c>
      <c r="F161">
        <v>20</v>
      </c>
      <c r="G161">
        <v>15</v>
      </c>
      <c r="H161">
        <v>51</v>
      </c>
      <c r="J161" s="2"/>
      <c r="K161">
        <f t="shared" si="2"/>
        <v>-1.6401460837805639</v>
      </c>
      <c r="L161">
        <f>LOG10(E161/C161)-LOG10(37995/47667)</f>
        <v>-1.1139312625300235</v>
      </c>
      <c r="M161">
        <f>LOG10(F161/C161)-LOG10(35167/47667)</f>
        <v>-1.6118190521559626</v>
      </c>
      <c r="N161">
        <f>LOG10(G161/C161)-LOG10(34734/47667)</f>
        <v>-1.7313772672847965</v>
      </c>
      <c r="O161">
        <f>LOG10(H161/C161)-LOG10(33378/47667)</f>
        <v>-1.1826038606165659</v>
      </c>
      <c r="Q161">
        <f>AVERAGE(K161:O161)</f>
        <v>-1.4559755052735823</v>
      </c>
      <c r="R161">
        <f>STDEV(K161:O161)</f>
        <v>0.28538503101418061</v>
      </c>
    </row>
    <row r="162" spans="1:18">
      <c r="A162">
        <v>160</v>
      </c>
      <c r="C162">
        <v>1144</v>
      </c>
      <c r="D162">
        <v>23</v>
      </c>
      <c r="E162">
        <v>33</v>
      </c>
      <c r="F162">
        <v>46</v>
      </c>
      <c r="G162">
        <v>39</v>
      </c>
      <c r="H162">
        <v>48</v>
      </c>
      <c r="J162" s="2"/>
      <c r="K162">
        <f t="shared" si="2"/>
        <v>-1.7543107239697724</v>
      </c>
      <c r="L162">
        <f>LOG10(E162/C162)-LOG10(37995/47667)</f>
        <v>-1.4414207136662176</v>
      </c>
      <c r="M162">
        <f>LOG10(F162/C162)-LOG10(35167/47667)</f>
        <v>-1.2635856944462149</v>
      </c>
      <c r="N162">
        <f>LOG10(G162/C162)-LOG10(34734/47667)</f>
        <v>-1.3298983976218239</v>
      </c>
      <c r="O162">
        <f>LOG10(H162/C162)-LOG10(33378/47667)</f>
        <v>-1.2224272776467604</v>
      </c>
      <c r="Q162">
        <f>AVERAGE(K162:O162)</f>
        <v>-1.4023285614701577</v>
      </c>
      <c r="R162">
        <f>STDEV(K162:O162)</f>
        <v>0.21347120577940409</v>
      </c>
    </row>
    <row r="163" spans="1:18">
      <c r="A163">
        <v>161</v>
      </c>
      <c r="C163">
        <v>2154</v>
      </c>
      <c r="D163">
        <v>108</v>
      </c>
      <c r="E163">
        <v>138</v>
      </c>
      <c r="F163">
        <v>158</v>
      </c>
      <c r="G163">
        <v>55</v>
      </c>
      <c r="H163">
        <v>111</v>
      </c>
      <c r="J163" s="2"/>
      <c r="K163">
        <f t="shared" si="2"/>
        <v>-1.357434479005373</v>
      </c>
      <c r="L163">
        <f>LOG10(E163/C163)-LOG10(37995/47667)</f>
        <v>-1.094875241647826</v>
      </c>
      <c r="M163">
        <f>LOG10(F163/C163)-LOG10(35167/47667)</f>
        <v>-1.0025061136783238</v>
      </c>
      <c r="N163">
        <f>LOG10(G163/C163)-LOG10(34734/47667)</f>
        <v>-1.4554199896590365</v>
      </c>
      <c r="O163">
        <f>LOG10(H163/C163)-LOG10(33378/47667)</f>
        <v>-1.1331652107406476</v>
      </c>
      <c r="Q163">
        <f>AVERAGE(K163:O163)</f>
        <v>-1.2086802069462415</v>
      </c>
      <c r="R163">
        <f>STDEV(K163:O163)</f>
        <v>0.18984875252576133</v>
      </c>
    </row>
    <row r="164" spans="1:18">
      <c r="A164">
        <v>162</v>
      </c>
      <c r="C164">
        <v>1418</v>
      </c>
      <c r="D164">
        <v>23</v>
      </c>
      <c r="E164">
        <v>35</v>
      </c>
      <c r="F164">
        <v>24</v>
      </c>
      <c r="G164">
        <v>27</v>
      </c>
      <c r="H164">
        <v>36</v>
      </c>
      <c r="J164" s="2"/>
      <c r="K164">
        <f t="shared" si="2"/>
        <v>-1.8475609303598146</v>
      </c>
      <c r="L164">
        <f>LOG10(E164/C164)-LOG10(37995/47667)</f>
        <v>-1.5091168155838719</v>
      </c>
      <c r="M164">
        <f>LOG10(F164/C164)-LOG10(35167/47667)</f>
        <v>-1.6393824908062253</v>
      </c>
      <c r="N164">
        <f>LOG10(G164/C164)-LOG10(34734/47667)</f>
        <v>-1.5828494468793781</v>
      </c>
      <c r="O164">
        <f>LOG10(H164/C164)-LOG10(33378/47667)</f>
        <v>-1.4406162206451028</v>
      </c>
      <c r="Q164">
        <f>AVERAGE(K164:O164)</f>
        <v>-1.6039051808548788</v>
      </c>
      <c r="R164">
        <f>STDEV(K164:O164)</f>
        <v>0.15549777043303759</v>
      </c>
    </row>
    <row r="165" spans="1:18">
      <c r="A165">
        <v>163</v>
      </c>
      <c r="C165">
        <v>931</v>
      </c>
      <c r="D165">
        <v>60</v>
      </c>
      <c r="E165">
        <v>58</v>
      </c>
      <c r="F165">
        <v>79</v>
      </c>
      <c r="G165">
        <v>54</v>
      </c>
      <c r="H165">
        <v>56</v>
      </c>
      <c r="J165" s="2"/>
      <c r="K165">
        <f t="shared" si="2"/>
        <v>-1.2484109661280587</v>
      </c>
      <c r="L165">
        <f>LOG10(E165/C165)-LOG10(37995/47667)</f>
        <v>-1.1070303165055051</v>
      </c>
      <c r="M165">
        <f>LOG10(F165/C165)-LOG10(35167/47667)</f>
        <v>-0.93924009136168463</v>
      </c>
      <c r="N165">
        <f>LOG10(G165/C165)-LOG10(34734/47667)</f>
        <v>-1.0990929013496917</v>
      </c>
      <c r="O165">
        <f>LOG10(H165/C165)-LOG10(33378/47667)</f>
        <v>-1.0660041445404844</v>
      </c>
      <c r="Q165">
        <f>AVERAGE(K165:O165)</f>
        <v>-1.0919556839770848</v>
      </c>
      <c r="R165">
        <f>STDEV(K165:O165)</f>
        <v>0.11039924632627014</v>
      </c>
    </row>
    <row r="166" spans="1:18">
      <c r="A166">
        <v>164</v>
      </c>
      <c r="C166">
        <v>1177</v>
      </c>
      <c r="D166">
        <v>51</v>
      </c>
      <c r="E166">
        <v>34</v>
      </c>
      <c r="F166">
        <v>21</v>
      </c>
      <c r="G166">
        <v>18</v>
      </c>
      <c r="H166">
        <v>15</v>
      </c>
      <c r="J166" s="2"/>
      <c r="K166">
        <f t="shared" si="2"/>
        <v>-1.4208188222758582</v>
      </c>
      <c r="L166">
        <f>LOG10(E166/C166)-LOG10(37995/47667)</f>
        <v>-1.4408061748882792</v>
      </c>
      <c r="M166">
        <f>LOG10(F166/C166)-LOG10(35167/47667)</f>
        <v>-1.616474669780299</v>
      </c>
      <c r="N166">
        <f>LOG10(G166/C166)-LOG10(34734/47667)</f>
        <v>-1.6780409379314463</v>
      </c>
      <c r="O166">
        <f>LOG10(H166/C166)-LOG10(33378/47667)</f>
        <v>-1.7399276943530957</v>
      </c>
      <c r="Q166">
        <f>AVERAGE(K166:O166)</f>
        <v>-1.5792136598457955</v>
      </c>
      <c r="R166">
        <f>STDEV(K166:O166)</f>
        <v>0.14250418511735305</v>
      </c>
    </row>
    <row r="167" spans="1:18">
      <c r="A167">
        <v>165</v>
      </c>
      <c r="C167">
        <v>1722</v>
      </c>
      <c r="D167">
        <v>63</v>
      </c>
      <c r="E167">
        <v>76</v>
      </c>
      <c r="F167">
        <v>25</v>
      </c>
      <c r="G167">
        <v>72</v>
      </c>
      <c r="H167">
        <v>58</v>
      </c>
      <c r="J167" s="2"/>
      <c r="K167">
        <f t="shared" si="2"/>
        <v>-1.4943051331944142</v>
      </c>
      <c r="L167">
        <f>LOG10(E167/C167)-LOG10(37995/47667)</f>
        <v>-1.2567281839239444</v>
      </c>
      <c r="M167">
        <f>LOG10(F167/C167)-LOG10(35167/47667)</f>
        <v>-1.7060106401163819</v>
      </c>
      <c r="N167">
        <f>LOG10(G167/C167)-LOG10(34734/47667)</f>
        <v>-1.2412376308776851</v>
      </c>
      <c r="O167">
        <f>LOG10(H167/C167)-LOG10(33378/47667)</f>
        <v>-1.3178476441200409</v>
      </c>
      <c r="Q167">
        <f>AVERAGE(K167:O167)</f>
        <v>-1.4032258464464935</v>
      </c>
      <c r="R167">
        <f>STDEV(K167:O167)</f>
        <v>0.19682813079718789</v>
      </c>
    </row>
    <row r="168" spans="1:18">
      <c r="A168">
        <v>166</v>
      </c>
      <c r="C168">
        <v>2119</v>
      </c>
      <c r="D168">
        <v>102</v>
      </c>
      <c r="E168">
        <v>134</v>
      </c>
      <c r="F168">
        <v>78</v>
      </c>
      <c r="G168">
        <v>91</v>
      </c>
      <c r="H168">
        <v>51</v>
      </c>
      <c r="J168" s="2"/>
      <c r="K168">
        <f t="shared" si="2"/>
        <v>-1.3751433204792367</v>
      </c>
      <c r="L168">
        <f>LOG10(E168/C168)-LOG10(37995/47667)</f>
        <v>-1.1005347874330866</v>
      </c>
      <c r="M168">
        <f>LOG10(F168/C168)-LOG10(35167/47667)</f>
        <v>-1.3019538556910977</v>
      </c>
      <c r="N168">
        <f>LOG10(G168/C168)-LOG10(34734/47667)</f>
        <v>-1.2296265445810186</v>
      </c>
      <c r="O168">
        <f>LOG10(H168/C168)-LOG10(33378/47667)</f>
        <v>-1.4638032711782003</v>
      </c>
      <c r="Q168">
        <f>AVERAGE(K168:O168)</f>
        <v>-1.294212355872528</v>
      </c>
      <c r="R168">
        <f>STDEV(K168:O168)</f>
        <v>0.13879225297420775</v>
      </c>
    </row>
    <row r="169" spans="1:18">
      <c r="A169">
        <v>167</v>
      </c>
      <c r="C169">
        <v>3133</v>
      </c>
      <c r="D169">
        <v>214</v>
      </c>
      <c r="E169">
        <v>201</v>
      </c>
      <c r="F169">
        <v>106</v>
      </c>
      <c r="G169">
        <v>143</v>
      </c>
      <c r="H169">
        <v>176</v>
      </c>
      <c r="J169" s="2"/>
      <c r="K169">
        <f t="shared" si="2"/>
        <v>-1.2231591570628741</v>
      </c>
      <c r="L169">
        <f>LOG10(E169/C169)-LOG10(37995/47667)</f>
        <v>-1.094272966548316</v>
      </c>
      <c r="M169">
        <f>LOG10(F169/C169)-LOG10(35167/47667)</f>
        <v>-1.3385720312877185</v>
      </c>
      <c r="N169">
        <f>LOG10(G169/C169)-LOG10(34734/47667)</f>
        <v>-1.2031613376079611</v>
      </c>
      <c r="O169">
        <f>LOG10(H169/C169)-LOG10(33378/47667)</f>
        <v>-1.0956902176328975</v>
      </c>
      <c r="Q169">
        <f>AVERAGE(K169:O169)</f>
        <v>-1.1909711420279534</v>
      </c>
      <c r="R169">
        <f>STDEV(K169:O169)</f>
        <v>0.10173456072680963</v>
      </c>
    </row>
    <row r="170" spans="1:18">
      <c r="A170">
        <v>168</v>
      </c>
      <c r="C170">
        <v>1153</v>
      </c>
      <c r="D170">
        <v>179</v>
      </c>
      <c r="E170">
        <v>27</v>
      </c>
      <c r="F170">
        <v>35</v>
      </c>
      <c r="G170">
        <v>45</v>
      </c>
      <c r="H170">
        <v>28</v>
      </c>
      <c r="J170" s="2"/>
      <c r="K170">
        <f t="shared" si="2"/>
        <v>-0.86658881184516556</v>
      </c>
      <c r="L170">
        <f>LOG10(E170/C170)-LOG10(37995/47667)</f>
        <v>-1.5319741722228115</v>
      </c>
      <c r="M170">
        <f>LOG10(F170/C170)-LOG10(35167/47667)</f>
        <v>-1.3856787646152071</v>
      </c>
      <c r="N170">
        <f>LOG10(G170/C170)-LOG10(34734/47667)</f>
        <v>-1.2711537737106731</v>
      </c>
      <c r="O170">
        <f>LOG10(H170/C170)-LOG10(33378/47667)</f>
        <v>-1.4599137665178219</v>
      </c>
      <c r="Q170">
        <f>AVERAGE(K170:O170)</f>
        <v>-1.3030618577823359</v>
      </c>
      <c r="R170">
        <f>STDEV(K170:O170)</f>
        <v>0.26237176292900116</v>
      </c>
    </row>
    <row r="171" spans="1:18">
      <c r="A171">
        <v>169</v>
      </c>
      <c r="C171">
        <v>320</v>
      </c>
      <c r="D171">
        <v>65</v>
      </c>
      <c r="E171">
        <v>42</v>
      </c>
      <c r="F171">
        <v>25</v>
      </c>
      <c r="G171">
        <v>99</v>
      </c>
      <c r="H171">
        <v>42</v>
      </c>
      <c r="J171" s="2"/>
      <c r="K171">
        <f t="shared" si="2"/>
        <v>-0.74984915720741008</v>
      </c>
      <c r="L171">
        <f>LOG10(E171/C171)-LOG10(37995/47667)</f>
        <v>-0.78340931700910521</v>
      </c>
      <c r="M171">
        <f>LOG10(F171/C171)-LOG10(35167/47667)</f>
        <v>-0.97512747131865185</v>
      </c>
      <c r="N171">
        <f>LOG10(G171/C171)-LOG10(34734/47667)</f>
        <v>-0.37205176391367378</v>
      </c>
      <c r="O171">
        <f>LOG10(H171/C171)-LOG10(33378/47667)</f>
        <v>-0.72714317848734766</v>
      </c>
      <c r="Q171">
        <f>AVERAGE(K171:O171)</f>
        <v>-0.72151617758723763</v>
      </c>
      <c r="R171">
        <f>STDEV(K171:O171)</f>
        <v>0.21858021771944053</v>
      </c>
    </row>
    <row r="172" spans="1:18">
      <c r="A172">
        <v>170</v>
      </c>
      <c r="C172">
        <v>2163</v>
      </c>
      <c r="D172">
        <v>54</v>
      </c>
      <c r="E172">
        <v>82</v>
      </c>
      <c r="F172">
        <v>95</v>
      </c>
      <c r="G172">
        <v>94</v>
      </c>
      <c r="H172">
        <v>67</v>
      </c>
      <c r="J172" s="2"/>
      <c r="K172">
        <f t="shared" si="2"/>
        <v>-1.6602752951464828</v>
      </c>
      <c r="L172">
        <f>LOG10(E172/C172)-LOG10(37995/47667)</f>
        <v>-1.3227512961424746</v>
      </c>
      <c r="M172">
        <f>LOG10(F172/C172)-LOG10(35167/47667)</f>
        <v>-1.2252504158210273</v>
      </c>
      <c r="N172">
        <f>LOG10(G172/C172)-LOG10(34734/47667)</f>
        <v>-1.2244656460307104</v>
      </c>
      <c r="O172">
        <f>LOG10(H172/C172)-LOG10(33378/47667)</f>
        <v>-1.3542242073036073</v>
      </c>
      <c r="Q172">
        <f>AVERAGE(K172:O172)</f>
        <v>-1.3573933720888605</v>
      </c>
      <c r="R172">
        <f>STDEV(K172:O172)</f>
        <v>0.17894071475812143</v>
      </c>
    </row>
    <row r="173" spans="1:18">
      <c r="A173">
        <v>171</v>
      </c>
      <c r="C173">
        <v>1367</v>
      </c>
      <c r="D173">
        <v>121</v>
      </c>
      <c r="E173">
        <v>40</v>
      </c>
      <c r="F173">
        <v>31</v>
      </c>
      <c r="G173">
        <v>15</v>
      </c>
      <c r="H173">
        <v>22</v>
      </c>
      <c r="J173" s="2"/>
      <c r="K173">
        <f t="shared" si="2"/>
        <v>-1.110595679781732</v>
      </c>
      <c r="L173">
        <f>LOG10(E173/C173)-LOG10(37995/47667)</f>
        <v>-1.4352171523269597</v>
      </c>
      <c r="M173">
        <f>LOG10(F173/C173)-LOG10(35167/47667)</f>
        <v>-1.5123243224043332</v>
      </c>
      <c r="N173">
        <f>LOG10(G173/C173)-LOG10(34734/47667)</f>
        <v>-1.8222142357034588</v>
      </c>
      <c r="O173">
        <f>LOG10(H173/C173)-LOG10(33378/47667)</f>
        <v>-1.6385883243109582</v>
      </c>
      <c r="Q173">
        <f>AVERAGE(K173:O173)</f>
        <v>-1.5037879429054883</v>
      </c>
      <c r="R173">
        <f>STDEV(K173:O173)</f>
        <v>0.26407452813931737</v>
      </c>
    </row>
    <row r="174" spans="1:18">
      <c r="A174">
        <v>172</v>
      </c>
      <c r="C174">
        <v>1436</v>
      </c>
      <c r="D174">
        <v>81</v>
      </c>
      <c r="E174">
        <v>46</v>
      </c>
      <c r="F174">
        <v>28</v>
      </c>
      <c r="G174">
        <v>46</v>
      </c>
      <c r="H174">
        <v>25</v>
      </c>
      <c r="J174" s="2"/>
      <c r="K174">
        <f t="shared" si="2"/>
        <v>-1.3062819565579915</v>
      </c>
      <c r="L174">
        <f>LOG10(E174/C174)-LOG10(37995/47667)</f>
        <v>-1.3959052373118073</v>
      </c>
      <c r="M174">
        <f>LOG10(F174/C174)-LOG10(35167/47667)</f>
        <v>-1.5779139102348458</v>
      </c>
      <c r="N174">
        <f>LOG10(G174/C174)-LOG10(34734/47667)</f>
        <v>-1.3569335884160252</v>
      </c>
      <c r="O174">
        <f>LOG10(H174/C174)-LOG10(33378/47667)</f>
        <v>-1.6044569217995861</v>
      </c>
      <c r="Q174">
        <f>AVERAGE(K174:O174)</f>
        <v>-1.4482983228640511</v>
      </c>
      <c r="R174">
        <f>STDEV(K174:O174)</f>
        <v>0.13457981546670114</v>
      </c>
    </row>
    <row r="175" spans="1:18">
      <c r="A175">
        <v>173</v>
      </c>
      <c r="C175">
        <v>914</v>
      </c>
      <c r="D175">
        <v>15</v>
      </c>
      <c r="E175">
        <v>15</v>
      </c>
      <c r="F175">
        <v>23</v>
      </c>
      <c r="G175">
        <v>25</v>
      </c>
      <c r="H175">
        <v>17</v>
      </c>
      <c r="J175" s="2"/>
      <c r="K175">
        <f t="shared" si="2"/>
        <v>-1.8424674722085101</v>
      </c>
      <c r="L175">
        <f>LOG10(E175/C175)-LOG10(37995/47667)</f>
        <v>-1.68636356576525</v>
      </c>
      <c r="M175">
        <f>LOG10(F175/C175)-LOG10(35167/47667)</f>
        <v>-1.4671358613870222</v>
      </c>
      <c r="N175">
        <f>LOG10(G175/C175)-LOG10(34734/47667)</f>
        <v>-1.4255431672531114</v>
      </c>
      <c r="O175">
        <f>LOG10(H175/C175)-LOG10(33378/47667)</f>
        <v>-1.5757397649208997</v>
      </c>
      <c r="Q175">
        <f>AVERAGE(K175:O175)</f>
        <v>-1.5994499663069586</v>
      </c>
      <c r="R175">
        <f>STDEV(K175:O175)</f>
        <v>0.16950239873899539</v>
      </c>
    </row>
    <row r="176" spans="1:18">
      <c r="A176">
        <v>174</v>
      </c>
      <c r="C176">
        <v>665</v>
      </c>
      <c r="D176">
        <v>36</v>
      </c>
      <c r="E176">
        <v>48</v>
      </c>
      <c r="F176">
        <v>37</v>
      </c>
      <c r="G176">
        <v>29</v>
      </c>
      <c r="H176">
        <v>46</v>
      </c>
      <c r="J176" s="2"/>
      <c r="K176">
        <f t="shared" si="2"/>
        <v>-1.3241316800661771</v>
      </c>
      <c r="L176">
        <f>LOG10(E176/C176)-LOG10(37995/47667)</f>
        <v>-1.0430890370146171</v>
      </c>
      <c r="M176">
        <f>LOG10(F176/C176)-LOG10(35167/47667)</f>
        <v>-1.1225374229068932</v>
      </c>
      <c r="N176">
        <f>LOG10(G176/C176)-LOG10(34734/47667)</f>
        <v>-1.2229606275954661</v>
      </c>
      <c r="O176">
        <f>LOG10(H176/C176)-LOG10(33378/47667)</f>
        <v>-1.0053063041868726</v>
      </c>
      <c r="Q176">
        <f>AVERAGE(K176:O176)</f>
        <v>-1.1436050143540051</v>
      </c>
      <c r="R176">
        <f>STDEV(K176:O176)</f>
        <v>0.13092080500234879</v>
      </c>
    </row>
    <row r="177" spans="1:18">
      <c r="A177">
        <v>175</v>
      </c>
      <c r="C177">
        <v>1219</v>
      </c>
      <c r="D177">
        <v>17</v>
      </c>
      <c r="E177">
        <v>39</v>
      </c>
      <c r="F177">
        <v>34</v>
      </c>
      <c r="G177">
        <v>28</v>
      </c>
      <c r="H177">
        <v>38</v>
      </c>
      <c r="J177" s="2"/>
      <c r="K177">
        <f t="shared" si="2"/>
        <v>-1.9131673197704677</v>
      </c>
      <c r="L177">
        <f>LOG10(E177/C177)-LOG10(37995/47667)</f>
        <v>-1.3964477276789824</v>
      </c>
      <c r="M177">
        <f>LOG10(F177/C177)-LOG10(35167/47667)</f>
        <v>-1.4224422902469105</v>
      </c>
      <c r="N177">
        <f>LOG10(G177/C177)-LOG10(34734/47667)</f>
        <v>-1.5013826544674804</v>
      </c>
      <c r="O177">
        <f>LOG10(H177/C177)-LOG10(33378/47667)</f>
        <v>-1.3514625995669138</v>
      </c>
      <c r="Q177">
        <f>AVERAGE(K177:O177)</f>
        <v>-1.5169805183461511</v>
      </c>
      <c r="R177">
        <f>STDEV(K177:O177)</f>
        <v>0.22807295248208248</v>
      </c>
    </row>
    <row r="178" spans="1:18">
      <c r="A178">
        <v>176</v>
      </c>
      <c r="C178">
        <v>1968</v>
      </c>
      <c r="D178">
        <v>127</v>
      </c>
      <c r="E178">
        <v>96</v>
      </c>
      <c r="F178">
        <v>117</v>
      </c>
      <c r="G178">
        <v>88</v>
      </c>
      <c r="H178">
        <v>72</v>
      </c>
      <c r="J178" s="2"/>
      <c r="K178">
        <f t="shared" si="2"/>
        <v>-1.2478339086697257</v>
      </c>
      <c r="L178">
        <f>LOG10(E178/C178)-LOG10(37995/47667)</f>
        <v>-1.2132624901428539</v>
      </c>
      <c r="M178">
        <f>LOG10(F178/C178)-LOG10(35167/47667)</f>
        <v>-1.0937567340199448</v>
      </c>
      <c r="N178">
        <f>LOG10(G178/C178)-LOG10(34734/47667)</f>
        <v>-1.2120794021364718</v>
      </c>
      <c r="O178">
        <f>LOG10(H178/C178)-LOG10(33378/47667)</f>
        <v>-1.2819350882293965</v>
      </c>
      <c r="Q178">
        <f>AVERAGE(K178:O178)</f>
        <v>-1.2097735246396784</v>
      </c>
      <c r="R178">
        <f>STDEV(K178:O178)</f>
        <v>7.0945876816844125E-2</v>
      </c>
    </row>
    <row r="179" spans="1:18">
      <c r="A179">
        <v>177</v>
      </c>
      <c r="C179">
        <v>1908</v>
      </c>
      <c r="D179">
        <v>49</v>
      </c>
      <c r="E179">
        <v>48</v>
      </c>
      <c r="F179">
        <v>38</v>
      </c>
      <c r="G179">
        <v>54</v>
      </c>
      <c r="H179">
        <v>32</v>
      </c>
      <c r="J179" s="2"/>
      <c r="K179">
        <f t="shared" si="2"/>
        <v>-1.6479948258699224</v>
      </c>
      <c r="L179">
        <f>LOG10(E179/C179)-LOG10(37995/47667)</f>
        <v>-1.5008457620795888</v>
      </c>
      <c r="M179">
        <f>LOG10(F179/C179)-LOG10(35167/47667)</f>
        <v>-1.5687122754220497</v>
      </c>
      <c r="N179">
        <f>LOG10(G179/C179)-LOG10(34734/47667)</f>
        <v>-1.4107215907364254</v>
      </c>
      <c r="O179">
        <f>LOG10(H179/C179)-LOG10(33378/47667)</f>
        <v>-1.6206708826135126</v>
      </c>
      <c r="Q179">
        <f>AVERAGE(K179:O179)</f>
        <v>-1.5497890673442998</v>
      </c>
      <c r="R179">
        <f>STDEV(K179:O179)</f>
        <v>9.5866966061988607E-2</v>
      </c>
    </row>
    <row r="180" spans="1:18">
      <c r="A180">
        <v>178</v>
      </c>
      <c r="C180">
        <v>852</v>
      </c>
      <c r="D180">
        <v>34</v>
      </c>
      <c r="E180">
        <v>26</v>
      </c>
      <c r="F180">
        <v>31</v>
      </c>
      <c r="G180">
        <v>27</v>
      </c>
      <c r="H180">
        <v>11</v>
      </c>
      <c r="J180" s="2"/>
      <c r="K180">
        <f t="shared" si="2"/>
        <v>-1.4565732132548048</v>
      </c>
      <c r="L180">
        <f>LOG10(E180/C180)-LOG10(37995/47667)</f>
        <v>-1.4169748758829819</v>
      </c>
      <c r="M180">
        <f>LOG10(F180/C180)-LOG10(35167/47667)</f>
        <v>-1.3069954026032111</v>
      </c>
      <c r="N180">
        <f>LOG10(G180/C180)-LOG10(34734/47667)</f>
        <v>-1.3616128107990304</v>
      </c>
      <c r="O180">
        <f>LOG10(H180/C180)-LOG10(33378/47667)</f>
        <v>-1.7342894001738172</v>
      </c>
      <c r="Q180">
        <f>AVERAGE(K180:O180)</f>
        <v>-1.455289140542769</v>
      </c>
      <c r="R180">
        <f>STDEV(K180:O180)</f>
        <v>0.16588931856789785</v>
      </c>
    </row>
    <row r="181" spans="1:18">
      <c r="A181">
        <v>179</v>
      </c>
      <c r="C181">
        <v>1316</v>
      </c>
      <c r="D181">
        <v>31</v>
      </c>
      <c r="E181">
        <v>58</v>
      </c>
      <c r="F181">
        <v>36</v>
      </c>
      <c r="G181">
        <v>35</v>
      </c>
      <c r="H181">
        <v>28</v>
      </c>
      <c r="J181" s="2"/>
      <c r="K181">
        <f t="shared" si="2"/>
        <v>-1.6855067309740239</v>
      </c>
      <c r="L181">
        <f>LOG10(E181/C181)-LOG10(37995/47667)</f>
        <v>-1.2573365248020991</v>
      </c>
      <c r="M181">
        <f>LOG10(F181/C181)-LOG10(35167/47667)</f>
        <v>-1.4308708901814331</v>
      </c>
      <c r="N181">
        <f>LOG10(G181/C181)-LOG10(34734/47667)</f>
        <v>-1.4377248251189787</v>
      </c>
      <c r="O181">
        <f>LOG10(H181/C181)-LOG10(33378/47667)</f>
        <v>-1.5173403485010597</v>
      </c>
      <c r="Q181">
        <f>AVERAGE(K181:O181)</f>
        <v>-1.4657558639155188</v>
      </c>
      <c r="R181">
        <f>STDEV(K181:O181)</f>
        <v>0.15523588830215479</v>
      </c>
    </row>
    <row r="182" spans="1:18">
      <c r="A182">
        <v>180</v>
      </c>
      <c r="C182">
        <v>1083</v>
      </c>
      <c r="D182">
        <v>34</v>
      </c>
      <c r="E182">
        <v>16</v>
      </c>
      <c r="F182">
        <v>48</v>
      </c>
      <c r="G182">
        <v>40</v>
      </c>
      <c r="H182">
        <v>22</v>
      </c>
      <c r="J182" s="2"/>
      <c r="K182">
        <f t="shared" si="2"/>
        <v>-1.560762075113425</v>
      </c>
      <c r="L182">
        <f>LOG10(E182/C182)-LOG10(37995/47667)</f>
        <v>-1.7320171030564953</v>
      </c>
      <c r="M182">
        <f>LOG10(F182/C182)-LOG10(35167/47667)</f>
        <v>-1.2213047209205168</v>
      </c>
      <c r="N182">
        <f>LOG10(G182/C182)-LOG10(34734/47667)</f>
        <v>-1.2951054454886757</v>
      </c>
      <c r="O182">
        <f>LOG10(H182/C182)-LOG10(33378/47667)</f>
        <v>-1.5374482663684563</v>
      </c>
      <c r="Q182">
        <f>AVERAGE(K182:O182)</f>
        <v>-1.4693275221895139</v>
      </c>
      <c r="R182">
        <f>STDEV(K182:O182)</f>
        <v>0.20849170913445753</v>
      </c>
    </row>
    <row r="183" spans="1:18">
      <c r="A183">
        <v>181</v>
      </c>
      <c r="C183">
        <v>1562</v>
      </c>
      <c r="D183">
        <v>51</v>
      </c>
      <c r="E183">
        <v>64</v>
      </c>
      <c r="F183">
        <v>60</v>
      </c>
      <c r="G183">
        <v>86</v>
      </c>
      <c r="H183">
        <v>86</v>
      </c>
      <c r="J183" s="2"/>
      <c r="K183">
        <f t="shared" si="2"/>
        <v>-1.543723388973705</v>
      </c>
      <c r="L183">
        <f>LOG10(E183/C183)-LOG10(37995/47667)</f>
        <v>-1.2890096846444941</v>
      </c>
      <c r="M183">
        <f>LOG10(F183/C183)-LOG10(35167/47667)</f>
        <v>-1.2834472808284216</v>
      </c>
      <c r="N183">
        <f>LOG10(G183/C183)-LOG10(34734/47667)</f>
        <v>-1.1217195584890314</v>
      </c>
      <c r="O183">
        <f>LOG10(H183/C183)-LOG10(33378/47667)</f>
        <v>-1.1044250688630559</v>
      </c>
      <c r="Q183">
        <f>AVERAGE(K183:O183)</f>
        <v>-1.2684649963597416</v>
      </c>
      <c r="R183">
        <f>STDEV(K183:O183)</f>
        <v>0.17667559050278162</v>
      </c>
    </row>
    <row r="184" spans="1:18">
      <c r="A184">
        <v>182</v>
      </c>
      <c r="C184">
        <v>1639</v>
      </c>
      <c r="D184">
        <v>73</v>
      </c>
      <c r="E184">
        <v>53</v>
      </c>
      <c r="F184">
        <v>94</v>
      </c>
      <c r="G184">
        <v>53</v>
      </c>
      <c r="H184">
        <v>56</v>
      </c>
      <c r="J184" s="2"/>
      <c r="K184">
        <f t="shared" si="2"/>
        <v>-1.4088686289804031</v>
      </c>
      <c r="L184">
        <f>LOG10(E184/C184)-LOG10(37995/47667)</f>
        <v>-1.3918117130568097</v>
      </c>
      <c r="M184">
        <f>LOG10(F184/C184)-LOG10(35167/47667)</f>
        <v>-1.109368601641584</v>
      </c>
      <c r="N184">
        <f>LOG10(G184/C184)-LOG10(34734/47667)</f>
        <v>-1.3528400641610276</v>
      </c>
      <c r="O184">
        <f>LOG10(H184/C184)-LOG10(33378/47667)</f>
        <v>-1.3116334171296409</v>
      </c>
      <c r="Q184">
        <f>AVERAGE(K184:O184)</f>
        <v>-1.3149044849938929</v>
      </c>
      <c r="R184">
        <f>STDEV(K184:O184)</f>
        <v>0.12087058107803936</v>
      </c>
    </row>
    <row r="185" spans="1:18">
      <c r="A185">
        <v>183</v>
      </c>
      <c r="C185">
        <v>1546</v>
      </c>
      <c r="D185">
        <v>60</v>
      </c>
      <c r="E185">
        <v>46</v>
      </c>
      <c r="F185">
        <v>65</v>
      </c>
      <c r="G185">
        <v>106</v>
      </c>
      <c r="H185">
        <v>77</v>
      </c>
      <c r="J185" s="2"/>
      <c r="K185">
        <f t="shared" si="2"/>
        <v>-1.4686707747290224</v>
      </c>
      <c r="L185">
        <f>LOG10(E185/C185)-LOG10(37995/47667)</f>
        <v>-1.4279602869878318</v>
      </c>
      <c r="M185">
        <f>LOG10(F185/C185)-LOG10(35167/47667)</f>
        <v>-1.2442136346102342</v>
      </c>
      <c r="N185">
        <f>LOG10(G185/C185)-LOG10(34734/47667)</f>
        <v>-1.0264406045088534</v>
      </c>
      <c r="O185">
        <f>LOG10(H185/C185)-LOG10(33378/47667)</f>
        <v>-1.1479612549751663</v>
      </c>
      <c r="Q185">
        <f>AVERAGE(K185:O185)</f>
        <v>-1.2630493111622214</v>
      </c>
      <c r="R185">
        <f>STDEV(K185:O185)</f>
        <v>0.18645343901318659</v>
      </c>
    </row>
    <row r="186" spans="1:18">
      <c r="A186">
        <v>184</v>
      </c>
      <c r="C186">
        <v>3607</v>
      </c>
      <c r="D186">
        <v>78</v>
      </c>
      <c r="E186">
        <v>105</v>
      </c>
      <c r="F186">
        <v>95</v>
      </c>
      <c r="G186">
        <v>79</v>
      </c>
      <c r="H186">
        <v>89</v>
      </c>
      <c r="J186" s="2"/>
      <c r="K186">
        <f t="shared" si="2"/>
        <v>-1.7226640751582425</v>
      </c>
      <c r="L186">
        <f>LOG10(E186/C186)-LOG10(37995/47667)</f>
        <v>-1.4374654723355247</v>
      </c>
      <c r="M186">
        <f>LOG10(F186/C186)-LOG10(35167/47667)</f>
        <v>-1.447340038700299</v>
      </c>
      <c r="N186">
        <f>LOG10(G186/C186)-LOG10(34734/47667)</f>
        <v>-1.5220560312192393</v>
      </c>
      <c r="O186">
        <f>LOG10(H186/C186)-LOG10(33378/47667)</f>
        <v>-1.4529986262387926</v>
      </c>
      <c r="Q186">
        <f>AVERAGE(K186:O186)</f>
        <v>-1.5165048487304196</v>
      </c>
      <c r="R186">
        <f>STDEV(K186:O186)</f>
        <v>0.11999632966355168</v>
      </c>
    </row>
    <row r="187" spans="1:18">
      <c r="A187">
        <v>185</v>
      </c>
      <c r="C187">
        <v>1394</v>
      </c>
      <c r="D187">
        <v>37</v>
      </c>
      <c r="E187">
        <v>51</v>
      </c>
      <c r="F187">
        <v>66</v>
      </c>
      <c r="G187">
        <v>47</v>
      </c>
      <c r="H187">
        <v>56</v>
      </c>
      <c r="J187" s="2"/>
      <c r="K187">
        <f t="shared" si="2"/>
        <v>-1.6336735852253554</v>
      </c>
      <c r="L187">
        <f>LOG10(E187/C187)-LOG10(37995/47667)</f>
        <v>-1.338201226751154</v>
      </c>
      <c r="M187">
        <f>LOG10(F187/C187)-LOG10(35167/47667)</f>
        <v>-1.1926363398909055</v>
      </c>
      <c r="N187">
        <f>LOG10(G187/C187)-LOG10(34734/47667)</f>
        <v>-1.3347018960175907</v>
      </c>
      <c r="O187">
        <f>LOG10(H187/C187)-LOG10(33378/47667)</f>
        <v>-1.2413172373211323</v>
      </c>
      <c r="Q187">
        <f>AVERAGE(K187:O187)</f>
        <v>-1.3481060570412278</v>
      </c>
      <c r="R187">
        <f>STDEV(K187:O187)</f>
        <v>0.17131934750417643</v>
      </c>
    </row>
    <row r="188" spans="1:18">
      <c r="A188">
        <v>186</v>
      </c>
      <c r="C188">
        <v>2099</v>
      </c>
      <c r="D188">
        <v>71</v>
      </c>
      <c r="E188">
        <v>49</v>
      </c>
      <c r="F188">
        <v>49</v>
      </c>
      <c r="G188">
        <v>34</v>
      </c>
      <c r="H188">
        <v>62</v>
      </c>
      <c r="J188" s="2"/>
      <c r="K188">
        <f t="shared" si="2"/>
        <v>-1.528366625393685</v>
      </c>
      <c r="L188">
        <f>LOG10(E188/C188)-LOG10(37995/47667)</f>
        <v>-1.5333249876409865</v>
      </c>
      <c r="M188">
        <f>LOG10(F188/C188)-LOG10(35167/47667)</f>
        <v>-1.4997338602246704</v>
      </c>
      <c r="N188">
        <f>LOG10(G188/C188)-LOG10(34734/47667)</f>
        <v>-1.6530705017314629</v>
      </c>
      <c r="O188">
        <f>LOG10(H188/C188)-LOG10(33378/47667)</f>
        <v>-1.3748632396494886</v>
      </c>
      <c r="Q188">
        <f>AVERAGE(K188:O188)</f>
        <v>-1.5178718429280587</v>
      </c>
      <c r="R188">
        <f>STDEV(K188:O188)</f>
        <v>9.9257322791563657E-2</v>
      </c>
    </row>
    <row r="189" spans="1:18">
      <c r="A189">
        <v>187</v>
      </c>
      <c r="C189">
        <v>1194</v>
      </c>
      <c r="D189">
        <v>45</v>
      </c>
      <c r="E189">
        <v>54</v>
      </c>
      <c r="F189">
        <v>44</v>
      </c>
      <c r="G189">
        <v>28</v>
      </c>
      <c r="H189">
        <v>42</v>
      </c>
      <c r="J189" s="2"/>
      <c r="K189">
        <f t="shared" si="2"/>
        <v>-1.4814043485483666</v>
      </c>
      <c r="L189">
        <f>LOG10(E189/C189)-LOG10(37995/47667)</f>
        <v>-1.2461191960574816</v>
      </c>
      <c r="M189">
        <f>LOG10(F189/C189)-LOG10(35167/47667)</f>
        <v>-1.3014691519779464</v>
      </c>
      <c r="N189">
        <f>LOG10(G189/C189)-LOG10(34734/47667)</f>
        <v>-1.4923832756424487</v>
      </c>
      <c r="O189">
        <f>LOG10(H189/C189)-LOG10(33378/47667)</f>
        <v>-1.2989975269607921</v>
      </c>
      <c r="Q189">
        <f>AVERAGE(K189:O189)</f>
        <v>-1.3640746998374071</v>
      </c>
      <c r="R189">
        <f>STDEV(K189:O189)</f>
        <v>0.11434304856016317</v>
      </c>
    </row>
    <row r="190" spans="1:18">
      <c r="A190">
        <v>188</v>
      </c>
      <c r="C190">
        <v>1495</v>
      </c>
      <c r="D190">
        <v>96</v>
      </c>
      <c r="E190">
        <v>103</v>
      </c>
      <c r="F190">
        <v>109</v>
      </c>
      <c r="G190">
        <v>68</v>
      </c>
      <c r="H190">
        <v>87</v>
      </c>
      <c r="J190" s="2"/>
      <c r="K190">
        <f t="shared" si="2"/>
        <v>-1.2499824951512399</v>
      </c>
      <c r="L190">
        <f>LOG10(E190/C190)-LOG10(37995/47667)</f>
        <v>-1.063312597042376</v>
      </c>
      <c r="M190">
        <f>LOG10(F190/C190)-LOG10(35167/47667)</f>
        <v>-1.0051321963906084</v>
      </c>
      <c r="N190">
        <f>LOG10(G190/C190)-LOG10(34734/47667)</f>
        <v>-1.2046692601455298</v>
      </c>
      <c r="O190">
        <f>LOG10(H190/C190)-LOG10(33378/47667)</f>
        <v>-1.080364430607172</v>
      </c>
      <c r="Q190">
        <f>AVERAGE(K190:O190)</f>
        <v>-1.1206921958673852</v>
      </c>
      <c r="R190">
        <f>STDEV(K190:O190)</f>
        <v>0.10251949729802481</v>
      </c>
    </row>
    <row r="191" spans="1:18">
      <c r="A191">
        <v>189</v>
      </c>
      <c r="C191">
        <v>1098</v>
      </c>
      <c r="D191">
        <v>50</v>
      </c>
      <c r="E191">
        <v>55</v>
      </c>
      <c r="F191">
        <v>56</v>
      </c>
      <c r="G191">
        <v>49</v>
      </c>
      <c r="H191">
        <v>53</v>
      </c>
      <c r="J191" s="2"/>
      <c r="K191">
        <f t="shared" si="2"/>
        <v>-1.3992448713084142</v>
      </c>
      <c r="L191">
        <f>LOG10(E191/C191)-LOG10(37995/47667)</f>
        <v>-1.201748279706929</v>
      </c>
      <c r="M191">
        <f>LOG10(F191/C191)-LOG10(35167/47667)</f>
        <v>-1.1603318147786563</v>
      </c>
      <c r="N191">
        <f>LOG10(G191/C191)-LOG10(34734/47667)</f>
        <v>-1.2129432402768772</v>
      </c>
      <c r="O191">
        <f>LOG10(H191/C191)-LOG10(33378/47667)</f>
        <v>-1.1615689610786262</v>
      </c>
      <c r="Q191">
        <f>AVERAGE(K191:O191)</f>
        <v>-1.2271674334299005</v>
      </c>
      <c r="R191">
        <f>STDEV(K191:O191)</f>
        <v>9.9031895327964622E-2</v>
      </c>
    </row>
    <row r="192" spans="1:18">
      <c r="A192">
        <v>190</v>
      </c>
      <c r="C192">
        <v>1052</v>
      </c>
      <c r="D192">
        <v>30</v>
      </c>
      <c r="E192">
        <v>53</v>
      </c>
      <c r="F192">
        <v>82</v>
      </c>
      <c r="G192">
        <v>43</v>
      </c>
      <c r="H192">
        <v>61</v>
      </c>
      <c r="J192" s="2"/>
      <c r="K192">
        <f t="shared" si="2"/>
        <v>-1.6025070206284175</v>
      </c>
      <c r="L192">
        <f>LOG10(E192/C192)-LOG10(37995/47667)</f>
        <v>-1.1992484993040309</v>
      </c>
      <c r="M192">
        <f>LOG10(F192/C192)-LOG10(35167/47667)</f>
        <v>-0.97611938910478713</v>
      </c>
      <c r="N192">
        <f>LOG10(G192/C192)-LOG10(34734/47667)</f>
        <v>-1.2510842644294513</v>
      </c>
      <c r="O192">
        <f>LOG10(H192/C192)-LOG10(33378/47667)</f>
        <v>-1.0819283953722953</v>
      </c>
      <c r="Q192">
        <f>AVERAGE(K192:O192)</f>
        <v>-1.2221775137677964</v>
      </c>
      <c r="R192">
        <f>STDEV(K192:O192)</f>
        <v>0.23781625767087974</v>
      </c>
    </row>
    <row r="193" spans="1:18">
      <c r="A193">
        <v>191</v>
      </c>
      <c r="C193">
        <v>1253</v>
      </c>
      <c r="D193">
        <v>22</v>
      </c>
      <c r="E193">
        <v>204</v>
      </c>
      <c r="F193">
        <v>34</v>
      </c>
      <c r="G193">
        <v>154</v>
      </c>
      <c r="H193">
        <v>19</v>
      </c>
      <c r="J193" s="2"/>
      <c r="K193">
        <f t="shared" si="2"/>
        <v>-1.8131409257023037</v>
      </c>
      <c r="L193">
        <f>LOG10(E193/C193)-LOG10(37995/47667)</f>
        <v>-0.68982953265535096</v>
      </c>
      <c r="M193">
        <f>LOG10(F193/C193)-LOG10(35167/47667)</f>
        <v>-1.4343896556226785</v>
      </c>
      <c r="N193">
        <f>LOG10(G193/C193)-LOG10(34734/47667)</f>
        <v>-0.77296733034900467</v>
      </c>
      <c r="O193">
        <f>LOG10(H193/C193)-LOG10(33378/47667)</f>
        <v>-1.6644399606066633</v>
      </c>
      <c r="Q193">
        <f>AVERAGE(K193:O193)</f>
        <v>-1.2749534809872001</v>
      </c>
      <c r="R193">
        <f>STDEV(K193:O193)</f>
        <v>0.51505472223389459</v>
      </c>
    </row>
    <row r="194" spans="1:18">
      <c r="A194">
        <v>192</v>
      </c>
      <c r="C194">
        <v>2955</v>
      </c>
      <c r="D194">
        <v>53</v>
      </c>
      <c r="E194">
        <v>71</v>
      </c>
      <c r="F194">
        <v>65</v>
      </c>
      <c r="G194">
        <v>61</v>
      </c>
      <c r="H194">
        <v>57</v>
      </c>
      <c r="J194" s="2"/>
      <c r="K194">
        <f t="shared" si="2"/>
        <v>-1.8038941511468449</v>
      </c>
      <c r="L194">
        <f>LOG10(E194/C194)-LOG10(37995/47667)</f>
        <v>-1.5208077655852985</v>
      </c>
      <c r="M194">
        <f>LOG10(F194/C194)-LOG10(35167/47667)</f>
        <v>-1.5255616302452022</v>
      </c>
      <c r="N194">
        <f>LOG10(G194/C194)-LOG10(34734/47667)</f>
        <v>-1.5477646303978247</v>
      </c>
      <c r="O194">
        <f>LOG10(H194/C194)-LOG10(33378/47667)</f>
        <v>-1.559925120110125</v>
      </c>
      <c r="Q194">
        <f>AVERAGE(K194:O194)</f>
        <v>-1.5915906594970592</v>
      </c>
      <c r="R194">
        <f>STDEV(K194:O194)</f>
        <v>0.11975626346086164</v>
      </c>
    </row>
    <row r="195" spans="1:18">
      <c r="A195">
        <v>193</v>
      </c>
      <c r="C195">
        <v>1044</v>
      </c>
      <c r="D195">
        <v>24</v>
      </c>
      <c r="E195">
        <v>31</v>
      </c>
      <c r="F195">
        <v>35</v>
      </c>
      <c r="G195">
        <v>86</v>
      </c>
      <c r="H195">
        <v>61</v>
      </c>
      <c r="J195" s="2"/>
      <c r="K195">
        <f t="shared" ref="K195:K258" si="3">LOG10(D195/C195)-LOG10(54429/47667)</f>
        <v>-1.6961017924849973</v>
      </c>
      <c r="L195">
        <f>LOG10(E195/C195)-LOG10(37995/47667)</f>
        <v>-1.4288474339190704</v>
      </c>
      <c r="M195">
        <f>LOG10(F195/C195)-LOG10(35167/47667)</f>
        <v>-1.3425499559867513</v>
      </c>
      <c r="N195">
        <f>LOG10(G195/C195)-LOG10(34734/47667)</f>
        <v>-0.94673902761399342</v>
      </c>
      <c r="O195">
        <f>LOG10(H195/C195)-LOG10(33378/47667)</f>
        <v>-1.0786131542208184</v>
      </c>
      <c r="Q195">
        <f>AVERAGE(K195:O195)</f>
        <v>-1.2985702728451263</v>
      </c>
      <c r="R195">
        <f>STDEV(K195:O195)</f>
        <v>0.29542512566143836</v>
      </c>
    </row>
    <row r="196" spans="1:18">
      <c r="A196">
        <v>194</v>
      </c>
      <c r="C196">
        <v>530</v>
      </c>
      <c r="D196">
        <v>26</v>
      </c>
      <c r="E196">
        <v>12</v>
      </c>
      <c r="F196">
        <v>13</v>
      </c>
      <c r="G196">
        <v>40</v>
      </c>
      <c r="H196">
        <v>17</v>
      </c>
      <c r="J196" s="2"/>
      <c r="K196">
        <f t="shared" si="3"/>
        <v>-1.3669150571603308</v>
      </c>
      <c r="L196">
        <f>LOG10(E196/C196)-LOG10(37995/47667)</f>
        <v>-1.546603252640264</v>
      </c>
      <c r="M196">
        <f>LOG10(F196/C196)-LOG10(35167/47667)</f>
        <v>-1.4782500189647358</v>
      </c>
      <c r="N196">
        <f>LOG10(G196/C196)-LOG10(34734/47667)</f>
        <v>-0.9847528584641444</v>
      </c>
      <c r="O196">
        <f>LOG10(H196/C196)-LOG10(33378/47667)</f>
        <v>-1.3390694387878572</v>
      </c>
      <c r="Q196">
        <f>AVERAGE(K196:O196)</f>
        <v>-1.3431181252034663</v>
      </c>
      <c r="R196">
        <f>STDEV(K196:O196)</f>
        <v>0.21718377934187194</v>
      </c>
    </row>
    <row r="197" spans="1:18">
      <c r="A197">
        <v>195</v>
      </c>
      <c r="C197">
        <v>2885</v>
      </c>
      <c r="D197">
        <v>175</v>
      </c>
      <c r="E197">
        <v>143</v>
      </c>
      <c r="F197">
        <v>148</v>
      </c>
      <c r="G197">
        <v>116</v>
      </c>
      <c r="H197">
        <v>118</v>
      </c>
      <c r="J197" s="2"/>
      <c r="K197">
        <f t="shared" si="3"/>
        <v>-1.2747203043358155</v>
      </c>
      <c r="L197">
        <f>LOG10(E197/C197)-LOG10(37995/47667)</f>
        <v>-1.2063184091137882</v>
      </c>
      <c r="M197">
        <f>LOG10(F197/C197)-LOG10(35167/47667)</f>
        <v>-1.1578016037675765</v>
      </c>
      <c r="N197">
        <f>LOG10(G197/C197)-LOG10(34734/47667)</f>
        <v>-1.2582248084561494</v>
      </c>
      <c r="O197">
        <f>LOG10(H197/C197)-LOG10(33378/47667)</f>
        <v>-1.233506300750967</v>
      </c>
      <c r="Q197">
        <f>AVERAGE(K197:O197)</f>
        <v>-1.2261142852848592</v>
      </c>
      <c r="R197">
        <f>STDEV(K197:O197)</f>
        <v>4.6116081382824435E-2</v>
      </c>
    </row>
    <row r="198" spans="1:18">
      <c r="A198">
        <v>196</v>
      </c>
      <c r="C198">
        <v>1002</v>
      </c>
      <c r="D198">
        <v>47</v>
      </c>
      <c r="E198">
        <v>24</v>
      </c>
      <c r="F198">
        <v>17</v>
      </c>
      <c r="G198">
        <v>23</v>
      </c>
      <c r="H198">
        <v>12</v>
      </c>
      <c r="J198" s="2"/>
      <c r="K198">
        <f t="shared" si="3"/>
        <v>-1.3863823991258692</v>
      </c>
      <c r="L198">
        <f>LOG10(E198/C198)-LOG10(37995/47667)</f>
        <v>-1.5221651089067205</v>
      </c>
      <c r="M198">
        <f>LOG10(F198/C198)-LOG10(35167/47667)</f>
        <v>-1.6383363018237367</v>
      </c>
      <c r="N198">
        <f>LOG10(G198/C198)-LOG10(34734/47667)</f>
        <v>-1.5016768657049517</v>
      </c>
      <c r="O198">
        <f>LOG10(H198/C198)-LOG10(33378/47667)</f>
        <v>-1.7669289660489442</v>
      </c>
      <c r="Q198">
        <f>AVERAGE(K198:O198)</f>
        <v>-1.5630979283220445</v>
      </c>
      <c r="R198">
        <f>STDEV(K198:O198)</f>
        <v>0.14481395451180593</v>
      </c>
    </row>
    <row r="199" spans="1:18">
      <c r="A199">
        <v>197</v>
      </c>
      <c r="C199">
        <v>1513</v>
      </c>
      <c r="D199">
        <v>50</v>
      </c>
      <c r="E199">
        <v>51</v>
      </c>
      <c r="F199">
        <v>21</v>
      </c>
      <c r="G199">
        <v>55</v>
      </c>
      <c r="H199">
        <v>42</v>
      </c>
      <c r="J199" s="2"/>
      <c r="K199">
        <f t="shared" si="3"/>
        <v>-1.5384814592175278</v>
      </c>
      <c r="L199">
        <f>LOG10(E199/C199)-LOG10(37995/47667)</f>
        <v>-1.3737773810123501</v>
      </c>
      <c r="M199">
        <f>LOG10(F199/C199)-LOG10(35167/47667)</f>
        <v>-1.725537134960051</v>
      </c>
      <c r="N199">
        <f>LOG10(G199/C199)-LOG10(34734/47667)</f>
        <v>-1.3020132187202604</v>
      </c>
      <c r="O199">
        <f>LOG10(H199/C199)-LOG10(33378/47667)</f>
        <v>-1.4018321281906283</v>
      </c>
      <c r="Q199">
        <f>AVERAGE(K199:O199)</f>
        <v>-1.4683282644201636</v>
      </c>
      <c r="R199">
        <f>STDEV(K199:O199)</f>
        <v>0.16740682030423326</v>
      </c>
    </row>
    <row r="200" spans="1:18">
      <c r="A200">
        <v>198</v>
      </c>
      <c r="C200">
        <v>1252</v>
      </c>
      <c r="D200">
        <v>64</v>
      </c>
      <c r="E200">
        <v>28</v>
      </c>
      <c r="F200">
        <v>26</v>
      </c>
      <c r="G200">
        <v>17</v>
      </c>
      <c r="H200">
        <v>56</v>
      </c>
      <c r="J200" s="2"/>
      <c r="K200">
        <f t="shared" si="3"/>
        <v>-1.3490368904208836</v>
      </c>
      <c r="L200">
        <f>LOG10(E200/C200)-LOG10(37995/47667)</f>
        <v>-1.5519549266192914</v>
      </c>
      <c r="M200">
        <f>LOG10(F200/C200)-LOG10(35167/47667)</f>
        <v>-1.5505484825743765</v>
      </c>
      <c r="N200">
        <f>LOG10(G200/C200)-LOG10(34734/47667)</f>
        <v>-1.7296923876874546</v>
      </c>
      <c r="O200">
        <f>LOG10(H200/C200)-LOG10(33378/47667)</f>
        <v>-1.1946587924335526</v>
      </c>
      <c r="Q200">
        <f>AVERAGE(K200:O200)</f>
        <v>-1.4751782959471118</v>
      </c>
      <c r="R200">
        <f>STDEV(K200:O200)</f>
        <v>0.20673387783793307</v>
      </c>
    </row>
    <row r="201" spans="1:18">
      <c r="A201">
        <v>199</v>
      </c>
      <c r="C201">
        <v>817</v>
      </c>
      <c r="D201">
        <v>83</v>
      </c>
      <c r="E201">
        <v>83</v>
      </c>
      <c r="F201">
        <v>35</v>
      </c>
      <c r="G201">
        <v>78</v>
      </c>
      <c r="H201">
        <v>193</v>
      </c>
      <c r="J201" s="2"/>
      <c r="K201">
        <f t="shared" si="3"/>
        <v>-1.0507564996867014</v>
      </c>
      <c r="L201">
        <f>LOG10(E201/C201)-LOG10(37995/47667)</f>
        <v>-0.89465259324344126</v>
      </c>
      <c r="M201">
        <f>LOG10(F201/C201)-LOG10(35167/47667)</f>
        <v>-1.2360715138529235</v>
      </c>
      <c r="N201">
        <f>LOG10(G201/C201)-LOG10(34734/47667)</f>
        <v>-0.8826644340332529</v>
      </c>
      <c r="O201">
        <f>LOG10(H201/C201)-LOG10(33378/47667)</f>
        <v>-0.47190723808998392</v>
      </c>
      <c r="Q201">
        <f>AVERAGE(K201:O201)</f>
        <v>-0.90721045578126058</v>
      </c>
      <c r="R201">
        <f>STDEV(K201:O201)</f>
        <v>0.28240226657397244</v>
      </c>
    </row>
    <row r="202" spans="1:18">
      <c r="A202">
        <v>200</v>
      </c>
      <c r="C202">
        <v>1282</v>
      </c>
      <c r="D202">
        <v>38</v>
      </c>
      <c r="E202">
        <v>73</v>
      </c>
      <c r="F202">
        <v>34</v>
      </c>
      <c r="G202">
        <v>54</v>
      </c>
      <c r="H202">
        <v>135</v>
      </c>
      <c r="J202" s="2"/>
      <c r="K202">
        <f t="shared" si="3"/>
        <v>-1.5857169640963482</v>
      </c>
      <c r="L202">
        <f>LOG10(E202/C202)-LOG10(37995/47667)</f>
        <v>-1.1460737941494425</v>
      </c>
      <c r="M202">
        <f>LOG10(F202/C202)-LOG10(35167/47667)</f>
        <v>-1.4443266098113272</v>
      </c>
      <c r="N202">
        <f>LOG10(G202/C202)-LOG10(34734/47667)</f>
        <v>-1.2380312455511477</v>
      </c>
      <c r="O202">
        <f>LOG10(H202/C202)-LOG10(33378/47667)</f>
        <v>-0.82279674725313467</v>
      </c>
      <c r="Q202">
        <f>AVERAGE(K202:O202)</f>
        <v>-1.24738907217228</v>
      </c>
      <c r="R202">
        <f>STDEV(K202:O202)</f>
        <v>0.29320690350215045</v>
      </c>
    </row>
    <row r="203" spans="1:18">
      <c r="A203">
        <v>201</v>
      </c>
      <c r="C203">
        <v>1347</v>
      </c>
      <c r="D203">
        <v>31</v>
      </c>
      <c r="E203">
        <v>20</v>
      </c>
      <c r="F203">
        <v>34</v>
      </c>
      <c r="G203">
        <v>32</v>
      </c>
      <c r="H203">
        <v>27</v>
      </c>
      <c r="J203" s="2"/>
      <c r="K203">
        <f t="shared" si="3"/>
        <v>-1.6956184374190728</v>
      </c>
      <c r="L203">
        <f>LOG10(E203/C203)-LOG10(37995/47667)</f>
        <v>-1.7298462291461041</v>
      </c>
      <c r="M203">
        <f>LOG10(F203/C203)-LOG10(35167/47667)</f>
        <v>-1.4658061803515141</v>
      </c>
      <c r="N203">
        <f>LOG10(G203/C203)-LOG10(34734/47667)</f>
        <v>-1.4867545975943972</v>
      </c>
      <c r="O203">
        <f>LOG10(H203/C203)-LOG10(33378/47667)</f>
        <v>-1.5432463221293404</v>
      </c>
      <c r="Q203">
        <f>AVERAGE(K203:O203)</f>
        <v>-1.5842543533280857</v>
      </c>
      <c r="R203">
        <f>STDEV(K203:O203)</f>
        <v>0.12126085951580558</v>
      </c>
    </row>
    <row r="204" spans="1:18">
      <c r="A204">
        <v>202</v>
      </c>
      <c r="C204">
        <v>1972</v>
      </c>
      <c r="D204">
        <v>106</v>
      </c>
      <c r="E204">
        <v>48</v>
      </c>
      <c r="F204">
        <v>105</v>
      </c>
      <c r="G204">
        <v>85</v>
      </c>
      <c r="H204">
        <v>93</v>
      </c>
      <c r="J204" s="2"/>
      <c r="K204">
        <f t="shared" si="3"/>
        <v>-1.3272135808707819</v>
      </c>
      <c r="L204">
        <f>LOG10(E204/C204)-LOG10(37995/47667)</f>
        <v>-1.515174302316705</v>
      </c>
      <c r="M204">
        <f>LOG10(F204/C204)-LOG10(35167/47667)</f>
        <v>-1.1416351132060378</v>
      </c>
      <c r="N204">
        <f>LOG10(G204/C204)-LOG10(34734/47667)</f>
        <v>-1.2280249650822173</v>
      </c>
      <c r="O204">
        <f>LOG10(H204/C204)-LOG10(33378/47667)</f>
        <v>-1.1716664526165994</v>
      </c>
      <c r="Q204">
        <f>AVERAGE(K204:O204)</f>
        <v>-1.2767428828184681</v>
      </c>
      <c r="R204">
        <f>STDEV(K204:O204)</f>
        <v>0.15088524966675959</v>
      </c>
    </row>
    <row r="205" spans="1:18">
      <c r="A205">
        <v>203</v>
      </c>
      <c r="C205">
        <v>636</v>
      </c>
      <c r="D205">
        <v>33</v>
      </c>
      <c r="E205">
        <v>56</v>
      </c>
      <c r="F205">
        <v>461</v>
      </c>
      <c r="G205">
        <v>37</v>
      </c>
      <c r="H205">
        <v>15</v>
      </c>
      <c r="J205" s="2"/>
      <c r="K205">
        <f t="shared" si="3"/>
        <v>-1.3425557113008861</v>
      </c>
      <c r="L205">
        <f>LOG10(E205/C205)-LOG10(37995/47667)</f>
        <v>-0.9567777177293133</v>
      </c>
      <c r="M205">
        <f>LOG10(F205/C205)-LOG10(35167/47667)</f>
        <v>-7.6736919295492811E-3</v>
      </c>
      <c r="N205">
        <f>LOG10(G205/C205)-LOG10(34734/47667)</f>
        <v>-1.0977923717727365</v>
      </c>
      <c r="O205">
        <f>LOG10(H205/C205)-LOG10(33378/47667)</f>
        <v>-1.4726083471580749</v>
      </c>
      <c r="Q205">
        <f>AVERAGE(K205:O205)</f>
        <v>-0.97548156797811214</v>
      </c>
      <c r="R205">
        <f>STDEV(K205:O205)</f>
        <v>0.5774600230653717</v>
      </c>
    </row>
    <row r="206" spans="1:18">
      <c r="A206">
        <v>204</v>
      </c>
      <c r="C206">
        <v>1095</v>
      </c>
      <c r="D206">
        <v>34</v>
      </c>
      <c r="E206">
        <v>57</v>
      </c>
      <c r="F206">
        <v>35</v>
      </c>
      <c r="G206">
        <v>26</v>
      </c>
      <c r="H206">
        <v>27</v>
      </c>
      <c r="J206" s="2"/>
      <c r="K206">
        <f t="shared" si="3"/>
        <v>-1.5655477376642419</v>
      </c>
      <c r="L206">
        <f>LOG10(E206/C206)-LOG10(37995/47667)</f>
        <v>-1.1850478925907455</v>
      </c>
      <c r="M206">
        <f>LOG10(F206/C206)-LOG10(35167/47667)</f>
        <v>-1.3632635764966452</v>
      </c>
      <c r="N206">
        <f>LOG10(G206/C206)-LOG10(34734/47667)</f>
        <v>-1.4869777513966369</v>
      </c>
      <c r="O206">
        <f>LOG10(H206/C206)-LOG10(33378/47667)</f>
        <v>-1.4532928455824921</v>
      </c>
      <c r="Q206">
        <f>AVERAGE(K206:O206)</f>
        <v>-1.4108259607461524</v>
      </c>
      <c r="R206">
        <f>STDEV(K206:O206)</f>
        <v>0.14558440527332808</v>
      </c>
    </row>
    <row r="207" spans="1:18">
      <c r="A207">
        <v>205</v>
      </c>
      <c r="C207">
        <v>1500</v>
      </c>
      <c r="D207">
        <v>33</v>
      </c>
      <c r="E207">
        <v>21</v>
      </c>
      <c r="F207">
        <v>61</v>
      </c>
      <c r="G207">
        <v>48</v>
      </c>
      <c r="H207">
        <v>17</v>
      </c>
      <c r="J207" s="2"/>
      <c r="K207">
        <f t="shared" si="3"/>
        <v>-1.7151898547081537</v>
      </c>
      <c r="L207">
        <f>LOG10(E207/C207)-LOG10(37995/47667)</f>
        <v>-1.7553805934088618</v>
      </c>
      <c r="M207">
        <f>LOG10(F207/C207)-LOG10(35167/47667)</f>
        <v>-1.2586789257156978</v>
      </c>
      <c r="N207">
        <f>LOG10(G207/C207)-LOG10(34734/47667)</f>
        <v>-1.3573870018714116</v>
      </c>
      <c r="O207">
        <f>LOG10(H207/C207)-LOG10(33378/47667)</f>
        <v>-1.7908848282427494</v>
      </c>
      <c r="Q207">
        <f>AVERAGE(K207:O207)</f>
        <v>-1.5755042407893749</v>
      </c>
      <c r="R207">
        <f>STDEV(K207:O207)</f>
        <v>0.24809765244961979</v>
      </c>
    </row>
    <row r="208" spans="1:18">
      <c r="A208">
        <v>206</v>
      </c>
      <c r="C208">
        <v>2185</v>
      </c>
      <c r="D208">
        <v>89</v>
      </c>
      <c r="E208">
        <v>115</v>
      </c>
      <c r="F208">
        <v>85</v>
      </c>
      <c r="G208">
        <v>131</v>
      </c>
      <c r="H208">
        <v>75</v>
      </c>
      <c r="J208" s="2"/>
      <c r="K208">
        <f t="shared" si="3"/>
        <v>-1.4476739701918877</v>
      </c>
      <c r="L208">
        <f>LOG10(E208/C208)-LOG10(37995/47667)</f>
        <v>-1.1802622300399288</v>
      </c>
      <c r="M208">
        <f>LOG10(F208/C208)-LOG10(35167/47667)</f>
        <v>-1.2779500172629314</v>
      </c>
      <c r="N208">
        <f>LOG10(G208/C208)-LOG10(34734/47667)</f>
        <v>-1.0847171258419941</v>
      </c>
      <c r="O208">
        <f>LOG10(H208/C208)-LOG10(33378/47667)</f>
        <v>-1.3096326684800828</v>
      </c>
      <c r="Q208">
        <f>AVERAGE(K208:O208)</f>
        <v>-1.2600472023633649</v>
      </c>
      <c r="R208">
        <f>STDEV(K208:O208)</f>
        <v>0.13701214433286554</v>
      </c>
    </row>
    <row r="209" spans="1:18">
      <c r="A209">
        <v>207</v>
      </c>
      <c r="C209">
        <v>550</v>
      </c>
      <c r="D209">
        <v>10</v>
      </c>
      <c r="E209">
        <v>12</v>
      </c>
      <c r="F209">
        <v>17</v>
      </c>
      <c r="G209">
        <v>13</v>
      </c>
      <c r="H209">
        <v>20</v>
      </c>
      <c r="J209" s="2"/>
      <c r="K209">
        <f t="shared" si="3"/>
        <v>-1.7979752250246037</v>
      </c>
      <c r="L209">
        <f>LOG10(E209/C209)-LOG10(37995/47667)</f>
        <v>-1.5626900725337187</v>
      </c>
      <c r="M209">
        <f>LOG10(F209/C209)-LOG10(35167/47667)</f>
        <v>-1.3778312697867536</v>
      </c>
      <c r="N209">
        <f>LOG10(G209/C209)-LOG10(34734/47667)</f>
        <v>-1.4889563173787248</v>
      </c>
      <c r="O209">
        <f>LOG10(H209/C209)-LOG10(33378/47667)</f>
        <v>-1.2845751843956048</v>
      </c>
      <c r="Q209">
        <f>AVERAGE(K209:O209)</f>
        <v>-1.5024056138238813</v>
      </c>
      <c r="R209">
        <f>STDEV(K209:O209)</f>
        <v>0.19630674834257489</v>
      </c>
    </row>
    <row r="210" spans="1:18">
      <c r="A210">
        <v>208</v>
      </c>
      <c r="C210">
        <v>1239</v>
      </c>
      <c r="D210">
        <v>43</v>
      </c>
      <c r="E210">
        <v>41</v>
      </c>
      <c r="F210">
        <v>48</v>
      </c>
      <c r="G210">
        <v>76</v>
      </c>
      <c r="H210">
        <v>25</v>
      </c>
      <c r="J210" s="2"/>
      <c r="K210">
        <f t="shared" si="3"/>
        <v>-1.5172153863268367</v>
      </c>
      <c r="L210">
        <f>LOG10(E210/C210)-LOG10(37995/47667)</f>
        <v>-1.3817960787434278</v>
      </c>
      <c r="M210">
        <f>LOG10(F210/C210)-LOG10(35167/47667)</f>
        <v>-1.2797475706712598</v>
      </c>
      <c r="N210">
        <f>LOG10(G210/C210)-LOG10(34734/47667)</f>
        <v>-1.0747946942865898</v>
      </c>
      <c r="O210">
        <f>LOG10(H210/C210)-LOG10(33378/47667)</f>
        <v>-1.540373788269368</v>
      </c>
      <c r="Q210">
        <f>AVERAGE(K210:O210)</f>
        <v>-1.3587855036594965</v>
      </c>
      <c r="R210">
        <f>STDEV(K210:O210)</f>
        <v>0.19072335597310083</v>
      </c>
    </row>
    <row r="211" spans="1:18">
      <c r="A211">
        <v>209</v>
      </c>
      <c r="C211">
        <v>2037</v>
      </c>
      <c r="D211">
        <v>191</v>
      </c>
      <c r="E211">
        <v>94</v>
      </c>
      <c r="F211">
        <v>114</v>
      </c>
      <c r="G211">
        <v>71</v>
      </c>
      <c r="H211">
        <v>139</v>
      </c>
      <c r="J211" s="2"/>
      <c r="K211">
        <f t="shared" si="3"/>
        <v>-1.0855701972827965</v>
      </c>
      <c r="L211">
        <f>LOG10(E211/C211)-LOG10(37995/47667)</f>
        <v>-1.2373718044875652</v>
      </c>
      <c r="M211">
        <f>LOG10(F211/C211)-LOG10(35167/47667)</f>
        <v>-1.1200036793344752</v>
      </c>
      <c r="N211">
        <f>LOG10(G211/C211)-LOG10(34734/47667)</f>
        <v>-1.3202696604724065</v>
      </c>
      <c r="O211">
        <f>LOG10(H211/C211)-LOG10(33378/47667)</f>
        <v>-1.0112187193114113</v>
      </c>
      <c r="Q211">
        <f>AVERAGE(K211:O211)</f>
        <v>-1.1548868121777311</v>
      </c>
      <c r="R211">
        <f>STDEV(K211:O211)</f>
        <v>0.12330592791073693</v>
      </c>
    </row>
    <row r="212" spans="1:18">
      <c r="A212">
        <v>210</v>
      </c>
      <c r="C212">
        <v>2172</v>
      </c>
      <c r="D212">
        <v>89</v>
      </c>
      <c r="E212">
        <v>75</v>
      </c>
      <c r="F212">
        <v>94</v>
      </c>
      <c r="G212">
        <v>111</v>
      </c>
      <c r="H212">
        <v>92</v>
      </c>
      <c r="J212" s="2"/>
      <c r="K212">
        <f t="shared" si="3"/>
        <v>-1.4450823498022565</v>
      </c>
      <c r="L212">
        <f>LOG10(E212/C212)-LOG10(37995/47667)</f>
        <v>-1.3633071866122091</v>
      </c>
      <c r="M212">
        <f>LOG10(F212/C212)-LOG10(35167/47667)</f>
        <v>-1.2316494689878943</v>
      </c>
      <c r="N212">
        <f>LOG10(G212/C212)-LOG10(34734/47667)</f>
        <v>-1.1540738223214695</v>
      </c>
      <c r="O212">
        <f>LOG10(H212/C212)-LOG10(33378/47667)</f>
        <v>-1.2183144841365963</v>
      </c>
      <c r="Q212">
        <f>AVERAGE(K212:O212)</f>
        <v>-1.2824854623720852</v>
      </c>
      <c r="R212">
        <f>STDEV(K212:O212)</f>
        <v>0.11849225806215399</v>
      </c>
    </row>
    <row r="213" spans="1:18">
      <c r="A213">
        <v>211</v>
      </c>
      <c r="C213">
        <v>1751</v>
      </c>
      <c r="D213">
        <v>74</v>
      </c>
      <c r="E213">
        <v>111</v>
      </c>
      <c r="F213">
        <v>140</v>
      </c>
      <c r="G213">
        <v>108</v>
      </c>
      <c r="H213">
        <v>109</v>
      </c>
      <c r="J213" s="2"/>
      <c r="K213">
        <f t="shared" si="3"/>
        <v>-1.4316669618828297</v>
      </c>
      <c r="L213">
        <f>LOG10(E213/C213)-LOG10(37995/47667)</f>
        <v>-1.0994717963838885</v>
      </c>
      <c r="M213">
        <f>LOG10(F213/C213)-LOG10(35167/47667)</f>
        <v>-0.96507561207599168</v>
      </c>
      <c r="N213">
        <f>LOG10(G213/C213)-LOG10(34734/47667)</f>
        <v>-1.0723993707878141</v>
      </c>
      <c r="O213">
        <f>LOG10(H213/C213)-LOG10(33378/47667)</f>
        <v>-1.0511021387081647</v>
      </c>
      <c r="Q213">
        <f>AVERAGE(K213:O213)</f>
        <v>-1.1239431759677376</v>
      </c>
      <c r="R213">
        <f>STDEV(K213:O213)</f>
        <v>0.17923048028657748</v>
      </c>
    </row>
    <row r="214" spans="1:18">
      <c r="A214">
        <v>212</v>
      </c>
      <c r="C214">
        <v>633</v>
      </c>
      <c r="D214">
        <v>15</v>
      </c>
      <c r="E214">
        <v>13</v>
      </c>
      <c r="F214">
        <v>21</v>
      </c>
      <c r="G214">
        <v>27</v>
      </c>
      <c r="H214">
        <v>16</v>
      </c>
      <c r="J214" s="2"/>
      <c r="K214">
        <f t="shared" si="3"/>
        <v>-1.6829249864920337</v>
      </c>
      <c r="L214">
        <f>LOG10(E214/C214)-LOG10(37995/47667)</f>
        <v>-1.588968986797618</v>
      </c>
      <c r="M214">
        <f>LOG10(F214/C214)-LOG10(35167/47667)</f>
        <v>-1.3471019169542193</v>
      </c>
      <c r="N214">
        <f>LOG10(G214/C214)-LOG10(34734/47667)</f>
        <v>-1.2325769260496855</v>
      </c>
      <c r="O214">
        <f>LOG10(H214/C214)-LOG10(33378/47667)</f>
        <v>-1.4425262179267726</v>
      </c>
      <c r="Q214">
        <f>AVERAGE(K214:O214)</f>
        <v>-1.4588198068440659</v>
      </c>
      <c r="R214">
        <f>STDEV(K214:O214)</f>
        <v>0.18103463042952114</v>
      </c>
    </row>
    <row r="215" spans="1:18">
      <c r="A215">
        <v>213</v>
      </c>
      <c r="C215">
        <v>2048</v>
      </c>
      <c r="D215">
        <v>42</v>
      </c>
      <c r="E215">
        <v>177</v>
      </c>
      <c r="F215">
        <v>163</v>
      </c>
      <c r="G215">
        <v>70</v>
      </c>
      <c r="H215">
        <v>102</v>
      </c>
      <c r="J215" s="2"/>
      <c r="K215">
        <f t="shared" si="3"/>
        <v>-1.7456931974362526</v>
      </c>
      <c r="L215">
        <f>LOG10(E215/C215)-LOG10(37995/47667)</f>
        <v>-0.96486531502908623</v>
      </c>
      <c r="M215">
        <f>LOG10(F215/C215)-LOG10(35167/47667)</f>
        <v>-0.96705984957061897</v>
      </c>
      <c r="N215">
        <f>LOG10(G215/C215)-LOG10(34734/47667)</f>
        <v>-1.3287688924808541</v>
      </c>
      <c r="O215">
        <f>LOG10(H215/C215)-LOG10(33378/47667)</f>
        <v>-1.1479722711072178</v>
      </c>
      <c r="Q215">
        <f>AVERAGE(K215:O215)</f>
        <v>-1.230871905124806</v>
      </c>
      <c r="R215">
        <f>STDEV(K215:O215)</f>
        <v>0.32475122751921409</v>
      </c>
    </row>
    <row r="216" spans="1:18">
      <c r="A216">
        <v>214</v>
      </c>
      <c r="C216">
        <v>918</v>
      </c>
      <c r="D216">
        <v>21</v>
      </c>
      <c r="E216">
        <v>12</v>
      </c>
      <c r="F216">
        <v>17</v>
      </c>
      <c r="G216">
        <v>21</v>
      </c>
      <c r="H216">
        <v>19</v>
      </c>
      <c r="J216" s="2"/>
      <c r="K216">
        <f t="shared" si="3"/>
        <v>-1.698235921997683</v>
      </c>
      <c r="L216">
        <f>LOG10(E216/C216)-LOG10(37995/47667)</f>
        <v>-1.7851700642407173</v>
      </c>
      <c r="M216">
        <f>LOG10(F216/C216)-LOG10(35167/47667)</f>
        <v>-1.6003112614937522</v>
      </c>
      <c r="N216">
        <f>LOG10(G216/C216)-LOG10(34734/47667)</f>
        <v>-1.5031603666586408</v>
      </c>
      <c r="O216">
        <f>LOG10(H216/C216)-LOG10(33378/47667)</f>
        <v>-1.5293315708137556</v>
      </c>
      <c r="Q216">
        <f>AVERAGE(K216:O216)</f>
        <v>-1.6232418370409101</v>
      </c>
      <c r="R216">
        <f>STDEV(K216:O216)</f>
        <v>0.11790819783789722</v>
      </c>
    </row>
    <row r="217" spans="1:18">
      <c r="A217">
        <v>215</v>
      </c>
      <c r="C217">
        <v>1223</v>
      </c>
      <c r="D217">
        <v>15</v>
      </c>
      <c r="E217">
        <v>13</v>
      </c>
      <c r="F217">
        <v>28</v>
      </c>
      <c r="G217">
        <v>13</v>
      </c>
      <c r="H217">
        <v>19</v>
      </c>
      <c r="J217" s="2"/>
      <c r="K217">
        <f t="shared" si="3"/>
        <v>-1.968947733510964</v>
      </c>
      <c r="L217">
        <f>LOG10(E217/C217)-LOG10(37995/47667)</f>
        <v>-1.8749917338165485</v>
      </c>
      <c r="M217">
        <f>LOG10(F217/C217)-LOG10(35167/47667)</f>
        <v>-1.5081859273648499</v>
      </c>
      <c r="N217">
        <f>LOG10(G217/C217)-LOG10(34734/47667)</f>
        <v>-1.8360200849207664</v>
      </c>
      <c r="O217">
        <f>LOG10(H217/C217)-LOG10(33378/47667)</f>
        <v>-1.6539153466487988</v>
      </c>
      <c r="Q217">
        <f>AVERAGE(K217:O217)</f>
        <v>-1.7684121652523852</v>
      </c>
      <c r="R217">
        <f>STDEV(K217:O217)</f>
        <v>0.18504848400449223</v>
      </c>
    </row>
    <row r="218" spans="1:18">
      <c r="A218">
        <v>216</v>
      </c>
      <c r="C218">
        <v>632</v>
      </c>
      <c r="D218">
        <v>25</v>
      </c>
      <c r="E218">
        <v>36</v>
      </c>
      <c r="F218">
        <v>26</v>
      </c>
      <c r="G218">
        <v>44</v>
      </c>
      <c r="H218">
        <v>24</v>
      </c>
      <c r="J218" s="2"/>
      <c r="K218">
        <f t="shared" si="3"/>
        <v>-1.4603896051407073</v>
      </c>
      <c r="L218">
        <f>LOG10(E218/C218)-LOG10(37995/47667)</f>
        <v>-1.1459232066021974</v>
      </c>
      <c r="M218">
        <f>LOG10(F218/C218)-LOG10(35167/47667)</f>
        <v>-1.2536612319823508</v>
      </c>
      <c r="N218">
        <f>LOG10(G218/C218)-LOG10(34734/47667)</f>
        <v>-1.0198013819875151</v>
      </c>
      <c r="O218">
        <f>LOG10(H218/C218)-LOG10(33378/47667)</f>
        <v>-1.2657483271361212</v>
      </c>
      <c r="Q218">
        <f>AVERAGE(K218:O218)</f>
        <v>-1.2291047505697783</v>
      </c>
      <c r="R218">
        <f>STDEV(K218:O218)</f>
        <v>0.1629152584885383</v>
      </c>
    </row>
    <row r="219" spans="1:18">
      <c r="A219">
        <v>217</v>
      </c>
      <c r="C219">
        <v>1286</v>
      </c>
      <c r="D219">
        <v>38</v>
      </c>
      <c r="E219">
        <v>108</v>
      </c>
      <c r="F219">
        <v>46</v>
      </c>
      <c r="G219">
        <v>47</v>
      </c>
      <c r="H219">
        <v>36</v>
      </c>
      <c r="J219" s="2"/>
      <c r="K219">
        <f t="shared" si="3"/>
        <v>-1.5870699075017529</v>
      </c>
      <c r="L219">
        <f>LOG10(E219/C219)-LOG10(37995/47667)</f>
        <v>-0.97732584218835328</v>
      </c>
      <c r="M219">
        <f>LOG10(F219/C219)-LOG10(35167/47667)</f>
        <v>-1.3144006385774127</v>
      </c>
      <c r="N219">
        <f>LOG10(G219/C219)-LOG10(34734/47667)</f>
        <v>-1.2996800908438035</v>
      </c>
      <c r="O219">
        <f>LOG10(H219/C219)-LOG10(33378/47667)</f>
        <v>-1.3981809583862581</v>
      </c>
      <c r="Q219">
        <f>AVERAGE(K219:O219)</f>
        <v>-1.3153314874995163</v>
      </c>
      <c r="R219">
        <f>STDEV(K219:O219)</f>
        <v>0.22090691064944637</v>
      </c>
    </row>
    <row r="220" spans="1:18">
      <c r="A220">
        <v>218</v>
      </c>
      <c r="C220">
        <v>1048</v>
      </c>
      <c r="D220">
        <v>108</v>
      </c>
      <c r="E220">
        <v>51</v>
      </c>
      <c r="F220">
        <v>35</v>
      </c>
      <c r="G220">
        <v>120</v>
      </c>
      <c r="H220">
        <v>51</v>
      </c>
      <c r="J220" s="2"/>
      <c r="K220">
        <f t="shared" si="3"/>
        <v>-1.0445500626911179</v>
      </c>
      <c r="L220">
        <f>LOG10(E220/C220)-LOG10(37995/47667)</f>
        <v>-1.2142997356368712</v>
      </c>
      <c r="M220">
        <f>LOG10(F220/C220)-LOG10(35167/47667)</f>
        <v>-1.3442107399682159</v>
      </c>
      <c r="N220">
        <f>LOG10(G220/C220)-LOG10(34734/47667)</f>
        <v>-0.80371701679140073</v>
      </c>
      <c r="O220">
        <f>LOG10(H220/C220)-LOG10(33378/47667)</f>
        <v>-1.1580335971151137</v>
      </c>
      <c r="Q220">
        <f>AVERAGE(K220:O220)</f>
        <v>-1.112962230440544</v>
      </c>
      <c r="R220">
        <f>STDEV(K220:O220)</f>
        <v>0.20377034749515147</v>
      </c>
    </row>
    <row r="221" spans="1:18">
      <c r="A221">
        <v>219</v>
      </c>
      <c r="C221">
        <v>1074</v>
      </c>
      <c r="D221">
        <v>11</v>
      </c>
      <c r="E221">
        <v>25</v>
      </c>
      <c r="F221">
        <v>28</v>
      </c>
      <c r="G221">
        <v>16</v>
      </c>
      <c r="H221">
        <v>27</v>
      </c>
      <c r="J221" s="2"/>
      <c r="K221">
        <f t="shared" si="3"/>
        <v>-2.0472241317356716</v>
      </c>
      <c r="L221">
        <f>LOG10(E221/C221)-LOG10(37995/47667)</f>
        <v>-1.534572901778599</v>
      </c>
      <c r="M221">
        <f>LOG10(F221/C221)-LOG10(35167/47667)</f>
        <v>-1.4517637516921011</v>
      </c>
      <c r="N221">
        <f>LOG10(G221/C221)-LOG10(34734/47667)</f>
        <v>-1.6894212788989296</v>
      </c>
      <c r="O221">
        <f>LOG10(H221/C221)-LOG10(33378/47667)</f>
        <v>-1.4448830077698915</v>
      </c>
      <c r="Q221">
        <f>AVERAGE(K221:O221)</f>
        <v>-1.6335730143750387</v>
      </c>
      <c r="R221">
        <f>STDEV(K221:O221)</f>
        <v>0.25133932463310632</v>
      </c>
    </row>
    <row r="222" spans="1:18">
      <c r="A222">
        <v>220</v>
      </c>
      <c r="C222">
        <v>771</v>
      </c>
      <c r="D222">
        <v>18</v>
      </c>
      <c r="E222">
        <v>16</v>
      </c>
      <c r="F222">
        <v>23</v>
      </c>
      <c r="G222">
        <v>23</v>
      </c>
      <c r="H222">
        <v>23</v>
      </c>
      <c r="J222" s="2"/>
      <c r="K222">
        <f t="shared" si="3"/>
        <v>-1.6893944084780108</v>
      </c>
      <c r="L222">
        <f>LOG10(E222/C222)-LOG10(37995/47667)</f>
        <v>-1.5844430244821319</v>
      </c>
      <c r="M222">
        <f>LOG10(F222/C222)-LOG10(35167/47667)</f>
        <v>-1.3932440437041478</v>
      </c>
      <c r="N222">
        <f>LOG10(G222/C222)-LOG10(34734/47667)</f>
        <v>-1.3878635222246818</v>
      </c>
      <c r="O222">
        <f>LOG10(H222/C222)-LOG10(33378/47667)</f>
        <v>-1.3705690325987063</v>
      </c>
      <c r="Q222">
        <f>AVERAGE(K222:O222)</f>
        <v>-1.4851028062975358</v>
      </c>
      <c r="R222">
        <f>STDEV(K222:O222)</f>
        <v>0.14371415520079514</v>
      </c>
    </row>
    <row r="223" spans="1:18">
      <c r="A223">
        <v>221</v>
      </c>
      <c r="C223">
        <v>663</v>
      </c>
      <c r="D223">
        <v>36</v>
      </c>
      <c r="E223">
        <v>45</v>
      </c>
      <c r="F223">
        <v>20</v>
      </c>
      <c r="G223">
        <v>53</v>
      </c>
      <c r="H223">
        <v>41</v>
      </c>
      <c r="J223" s="2"/>
      <c r="K223">
        <f t="shared" si="3"/>
        <v>-1.3228235631678458</v>
      </c>
      <c r="L223">
        <f>LOG10(E223/C223)-LOG10(37995/47667)</f>
        <v>-1.0698096437165292</v>
      </c>
      <c r="M223">
        <f>LOG10(F223/C223)-LOG10(35167/47667)</f>
        <v>-1.3884010344115756</v>
      </c>
      <c r="N223">
        <f>LOG10(G223/C223)-LOG10(34734/47667)</f>
        <v>-0.9597746389953018</v>
      </c>
      <c r="O223">
        <f>LOG10(H223/C223)-LOG10(33378/47667)</f>
        <v>-1.0539721622503797</v>
      </c>
      <c r="Q223">
        <f>AVERAGE(K223:O223)</f>
        <v>-1.1589562085083263</v>
      </c>
      <c r="R223">
        <f>STDEV(K223:O223)</f>
        <v>0.18583560993080947</v>
      </c>
    </row>
    <row r="224" spans="1:18">
      <c r="A224">
        <v>222</v>
      </c>
      <c r="C224">
        <v>903</v>
      </c>
      <c r="D224">
        <v>20</v>
      </c>
      <c r="E224">
        <v>43</v>
      </c>
      <c r="F224">
        <v>2</v>
      </c>
      <c r="G224">
        <v>21</v>
      </c>
      <c r="H224">
        <v>21</v>
      </c>
      <c r="J224" s="2"/>
      <c r="K224">
        <f t="shared" si="3"/>
        <v>-1.7122702901798843</v>
      </c>
      <c r="L224">
        <f>LOG10(E224/C224)-LOG10(37995/47667)</f>
        <v>-1.223727923821019</v>
      </c>
      <c r="M224">
        <f>LOG10(F224/C224)-LOG10(35167/47667)</f>
        <v>-2.5225752563203079</v>
      </c>
      <c r="N224">
        <f>LOG10(G224/C224)-LOG10(34734/47667)</f>
        <v>-1.4960054357709043</v>
      </c>
      <c r="O224">
        <f>LOG10(H224/C224)-LOG10(33378/47667)</f>
        <v>-1.4787109461449288</v>
      </c>
      <c r="Q224">
        <f>AVERAGE(K224:O224)</f>
        <v>-1.6866579704474087</v>
      </c>
      <c r="R224">
        <f>STDEV(K224:O224)</f>
        <v>0.49832426233014587</v>
      </c>
    </row>
    <row r="225" spans="1:18">
      <c r="A225">
        <v>223</v>
      </c>
      <c r="C225">
        <v>1092</v>
      </c>
      <c r="D225">
        <v>46</v>
      </c>
      <c r="E225">
        <v>47</v>
      </c>
      <c r="F225">
        <v>24</v>
      </c>
      <c r="G225">
        <v>51</v>
      </c>
      <c r="H225">
        <v>22</v>
      </c>
      <c r="J225" s="2"/>
      <c r="K225">
        <f t="shared" si="3"/>
        <v>-1.433077342217504</v>
      </c>
      <c r="L225">
        <f>LOG10(E225/C225)-LOG10(37995/47667)</f>
        <v>-1.2676334095201007</v>
      </c>
      <c r="M225">
        <f>LOG10(F225/C225)-LOG10(35167/47667)</f>
        <v>-1.525928898327896</v>
      </c>
      <c r="N225">
        <f>LOG10(G225/C225)-LOG10(34734/47667)</f>
        <v>-1.1931894424620997</v>
      </c>
      <c r="O225">
        <f>LOG10(H225/C225)-LOG10(33378/47667)</f>
        <v>-1.5410424481118543</v>
      </c>
      <c r="Q225">
        <f>AVERAGE(K225:O225)</f>
        <v>-1.3921743081278908</v>
      </c>
      <c r="R225">
        <f>STDEV(K225:O225)</f>
        <v>0.15558798466596088</v>
      </c>
    </row>
    <row r="226" spans="1:18">
      <c r="A226">
        <v>224</v>
      </c>
      <c r="C226">
        <v>2138</v>
      </c>
      <c r="D226">
        <v>25</v>
      </c>
      <c r="E226">
        <v>78</v>
      </c>
      <c r="F226">
        <v>39</v>
      </c>
      <c r="G226">
        <v>45</v>
      </c>
      <c r="H226">
        <v>46</v>
      </c>
      <c r="J226" s="2"/>
      <c r="K226">
        <f t="shared" si="3"/>
        <v>-1.9896802277310814</v>
      </c>
      <c r="L226">
        <f>LOG10(E226/C226)-LOG10(37995/47667)</f>
        <v>-1.3394217272693785</v>
      </c>
      <c r="M226">
        <f>LOG10(F226/C226)-LOG10(35167/47667)</f>
        <v>-1.6068605955170436</v>
      </c>
      <c r="N226">
        <f>LOG10(G226/C226)-LOG10(34734/47667)</f>
        <v>-1.5393321672887332</v>
      </c>
      <c r="O226">
        <f>LOG10(H226/C226)-LOG10(33378/47667)</f>
        <v>-1.5124923597565272</v>
      </c>
      <c r="Q226">
        <f>AVERAGE(K226:O226)</f>
        <v>-1.5975574155125529</v>
      </c>
      <c r="R226">
        <f>STDEV(K226:O226)</f>
        <v>0.24036801253839979</v>
      </c>
    </row>
    <row r="227" spans="1:18">
      <c r="A227">
        <v>225</v>
      </c>
      <c r="C227">
        <v>1379</v>
      </c>
      <c r="D227">
        <v>23</v>
      </c>
      <c r="E227">
        <v>32</v>
      </c>
      <c r="F227">
        <v>44</v>
      </c>
      <c r="G227">
        <v>12</v>
      </c>
      <c r="H227">
        <v>22</v>
      </c>
      <c r="J227" s="2"/>
      <c r="K227">
        <f t="shared" si="3"/>
        <v>-1.8354489656886168</v>
      </c>
      <c r="L227">
        <f>LOG10(E227/C227)-LOG10(37995/47667)</f>
        <v>-1.5359229169430435</v>
      </c>
      <c r="M227">
        <f>LOG10(F227/C227)-LOG10(35167/47667)</f>
        <v>-1.364029091360446</v>
      </c>
      <c r="N227">
        <f>LOG10(G227/C227)-LOG10(34734/47667)</f>
        <v>-1.9229200003195424</v>
      </c>
      <c r="O227">
        <f>LOG10(H227/C227)-LOG10(33378/47667)</f>
        <v>-1.6423840759189856</v>
      </c>
      <c r="Q227">
        <f>AVERAGE(K227:O227)</f>
        <v>-1.6601410100461265</v>
      </c>
      <c r="R227">
        <f>STDEV(K227:O227)</f>
        <v>0.22539597866429803</v>
      </c>
    </row>
    <row r="228" spans="1:18">
      <c r="A228">
        <v>226</v>
      </c>
      <c r="C228">
        <v>2132</v>
      </c>
      <c r="D228">
        <v>30</v>
      </c>
      <c r="E228">
        <v>41</v>
      </c>
      <c r="F228">
        <v>32</v>
      </c>
      <c r="G228">
        <v>52</v>
      </c>
      <c r="H228">
        <v>28</v>
      </c>
      <c r="J228" s="2"/>
      <c r="K228">
        <f t="shared" si="3"/>
        <v>-1.9092784811652321</v>
      </c>
      <c r="L228">
        <f>LOG10(E228/C228)-LOG10(37995/47667)</f>
        <v>-1.6175119727218989</v>
      </c>
      <c r="M228">
        <f>LOG10(F228/C228)-LOG10(35167/47667)</f>
        <v>-1.6915547237054123</v>
      </c>
      <c r="N228">
        <f>LOG10(G228/C228)-LOG10(34734/47667)</f>
        <v>-1.4753208369110531</v>
      </c>
      <c r="O228">
        <f>LOG10(H228/C228)-LOG10(33378/47667)</f>
        <v>-1.7268716595776576</v>
      </c>
      <c r="Q228">
        <f>AVERAGE(K228:O228)</f>
        <v>-1.6841075348162509</v>
      </c>
      <c r="R228">
        <f>STDEV(K228:O228)</f>
        <v>0.15859779331809351</v>
      </c>
    </row>
    <row r="229" spans="1:18">
      <c r="A229">
        <v>227</v>
      </c>
      <c r="C229">
        <v>597</v>
      </c>
      <c r="D229">
        <v>32</v>
      </c>
      <c r="E229">
        <v>14</v>
      </c>
      <c r="F229">
        <v>14</v>
      </c>
      <c r="G229">
        <v>15</v>
      </c>
      <c r="H229">
        <v>9</v>
      </c>
      <c r="J229" s="2"/>
      <c r="K229">
        <f t="shared" si="3"/>
        <v>-1.328436888339823</v>
      </c>
      <c r="L229">
        <f>LOG10(E229/C229)-LOG10(37995/47667)</f>
        <v>-1.5313549245382307</v>
      </c>
      <c r="M229">
        <f>LOG10(F229/C229)-LOG10(35167/47667)</f>
        <v>-1.4977637971219147</v>
      </c>
      <c r="N229">
        <f>LOG10(G229/C229)-LOG10(34734/47667)</f>
        <v>-1.4624200522650055</v>
      </c>
      <c r="O229">
        <f>LOG10(H229/C229)-LOG10(33378/47667)</f>
        <v>-1.6669743122553864</v>
      </c>
      <c r="Q229">
        <f>AVERAGE(K229:O229)</f>
        <v>-1.4973899949040721</v>
      </c>
      <c r="R229">
        <f>STDEV(K229:O229)</f>
        <v>0.12214811293113866</v>
      </c>
    </row>
    <row r="230" spans="1:18">
      <c r="A230">
        <v>228</v>
      </c>
      <c r="C230">
        <v>1411</v>
      </c>
      <c r="D230">
        <v>37</v>
      </c>
      <c r="E230">
        <v>59</v>
      </c>
      <c r="F230">
        <v>15</v>
      </c>
      <c r="G230">
        <v>43</v>
      </c>
      <c r="H230">
        <v>37</v>
      </c>
      <c r="J230" s="2"/>
      <c r="K230">
        <f t="shared" si="3"/>
        <v>-1.6389378252177127</v>
      </c>
      <c r="L230">
        <f>LOG10(E230/C230)-LOG10(37995/47667)</f>
        <v>-1.2801836311993033</v>
      </c>
      <c r="M230">
        <f>LOG10(F230/C230)-LOG10(35167/47667)</f>
        <v>-1.8413532563694501</v>
      </c>
      <c r="N230">
        <f>LOG10(G230/C230)-LOG10(34734/47667)</f>
        <v>-1.3785955383660788</v>
      </c>
      <c r="O230">
        <f>LOG10(H230/C230)-LOG10(33378/47667)</f>
        <v>-1.426567780252695</v>
      </c>
      <c r="Q230">
        <f>AVERAGE(K230:O230)</f>
        <v>-1.5131276062810479</v>
      </c>
      <c r="R230">
        <f>STDEV(K230:O230)</f>
        <v>0.22550757463512802</v>
      </c>
    </row>
    <row r="231" spans="1:18">
      <c r="A231">
        <v>229</v>
      </c>
      <c r="C231">
        <v>1044</v>
      </c>
      <c r="D231">
        <v>142</v>
      </c>
      <c r="E231">
        <v>388</v>
      </c>
      <c r="F231">
        <v>154</v>
      </c>
      <c r="G231">
        <v>258</v>
      </c>
      <c r="H231">
        <v>137</v>
      </c>
      <c r="J231" s="2"/>
      <c r="K231">
        <f t="shared" si="3"/>
        <v>-0.92402468981354657</v>
      </c>
      <c r="L231">
        <f>LOG10(E231/C231)-LOG10(37995/47667)</f>
        <v>-0.3313774021591358</v>
      </c>
      <c r="M231">
        <f>LOG10(F231/C231)-LOG10(35167/47667)</f>
        <v>-0.69909727950056377</v>
      </c>
      <c r="N231">
        <f>LOG10(G231/C231)-LOG10(34734/47667)</f>
        <v>-0.46961777289433093</v>
      </c>
      <c r="O231">
        <f>LOG10(H231/C231)-LOG10(33378/47667)</f>
        <v>-0.72722242207517873</v>
      </c>
      <c r="Q231">
        <f>AVERAGE(K231:O231)</f>
        <v>-0.63026791328855114</v>
      </c>
      <c r="R231">
        <f>STDEV(K231:O231)</f>
        <v>0.23215011707591549</v>
      </c>
    </row>
    <row r="232" spans="1:18">
      <c r="A232">
        <v>230</v>
      </c>
      <c r="C232">
        <v>1398</v>
      </c>
      <c r="D232">
        <v>31</v>
      </c>
      <c r="E232">
        <v>75</v>
      </c>
      <c r="F232">
        <v>53</v>
      </c>
      <c r="G232">
        <v>16</v>
      </c>
      <c r="H232">
        <v>82</v>
      </c>
      <c r="J232" s="2"/>
      <c r="K232">
        <f t="shared" si="3"/>
        <v>-1.7117580131057497</v>
      </c>
      <c r="L232">
        <f>LOG10(E232/C232)-LOG10(37995/47667)</f>
        <v>-1.1719545371050624</v>
      </c>
      <c r="M232">
        <f>LOG10(F232/C232)-LOG10(35167/47667)</f>
        <v>-1.2891488034796572</v>
      </c>
      <c r="N232">
        <f>LOG10(G232/C232)-LOG10(34734/47667)</f>
        <v>-1.8039241689450554</v>
      </c>
      <c r="O232">
        <f>LOG10(H232/C232)-LOG10(33378/47667)</f>
        <v>-1.076935809591288</v>
      </c>
      <c r="Q232">
        <f>AVERAGE(K232:O232)</f>
        <v>-1.4107442664453624</v>
      </c>
      <c r="R232">
        <f>STDEV(K232:O232)</f>
        <v>0.32727426904958024</v>
      </c>
    </row>
    <row r="233" spans="1:18">
      <c r="A233">
        <v>231</v>
      </c>
      <c r="C233">
        <v>1438</v>
      </c>
      <c r="D233">
        <v>21</v>
      </c>
      <c r="E233">
        <v>47</v>
      </c>
      <c r="F233">
        <v>27</v>
      </c>
      <c r="G233">
        <v>49</v>
      </c>
      <c r="H233">
        <v>33</v>
      </c>
      <c r="J233" s="2"/>
      <c r="K233">
        <f t="shared" si="3"/>
        <v>-1.8931521268433045</v>
      </c>
      <c r="L233">
        <f>LOG10(E233/C233)-LOG10(37995/47667)</f>
        <v>-1.3871696571982461</v>
      </c>
      <c r="M233">
        <f>LOG10(F233/C233)-LOG10(35167/47667)</f>
        <v>-1.5943126235586602</v>
      </c>
      <c r="N233">
        <f>LOG10(G233/C233)-LOG10(34734/47667)</f>
        <v>-1.3300997862096677</v>
      </c>
      <c r="O233">
        <f>LOG10(H233/C233)-LOG10(33378/47667)</f>
        <v>-1.4844874367343184</v>
      </c>
      <c r="Q233">
        <f>AVERAGE(K233:O233)</f>
        <v>-1.5378443261088395</v>
      </c>
      <c r="R233">
        <f>STDEV(K233:O233)</f>
        <v>0.22256454638632547</v>
      </c>
    </row>
    <row r="234" spans="1:18">
      <c r="A234">
        <v>232</v>
      </c>
      <c r="C234">
        <v>1392</v>
      </c>
      <c r="D234">
        <v>83</v>
      </c>
      <c r="E234">
        <v>49</v>
      </c>
      <c r="F234">
        <v>43</v>
      </c>
      <c r="G234">
        <v>59</v>
      </c>
      <c r="H234">
        <v>93</v>
      </c>
      <c r="J234" s="2"/>
      <c r="K234">
        <f t="shared" si="3"/>
        <v>-1.2821736784288293</v>
      </c>
      <c r="L234">
        <f>LOG10(E234/C234)-LOG10(37995/47667)</f>
        <v>-1.3549517843331293</v>
      </c>
      <c r="M234">
        <f>LOG10(F234/C234)-LOG10(35167/47667)</f>
        <v>-1.3780882813657405</v>
      </c>
      <c r="N234">
        <f>LOG10(G234/C234)-LOG10(34734/47667)</f>
        <v>-1.2353242038237169</v>
      </c>
      <c r="O234">
        <f>LOG10(H234/C234)-LOG10(33378/47667)</f>
        <v>-1.0203987772859504</v>
      </c>
      <c r="Q234">
        <f>AVERAGE(K234:O234)</f>
        <v>-1.2541873450474734</v>
      </c>
      <c r="R234">
        <f>STDEV(K234:O234)</f>
        <v>0.14256670510154101</v>
      </c>
    </row>
    <row r="235" spans="1:18">
      <c r="A235">
        <v>233</v>
      </c>
      <c r="C235">
        <v>1869</v>
      </c>
      <c r="D235">
        <v>191</v>
      </c>
      <c r="E235">
        <v>75</v>
      </c>
      <c r="F235">
        <v>126</v>
      </c>
      <c r="G235">
        <v>161</v>
      </c>
      <c r="H235">
        <v>84</v>
      </c>
      <c r="J235" s="2"/>
      <c r="K235">
        <f t="shared" si="3"/>
        <v>-1.0481884696614643</v>
      </c>
      <c r="L235">
        <f>LOG10(E235/C235)-LOG10(37995/47667)</f>
        <v>-1.2980566670742317</v>
      </c>
      <c r="M235">
        <f>LOG10(F235/C235)-LOG10(35167/47667)</f>
        <v>-1.0391562579320528</v>
      </c>
      <c r="N235">
        <f>LOG10(G235/C235)-LOG10(34734/47667)</f>
        <v>-0.92732040553830009</v>
      </c>
      <c r="O235">
        <f>LOG10(H235/C235)-LOG10(33378/47667)</f>
        <v>-1.1925725058822927</v>
      </c>
      <c r="Q235">
        <f>AVERAGE(K235:O235)</f>
        <v>-1.1010588612176684</v>
      </c>
      <c r="R235">
        <f>STDEV(K235:O235)</f>
        <v>0.14490957891975068</v>
      </c>
    </row>
    <row r="236" spans="1:18">
      <c r="A236">
        <v>234</v>
      </c>
      <c r="C236">
        <v>1809</v>
      </c>
      <c r="D236">
        <v>36</v>
      </c>
      <c r="E236">
        <v>71</v>
      </c>
      <c r="F236">
        <v>52</v>
      </c>
      <c r="G236">
        <v>74</v>
      </c>
      <c r="H236">
        <v>21</v>
      </c>
      <c r="J236" s="2"/>
      <c r="K236">
        <f t="shared" si="3"/>
        <v>-1.7587486016228864</v>
      </c>
      <c r="L236">
        <f>LOG10(E236/C236)-LOG10(37995/47667)</f>
        <v>-1.3076888472278381</v>
      </c>
      <c r="M236">
        <f>LOG10(F236/C236)-LOG10(35167/47667)</f>
        <v>-1.4093527248957982</v>
      </c>
      <c r="N236">
        <f>LOG10(G236/C236)-LOG10(34734/47667)</f>
        <v>-1.2507438273201552</v>
      </c>
      <c r="O236">
        <f>LOG10(H236/C236)-LOG10(33378/47667)</f>
        <v>-1.7804617626912367</v>
      </c>
      <c r="Q236">
        <f>AVERAGE(K236:O236)</f>
        <v>-1.5013991527515831</v>
      </c>
      <c r="R236">
        <f>STDEV(K236:O236)</f>
        <v>0.25146023473649814</v>
      </c>
    </row>
    <row r="237" spans="1:18">
      <c r="A237">
        <v>235</v>
      </c>
      <c r="C237">
        <v>1080</v>
      </c>
      <c r="D237">
        <v>68</v>
      </c>
      <c r="E237">
        <v>62</v>
      </c>
      <c r="F237">
        <v>136</v>
      </c>
      <c r="G237">
        <v>39</v>
      </c>
      <c r="H237">
        <v>60</v>
      </c>
      <c r="J237" s="2"/>
      <c r="K237">
        <f t="shared" si="3"/>
        <v>-1.2585273783110733</v>
      </c>
      <c r="L237">
        <f>LOG10(E237/C237)-LOG10(37995/47667)</f>
        <v>-1.1425406950757955</v>
      </c>
      <c r="M237">
        <f>LOG10(F237/C237)-LOG10(35167/47667)</f>
        <v>-0.76780234878751574</v>
      </c>
      <c r="N237">
        <f>LOG10(G237/C237)-LOG10(34734/47667)</f>
        <v>-1.3048961286517682</v>
      </c>
      <c r="O237">
        <f>LOG10(H237/C237)-LOG10(33378/47667)</f>
        <v>-1.1005149956686482</v>
      </c>
      <c r="Q237">
        <f>AVERAGE(K237:O237)</f>
        <v>-1.1148563092989601</v>
      </c>
      <c r="R237">
        <f>STDEV(K237:O237)</f>
        <v>0.21105393801697658</v>
      </c>
    </row>
    <row r="238" spans="1:18">
      <c r="A238">
        <v>236</v>
      </c>
      <c r="C238">
        <v>1855</v>
      </c>
      <c r="D238">
        <v>58</v>
      </c>
      <c r="E238">
        <v>61</v>
      </c>
      <c r="F238">
        <v>67</v>
      </c>
      <c r="G238">
        <v>44</v>
      </c>
      <c r="H238">
        <v>57</v>
      </c>
      <c r="J238" s="2"/>
      <c r="K238">
        <f t="shared" si="3"/>
        <v>-1.5625284559184873</v>
      </c>
      <c r="L238">
        <f>LOG10(E238/C238)-LOG10(37995/47667)</f>
        <v>-1.3845227080273974</v>
      </c>
      <c r="M238">
        <f>LOG10(F238/C238)-LOG10(35167/47667)</f>
        <v>-1.3101866129210218</v>
      </c>
      <c r="N238">
        <f>LOG10(G238/C238)-LOG10(34734/47667)</f>
        <v>-1.4874282176561948</v>
      </c>
      <c r="O238">
        <f>LOG10(H238/C238)-LOG10(33378/47667)</f>
        <v>-1.3577115488439155</v>
      </c>
      <c r="Q238">
        <f>AVERAGE(K238:O238)</f>
        <v>-1.4204755086734033</v>
      </c>
      <c r="R238">
        <f>STDEV(K238:O238)</f>
        <v>0.10253933893291597</v>
      </c>
    </row>
    <row r="239" spans="1:18">
      <c r="A239">
        <v>237</v>
      </c>
      <c r="C239">
        <v>1050</v>
      </c>
      <c r="D239">
        <v>41</v>
      </c>
      <c r="E239">
        <v>41</v>
      </c>
      <c r="F239">
        <v>41</v>
      </c>
      <c r="G239">
        <v>386</v>
      </c>
      <c r="H239">
        <v>38</v>
      </c>
      <c r="J239" s="2"/>
      <c r="K239">
        <f t="shared" si="3"/>
        <v>-1.4660179778805624</v>
      </c>
      <c r="L239">
        <f>LOG10(E239/C239)-LOG10(37995/47667)</f>
        <v>-1.3099140714373023</v>
      </c>
      <c r="M239">
        <f>LOG10(F239/C239)-LOG10(35167/47667)</f>
        <v>-1.2763229440209862</v>
      </c>
      <c r="N239">
        <f>LOG10(G239/C239)-LOG10(34734/47667)</f>
        <v>-0.29713897458950078</v>
      </c>
      <c r="O239">
        <f>LOG10(H239/C239)-LOG10(33378/47667)</f>
        <v>-1.2866481930184701</v>
      </c>
      <c r="Q239">
        <f>AVERAGE(K239:O239)</f>
        <v>-1.1272084321893643</v>
      </c>
      <c r="R239">
        <f>STDEV(K239:O239)</f>
        <v>0.47033093090839562</v>
      </c>
    </row>
    <row r="240" spans="1:18">
      <c r="A240">
        <v>238</v>
      </c>
      <c r="C240">
        <v>1572</v>
      </c>
      <c r="D240">
        <v>71</v>
      </c>
      <c r="E240">
        <v>84</v>
      </c>
      <c r="F240">
        <v>40</v>
      </c>
      <c r="G240">
        <v>53</v>
      </c>
      <c r="H240">
        <v>54</v>
      </c>
      <c r="J240" s="2"/>
      <c r="K240">
        <f t="shared" si="3"/>
        <v>-1.4028067285146737</v>
      </c>
      <c r="L240">
        <f>LOG10(E240/C240)-LOG10(37995/47667)</f>
        <v>-1.1736818847286072</v>
      </c>
      <c r="M240">
        <f>LOG10(F240/C240)-LOG10(35167/47667)</f>
        <v>-1.4623100520462105</v>
      </c>
      <c r="N240">
        <f>LOG10(G240/C240)-LOG10(34734/47667)</f>
        <v>-1.3347136522939176</v>
      </c>
      <c r="O240">
        <f>LOG10(H240/C240)-LOG10(33378/47667)</f>
        <v>-1.3093012724457627</v>
      </c>
      <c r="Q240">
        <f>AVERAGE(K240:O240)</f>
        <v>-1.3365627180058341</v>
      </c>
      <c r="R240">
        <f>STDEV(K240:O240)</f>
        <v>0.10894658353256509</v>
      </c>
    </row>
    <row r="241" spans="1:18">
      <c r="A241">
        <v>239</v>
      </c>
      <c r="C241">
        <v>1839</v>
      </c>
      <c r="D241">
        <v>36</v>
      </c>
      <c r="E241">
        <v>57</v>
      </c>
      <c r="F241">
        <v>41</v>
      </c>
      <c r="G241">
        <v>42</v>
      </c>
      <c r="H241">
        <v>41</v>
      </c>
      <c r="J241" s="2"/>
      <c r="K241">
        <f t="shared" si="3"/>
        <v>-1.76589176400115</v>
      </c>
      <c r="L241">
        <f>LOG10(E241/C241)-LOG10(37995/47667)</f>
        <v>-1.4102155026526857</v>
      </c>
      <c r="M241">
        <f>LOG10(F241/C241)-LOG10(35167/47667)</f>
        <v>-1.5197153741891256</v>
      </c>
      <c r="N241">
        <f>LOG10(G241/C241)-LOG10(34734/47667)</f>
        <v>-1.5038694190314945</v>
      </c>
      <c r="O241">
        <f>LOG10(H241/C241)-LOG10(33378/47667)</f>
        <v>-1.4970403630836842</v>
      </c>
      <c r="Q241">
        <f>AVERAGE(K241:O241)</f>
        <v>-1.539346484591628</v>
      </c>
      <c r="R241">
        <f>STDEV(K241:O241)</f>
        <v>0.13363325251662853</v>
      </c>
    </row>
    <row r="242" spans="1:18">
      <c r="A242">
        <v>240</v>
      </c>
      <c r="C242">
        <v>2170</v>
      </c>
      <c r="D242">
        <v>32</v>
      </c>
      <c r="E242">
        <v>66</v>
      </c>
      <c r="F242">
        <v>64</v>
      </c>
      <c r="G242">
        <v>21</v>
      </c>
      <c r="H242">
        <v>28</v>
      </c>
      <c r="J242" s="2"/>
      <c r="K242">
        <f t="shared" si="3"/>
        <v>-1.8889222910589833</v>
      </c>
      <c r="L242">
        <f>LOG10(E242/C242)-LOG10(37995/47667)</f>
        <v>-1.4184244273937605</v>
      </c>
      <c r="M242">
        <f>LOG10(F242/C242)-LOG10(35167/47667)</f>
        <v>-1.3981972615354259</v>
      </c>
      <c r="N242">
        <f>LOG10(G242/C242)-LOG10(34734/47667)</f>
        <v>-1.8767774193059277</v>
      </c>
      <c r="O242">
        <f>LOG10(H242/C242)-LOG10(33378/47667)</f>
        <v>-1.7345441930716525</v>
      </c>
      <c r="Q242">
        <f>AVERAGE(K242:O242)</f>
        <v>-1.6633731184731499</v>
      </c>
      <c r="R242">
        <f>STDEV(K242:O242)</f>
        <v>0.24072663079297707</v>
      </c>
    </row>
    <row r="243" spans="1:18">
      <c r="A243">
        <v>241</v>
      </c>
      <c r="C243">
        <v>1996</v>
      </c>
      <c r="D243">
        <v>73</v>
      </c>
      <c r="E243">
        <v>83</v>
      </c>
      <c r="F243">
        <v>74</v>
      </c>
      <c r="G243">
        <v>42</v>
      </c>
      <c r="H243">
        <v>99</v>
      </c>
      <c r="J243" s="2"/>
      <c r="K243">
        <f t="shared" si="3"/>
        <v>-1.4944502123612562</v>
      </c>
      <c r="L243">
        <f>LOG10(E243/C243)-LOG10(37995/47667)</f>
        <v>-1.2825910736623782</v>
      </c>
      <c r="M243">
        <f>LOG10(F243/C243)-LOG10(35167/47667)</f>
        <v>-1.2988463188911596</v>
      </c>
      <c r="N243">
        <f>LOG10(G243/C243)-LOG10(34734/47667)</f>
        <v>-1.5394482267447696</v>
      </c>
      <c r="O243">
        <f>LOG10(H243/C243)-LOG10(33378/47667)</f>
        <v>-1.1497678329191445</v>
      </c>
      <c r="Q243">
        <f>AVERAGE(K243:O243)</f>
        <v>-1.3530207329157418</v>
      </c>
      <c r="R243">
        <f>STDEV(K243:O243)</f>
        <v>0.16121759636131411</v>
      </c>
    </row>
    <row r="244" spans="1:18">
      <c r="A244">
        <v>242</v>
      </c>
      <c r="C244">
        <v>737</v>
      </c>
      <c r="D244">
        <v>28</v>
      </c>
      <c r="E244">
        <v>49</v>
      </c>
      <c r="F244">
        <v>11</v>
      </c>
      <c r="G244">
        <v>25</v>
      </c>
      <c r="H244">
        <v>9</v>
      </c>
      <c r="J244" s="2"/>
      <c r="K244">
        <f t="shared" si="3"/>
        <v>-1.477921992047192</v>
      </c>
      <c r="L244">
        <f>LOG10(E244/C244)-LOG10(37995/47667)</f>
        <v>-1.0787800369176375</v>
      </c>
      <c r="M244">
        <f>LOG10(F244/C244)-LOG10(35167/47667)</f>
        <v>-1.6939923043716101</v>
      </c>
      <c r="N244">
        <f>LOG10(G244/C244)-LOG10(34734/47667)</f>
        <v>-1.3320644593783315</v>
      </c>
      <c r="O244">
        <f>LOG10(H244/C244)-LOG10(33378/47667)</f>
        <v>-1.7584674689850688</v>
      </c>
      <c r="Q244">
        <f>AVERAGE(K244:O244)</f>
        <v>-1.4682452523399681</v>
      </c>
      <c r="R244">
        <f>STDEV(K244:O244)</f>
        <v>0.27636600198937095</v>
      </c>
    </row>
    <row r="245" spans="1:18">
      <c r="A245">
        <v>243</v>
      </c>
      <c r="C245">
        <v>1678</v>
      </c>
      <c r="D245">
        <v>153</v>
      </c>
      <c r="E245">
        <v>47</v>
      </c>
      <c r="F245">
        <v>61</v>
      </c>
      <c r="G245">
        <v>73</v>
      </c>
      <c r="H245">
        <v>42</v>
      </c>
      <c r="J245" s="2"/>
      <c r="K245">
        <f t="shared" si="3"/>
        <v>-1.0977130612054424</v>
      </c>
      <c r="L245">
        <f>LOG10(E245/C245)-LOG10(37995/47667)</f>
        <v>-1.4542027276440637</v>
      </c>
      <c r="M245">
        <f>LOG10(F245/C245)-LOG10(35167/47667)</f>
        <v>-1.3073796231526982</v>
      </c>
      <c r="N245">
        <f>LOG10(G245/C245)-LOG10(34734/47667)</f>
        <v>-1.2240060765635432</v>
      </c>
      <c r="O245">
        <f>LOG10(H245/C245)-LOG10(33378/47667)</f>
        <v>-1.4467851566601231</v>
      </c>
      <c r="Q245">
        <f>AVERAGE(K245:O245)</f>
        <v>-1.3060173290451742</v>
      </c>
      <c r="R245">
        <f>STDEV(K245:O245)</f>
        <v>0.15156917812374535</v>
      </c>
    </row>
    <row r="246" spans="1:18">
      <c r="A246">
        <v>244</v>
      </c>
      <c r="C246">
        <v>1502</v>
      </c>
      <c r="D246">
        <v>64</v>
      </c>
      <c r="E246">
        <v>180</v>
      </c>
      <c r="F246">
        <v>116</v>
      </c>
      <c r="G246">
        <v>118</v>
      </c>
      <c r="H246">
        <v>120</v>
      </c>
      <c r="J246" s="2"/>
      <c r="K246">
        <f t="shared" si="3"/>
        <v>-1.4281024942146223</v>
      </c>
      <c r="L246">
        <f>LOG10(E246/C246)-LOG10(37995/47667)</f>
        <v>-0.82290605665194327</v>
      </c>
      <c r="M246">
        <f>LOG10(F246/C246)-LOG10(35167/47667)</f>
        <v>-0.98012944511201472</v>
      </c>
      <c r="N246">
        <f>LOG10(G246/C246)-LOG10(34734/47667)</f>
        <v>-0.96732490555334183</v>
      </c>
      <c r="O246">
        <f>LOG10(H246/C246)-LOG10(33378/47667)</f>
        <v>-0.94273117718586685</v>
      </c>
      <c r="Q246">
        <f>AVERAGE(K246:O246)</f>
        <v>-1.0282388157435578</v>
      </c>
      <c r="R246">
        <f>STDEV(K246:O246)</f>
        <v>0.23205014305399796</v>
      </c>
    </row>
    <row r="247" spans="1:18">
      <c r="A247">
        <v>245</v>
      </c>
      <c r="C247">
        <v>2377</v>
      </c>
      <c r="D247">
        <v>46</v>
      </c>
      <c r="E247">
        <v>105</v>
      </c>
      <c r="F247">
        <v>111</v>
      </c>
      <c r="G247">
        <v>96</v>
      </c>
      <c r="H247">
        <v>57</v>
      </c>
      <c r="J247" s="2"/>
      <c r="K247">
        <f t="shared" si="3"/>
        <v>-1.770883885576966</v>
      </c>
      <c r="L247">
        <f>LOG10(E247/C247)-LOG10(37995/47667)</f>
        <v>-1.2563485117453419</v>
      </c>
      <c r="M247">
        <f>LOG10(F247/C247)-LOG10(35167/47667)</f>
        <v>-1.1986237046123065</v>
      </c>
      <c r="N247">
        <f>LOG10(G247/C247)-LOG10(34734/47667)</f>
        <v>-1.2562949288799294</v>
      </c>
      <c r="O247">
        <f>LOG10(H247/C247)-LOG10(33378/47667)</f>
        <v>-1.4653968166210309</v>
      </c>
      <c r="Q247">
        <f>AVERAGE(K247:O247)</f>
        <v>-1.3895095694871149</v>
      </c>
      <c r="R247">
        <f>STDEV(K247:O247)</f>
        <v>0.23617825070832604</v>
      </c>
    </row>
    <row r="248" spans="1:18">
      <c r="A248">
        <v>246</v>
      </c>
      <c r="C248">
        <v>1539</v>
      </c>
      <c r="D248">
        <v>30</v>
      </c>
      <c r="E248">
        <v>50</v>
      </c>
      <c r="F248">
        <v>50</v>
      </c>
      <c r="G248">
        <v>26</v>
      </c>
      <c r="H248">
        <v>31</v>
      </c>
      <c r="J248" s="2"/>
      <c r="K248">
        <f t="shared" si="3"/>
        <v>-1.7677299006421761</v>
      </c>
      <c r="L248">
        <f>LOG10(E248/C248)-LOG10(37995/47667)</f>
        <v>-1.3897772445825596</v>
      </c>
      <c r="M248">
        <f>LOG10(F248/C248)-LOG10(35167/47667)</f>
        <v>-1.3561861171662435</v>
      </c>
      <c r="N248">
        <f>LOG10(G248/C248)-LOG10(34734/47667)</f>
        <v>-1.6348022520519785</v>
      </c>
      <c r="O248">
        <f>LOG10(H248/C248)-LOG10(33378/47667)</f>
        <v>-1.5411194165625481</v>
      </c>
      <c r="Q248">
        <f>AVERAGE(K248:O248)</f>
        <v>-1.5379229862011012</v>
      </c>
      <c r="R248">
        <f>STDEV(K248:O248)</f>
        <v>0.17115963131685635</v>
      </c>
    </row>
    <row r="249" spans="1:18">
      <c r="A249">
        <v>247</v>
      </c>
      <c r="C249">
        <v>1391</v>
      </c>
      <c r="D249">
        <v>27</v>
      </c>
      <c r="E249">
        <v>25</v>
      </c>
      <c r="F249">
        <v>17</v>
      </c>
      <c r="G249">
        <v>16</v>
      </c>
      <c r="H249">
        <v>42</v>
      </c>
      <c r="J249" s="2"/>
      <c r="K249">
        <f t="shared" si="3"/>
        <v>-1.7695759013634189</v>
      </c>
      <c r="L249">
        <f>LOG10(E249/C249)-LOG10(37995/47667)</f>
        <v>-1.6468957504071084</v>
      </c>
      <c r="M249">
        <f>LOG10(F249/C249)-LOG10(35167/47667)</f>
        <v>-1.7807957102845562</v>
      </c>
      <c r="N249">
        <f>LOG10(G249/C249)-LOG10(34734/47667)</f>
        <v>-1.8017441275274393</v>
      </c>
      <c r="O249">
        <f>LOG10(H249/C249)-LOG10(33378/47667)</f>
        <v>-1.3653203301594881</v>
      </c>
      <c r="Q249">
        <f>AVERAGE(K249:O249)</f>
        <v>-1.6728663639484023</v>
      </c>
      <c r="R249">
        <f>STDEV(K249:O249)</f>
        <v>0.18225668166058639</v>
      </c>
    </row>
    <row r="250" spans="1:18">
      <c r="A250">
        <v>248</v>
      </c>
      <c r="C250">
        <v>1866</v>
      </c>
      <c r="D250">
        <v>111</v>
      </c>
      <c r="E250">
        <v>44</v>
      </c>
      <c r="F250">
        <v>35</v>
      </c>
      <c r="G250">
        <v>56</v>
      </c>
      <c r="H250">
        <v>52</v>
      </c>
      <c r="J250" s="2"/>
      <c r="K250">
        <f t="shared" si="3"/>
        <v>-1.2832011961541836</v>
      </c>
      <c r="L250">
        <f>LOG10(E250/C250)-LOG10(37995/47667)</f>
        <v>-1.5289675920113934</v>
      </c>
      <c r="M250">
        <f>LOG10(F250/C250)-LOG10(35167/47667)</f>
        <v>-1.5947610967309891</v>
      </c>
      <c r="N250">
        <f>LOG10(G250/C250)-LOG10(34734/47667)</f>
        <v>-1.3852605925955983</v>
      </c>
      <c r="O250">
        <f>LOG10(H250/C250)-LOG10(33378/47667)</f>
        <v>-1.4001507863410241</v>
      </c>
      <c r="Q250">
        <f>AVERAGE(K250:O250)</f>
        <v>-1.4384682527666377</v>
      </c>
      <c r="R250">
        <f>STDEV(K250:O250)</f>
        <v>0.12351591565609302</v>
      </c>
    </row>
    <row r="251" spans="1:18">
      <c r="A251">
        <v>249</v>
      </c>
      <c r="C251">
        <v>749</v>
      </c>
      <c r="D251">
        <v>44</v>
      </c>
      <c r="E251">
        <v>56</v>
      </c>
      <c r="F251">
        <v>11</v>
      </c>
      <c r="G251">
        <v>12</v>
      </c>
      <c r="H251">
        <v>24</v>
      </c>
      <c r="J251" s="2"/>
      <c r="K251">
        <f t="shared" si="3"/>
        <v>-1.2886416767436388</v>
      </c>
      <c r="L251">
        <f>LOG10(E251/C251)-LOG10(37995/47667)</f>
        <v>-1.0278024197803659</v>
      </c>
      <c r="M251">
        <f>LOG10(F251/C251)-LOG10(35167/47667)</f>
        <v>-1.7010066342120251</v>
      </c>
      <c r="N251">
        <f>LOG10(G251/C251)-LOG10(34734/47667)</f>
        <v>-1.6578375518431592</v>
      </c>
      <c r="O251">
        <f>LOG10(H251/C251)-LOG10(33378/47667)</f>
        <v>-1.3395130665532027</v>
      </c>
      <c r="Q251">
        <f>AVERAGE(K251:O251)</f>
        <v>-1.4029602698264785</v>
      </c>
      <c r="R251">
        <f>STDEV(K251:O251)</f>
        <v>0.2791199406126828</v>
      </c>
    </row>
    <row r="252" spans="1:18">
      <c r="A252">
        <v>250</v>
      </c>
      <c r="C252">
        <v>1275</v>
      </c>
      <c r="D252">
        <v>30</v>
      </c>
      <c r="E252">
        <v>37</v>
      </c>
      <c r="F252">
        <v>16</v>
      </c>
      <c r="G252">
        <v>46</v>
      </c>
      <c r="H252">
        <v>19</v>
      </c>
      <c r="J252" s="2"/>
      <c r="K252">
        <f t="shared" si="3"/>
        <v>-1.6860014655806714</v>
      </c>
      <c r="L252">
        <f>LOG10(E252/C252)-LOG10(37995/47667)</f>
        <v>-1.4388170897900787</v>
      </c>
      <c r="M252">
        <f>LOG10(F252/C252)-LOG10(35167/47667)</f>
        <v>-1.7693077037848328</v>
      </c>
      <c r="N252">
        <f>LOG10(G252/C252)-LOG10(34734/47667)</f>
        <v>-1.3052893332797175</v>
      </c>
      <c r="O252">
        <f>LOG10(H252/C252)-LOG10(33378/47667)</f>
        <v>-1.6719990743824873</v>
      </c>
      <c r="Q252">
        <f>AVERAGE(K252:O252)</f>
        <v>-1.5742829333635577</v>
      </c>
      <c r="R252">
        <f>STDEV(K252:O252)</f>
        <v>0.19414729420944071</v>
      </c>
    </row>
    <row r="253" spans="1:18">
      <c r="A253">
        <v>251</v>
      </c>
      <c r="C253">
        <v>2779</v>
      </c>
      <c r="D253">
        <v>109</v>
      </c>
      <c r="E253">
        <v>103</v>
      </c>
      <c r="F253">
        <v>75</v>
      </c>
      <c r="G253">
        <v>94</v>
      </c>
      <c r="H253">
        <v>114</v>
      </c>
      <c r="J253" s="2"/>
      <c r="K253">
        <f t="shared" si="3"/>
        <v>-1.4640745843671081</v>
      </c>
      <c r="L253">
        <f>LOG10(E253/C253)-LOG10(37995/47667)</f>
        <v>-1.3325599511592994</v>
      </c>
      <c r="M253">
        <f>LOG10(F253/C253)-LOG10(35167/47667)</f>
        <v>-1.4367447850564554</v>
      </c>
      <c r="N253">
        <f>LOG10(G253/C253)-LOG10(34734/47667)</f>
        <v>-1.333297673368991</v>
      </c>
      <c r="O253">
        <f>LOG10(H253/C253)-LOG10(33378/47667)</f>
        <v>-1.2322261860062416</v>
      </c>
      <c r="Q253">
        <f>AVERAGE(K253:O253)</f>
        <v>-1.3597806359916189</v>
      </c>
      <c r="R253">
        <f>STDEV(K253:O253)</f>
        <v>9.2888587313118956E-2</v>
      </c>
    </row>
    <row r="254" spans="1:18">
      <c r="A254">
        <v>252</v>
      </c>
      <c r="C254">
        <v>745</v>
      </c>
      <c r="D254">
        <v>12</v>
      </c>
      <c r="E254">
        <v>30</v>
      </c>
      <c r="F254">
        <v>12</v>
      </c>
      <c r="G254">
        <v>20</v>
      </c>
      <c r="H254">
        <v>7</v>
      </c>
      <c r="J254" s="2"/>
      <c r="K254">
        <f t="shared" si="3"/>
        <v>-1.8505875622310277</v>
      </c>
      <c r="L254">
        <f>LOG10(E254/C254)-LOG10(37995/47667)</f>
        <v>-1.2965436471157301</v>
      </c>
      <c r="M254">
        <f>LOG10(F254/C254)-LOG10(35167/47667)</f>
        <v>-1.6608925283714515</v>
      </c>
      <c r="N254">
        <f>LOG10(G254/C254)-LOG10(34734/47667)</f>
        <v>-1.4336632572756294</v>
      </c>
      <c r="O254">
        <f>LOG10(H254/C254)-LOG10(33378/47667)</f>
        <v>-1.872300723299378</v>
      </c>
      <c r="Q254">
        <f>AVERAGE(K254:O254)</f>
        <v>-1.6227975436586433</v>
      </c>
      <c r="R254">
        <f>STDEV(K254:O254)</f>
        <v>0.25387237953712033</v>
      </c>
    </row>
    <row r="255" spans="1:18">
      <c r="A255">
        <v>253</v>
      </c>
      <c r="C255">
        <v>1951</v>
      </c>
      <c r="D255">
        <v>210</v>
      </c>
      <c r="E255">
        <v>156</v>
      </c>
      <c r="F255">
        <v>129</v>
      </c>
      <c r="G255">
        <v>120</v>
      </c>
      <c r="H255">
        <v>114</v>
      </c>
      <c r="J255" s="2"/>
      <c r="K255">
        <f t="shared" si="3"/>
        <v>-1.0256505101909585</v>
      </c>
      <c r="L255">
        <f>LOG10(E255/C255)-LOG10(37995/47667)</f>
        <v>-0.99864130012715613</v>
      </c>
      <c r="M255">
        <f>LOG10(F255/C255)-LOG10(35167/47667)</f>
        <v>-1.0475850607660528</v>
      </c>
      <c r="N255">
        <f>LOG10(G255/C255)-LOG10(34734/47667)</f>
        <v>-1.0736130035382108</v>
      </c>
      <c r="O255">
        <f>LOG10(H255/C255)-LOG10(33378/47667)</f>
        <v>-1.0785949086233877</v>
      </c>
      <c r="Q255">
        <f>AVERAGE(K255:O255)</f>
        <v>-1.0448169566491532</v>
      </c>
      <c r="R255">
        <f>STDEV(K255:O255)</f>
        <v>3.3456571407889303E-2</v>
      </c>
    </row>
    <row r="256" spans="1:18">
      <c r="A256">
        <v>254</v>
      </c>
      <c r="C256">
        <v>1911</v>
      </c>
      <c r="D256">
        <v>142</v>
      </c>
      <c r="E256">
        <v>131</v>
      </c>
      <c r="F256">
        <v>117</v>
      </c>
      <c r="G256">
        <v>75</v>
      </c>
      <c r="H256">
        <v>76</v>
      </c>
      <c r="J256" s="2"/>
      <c r="K256">
        <f t="shared" si="3"/>
        <v>-1.1865848782023163</v>
      </c>
      <c r="L256">
        <f>LOG10(E256/C256)-LOG10(37995/47667)</f>
        <v>-1.0654980204863482</v>
      </c>
      <c r="M256">
        <f>LOG10(F256/C256)-LOG10(35167/47667)</f>
        <v>-1.0809923269796349</v>
      </c>
      <c r="N256">
        <f>LOG10(G256/C256)-LOG10(34734/47667)</f>
        <v>-1.2687364038546305</v>
      </c>
      <c r="O256">
        <f>LOG10(H256/C256)-LOG10(33378/47667)</f>
        <v>-1.2456895853395638</v>
      </c>
      <c r="Q256">
        <f>AVERAGE(K256:O256)</f>
        <v>-1.1695002429724988</v>
      </c>
      <c r="R256">
        <f>STDEV(K256:O256)</f>
        <v>9.2998158252387858E-2</v>
      </c>
    </row>
    <row r="257" spans="1:18">
      <c r="A257">
        <v>255</v>
      </c>
      <c r="C257">
        <v>1323</v>
      </c>
      <c r="D257">
        <v>60</v>
      </c>
      <c r="E257">
        <v>76</v>
      </c>
      <c r="F257">
        <v>75</v>
      </c>
      <c r="G257">
        <v>48</v>
      </c>
      <c r="H257">
        <v>48</v>
      </c>
      <c r="J257" s="2"/>
      <c r="K257">
        <f t="shared" si="3"/>
        <v>-1.4010211293342172</v>
      </c>
      <c r="L257">
        <f>LOG10(E257/C257)-LOG10(37995/47667)</f>
        <v>-1.1422548809938093</v>
      </c>
      <c r="M257">
        <f>LOG10(F257/C257)-LOG10(35167/47667)</f>
        <v>-1.1144160824665845</v>
      </c>
      <c r="N257">
        <f>LOG10(G257/C257)-LOG10(34734/47667)</f>
        <v>-1.3028555870032315</v>
      </c>
      <c r="O257">
        <f>LOG10(H257/C257)-LOG10(33378/47667)</f>
        <v>-1.285561097377256</v>
      </c>
      <c r="Q257">
        <f>AVERAGE(K257:O257)</f>
        <v>-1.2492217554350198</v>
      </c>
      <c r="R257">
        <f>STDEV(K257:O257)</f>
        <v>0.11922108377911265</v>
      </c>
    </row>
    <row r="258" spans="1:18">
      <c r="A258">
        <v>256</v>
      </c>
      <c r="C258">
        <v>1209</v>
      </c>
      <c r="D258">
        <v>49</v>
      </c>
      <c r="E258">
        <v>89</v>
      </c>
      <c r="F258">
        <v>37</v>
      </c>
      <c r="G258">
        <v>39</v>
      </c>
      <c r="H258">
        <v>52</v>
      </c>
      <c r="J258" s="2"/>
      <c r="K258">
        <f t="shared" si="3"/>
        <v>-1.4498427563626179</v>
      </c>
      <c r="L258">
        <f>LOG10(E258/C258)-LOG10(37995/47667)</f>
        <v>-1.0345449233029589</v>
      </c>
      <c r="M258">
        <f>LOG10(F258/C258)-LOG10(35167/47667)</f>
        <v>-1.3821420784645606</v>
      </c>
      <c r="N258">
        <f>LOG10(G258/C258)-LOG10(34734/47667)</f>
        <v>-1.3538986740255903</v>
      </c>
      <c r="O258">
        <f>LOG10(H258/C258)-LOG10(33378/47667)</f>
        <v>-1.2116654477913149</v>
      </c>
      <c r="Q258">
        <f>AVERAGE(K258:O258)</f>
        <v>-1.2864187759894086</v>
      </c>
      <c r="R258">
        <f>STDEV(K258:O258)</f>
        <v>0.16541794218021766</v>
      </c>
    </row>
    <row r="259" spans="1:18">
      <c r="A259">
        <v>257</v>
      </c>
      <c r="C259">
        <v>1251</v>
      </c>
      <c r="D259">
        <v>63</v>
      </c>
      <c r="E259">
        <v>52</v>
      </c>
      <c r="F259">
        <v>27</v>
      </c>
      <c r="G259">
        <v>78</v>
      </c>
      <c r="H259">
        <v>32</v>
      </c>
      <c r="J259" s="2"/>
      <c r="K259">
        <f t="shared" ref="K259:K322" si="4">LOG10(D259/C259)-LOG10(54429/47667)</f>
        <v>-1.3555292957701981</v>
      </c>
      <c r="L259">
        <f>LOG10(E259/C259)-LOG10(37995/47667)</f>
        <v>-1.2827625951457204</v>
      </c>
      <c r="M259">
        <f>LOG10(F259/C259)-LOG10(35167/47667)</f>
        <v>-1.5338110472052162</v>
      </c>
      <c r="N259">
        <f>LOG10(G259/C259)-LOG10(34734/47667)</f>
        <v>-1.0676996871942572</v>
      </c>
      <c r="O259">
        <f>LOG10(H259/C259)-LOG10(33378/47667)</f>
        <v>-1.4373498219388561</v>
      </c>
      <c r="Q259">
        <f>AVERAGE(K259:O259)</f>
        <v>-1.3354304894508497</v>
      </c>
      <c r="R259">
        <f>STDEV(K259:O259)</f>
        <v>0.17649365966847905</v>
      </c>
    </row>
    <row r="260" spans="1:18">
      <c r="A260">
        <v>258</v>
      </c>
      <c r="C260">
        <v>1393</v>
      </c>
      <c r="D260">
        <v>32</v>
      </c>
      <c r="E260">
        <v>16</v>
      </c>
      <c r="F260">
        <v>48</v>
      </c>
      <c r="G260">
        <v>16</v>
      </c>
      <c r="H260">
        <v>32</v>
      </c>
      <c r="J260" s="2"/>
      <c r="K260">
        <f t="shared" si="4"/>
        <v>-1.6964136736344173</v>
      </c>
      <c r="L260">
        <f>LOG10(E260/C260)-LOG10(37995/47667)</f>
        <v>-1.8413397628551385</v>
      </c>
      <c r="M260">
        <f>LOG10(F260/C260)-LOG10(35167/47667)</f>
        <v>-1.33062738071916</v>
      </c>
      <c r="N260">
        <f>LOG10(G260/C260)-LOG10(34734/47667)</f>
        <v>-1.8023681139593564</v>
      </c>
      <c r="O260">
        <f>LOG10(H260/C260)-LOG10(33378/47667)</f>
        <v>-1.4840436286693997</v>
      </c>
      <c r="Q260">
        <f>AVERAGE(K260:O260)</f>
        <v>-1.6309585119674943</v>
      </c>
      <c r="R260">
        <f>STDEV(K260:O260)</f>
        <v>0.21777779495411159</v>
      </c>
    </row>
    <row r="261" spans="1:18">
      <c r="A261">
        <v>259</v>
      </c>
      <c r="C261">
        <v>1663</v>
      </c>
      <c r="D261">
        <v>74</v>
      </c>
      <c r="E261">
        <v>93</v>
      </c>
      <c r="F261">
        <v>55</v>
      </c>
      <c r="G261">
        <v>83</v>
      </c>
      <c r="H261">
        <v>87</v>
      </c>
      <c r="J261" s="2"/>
      <c r="K261">
        <f t="shared" si="4"/>
        <v>-1.4092730650189029</v>
      </c>
      <c r="L261">
        <f>LOG10(E261/C261)-LOG10(37995/47667)</f>
        <v>-1.1539179297526838</v>
      </c>
      <c r="M261">
        <f>LOG10(F261/C261)-LOG10(35167/47667)</f>
        <v>-1.3484470613960591</v>
      </c>
      <c r="N261">
        <f>LOG10(G261/C261)-LOG10(34734/47667)</f>
        <v>-1.164351137034763</v>
      </c>
      <c r="O261">
        <f>LOG10(H261/C261)-LOG10(33378/47667)</f>
        <v>-1.1266154871662428</v>
      </c>
      <c r="Q261">
        <f>AVERAGE(K261:O261)</f>
        <v>-1.2405209360737302</v>
      </c>
      <c r="R261">
        <f>STDEV(K261:O261)</f>
        <v>0.12884263641252</v>
      </c>
    </row>
    <row r="262" spans="1:18">
      <c r="A262">
        <v>260</v>
      </c>
      <c r="C262">
        <v>728</v>
      </c>
      <c r="D262">
        <v>27</v>
      </c>
      <c r="E262">
        <v>22</v>
      </c>
      <c r="F262">
        <v>17</v>
      </c>
      <c r="G262">
        <v>54</v>
      </c>
      <c r="H262">
        <v>161</v>
      </c>
      <c r="J262" s="2"/>
      <c r="K262">
        <f t="shared" si="4"/>
        <v>-1.4883801506844097</v>
      </c>
      <c r="L262">
        <f>LOG10(E262/C262)-LOG10(37995/47667)</f>
        <v>-1.4212173275779307</v>
      </c>
      <c r="M262">
        <f>LOG10(F262/C262)-LOG10(35167/47667)</f>
        <v>-1.4995999596055469</v>
      </c>
      <c r="N262">
        <f>LOG10(G262/C262)-LOG10(34734/47667)</f>
        <v>-0.99227459968138632</v>
      </c>
      <c r="O262">
        <f>LOG10(H262/C262)-LOG10(33378/47667)</f>
        <v>-0.5005479938465297</v>
      </c>
      <c r="Q262">
        <f>AVERAGE(K262:O262)</f>
        <v>-1.1804040062791608</v>
      </c>
      <c r="R262">
        <f>STDEV(K262:O262)</f>
        <v>0.43368285910479454</v>
      </c>
    </row>
    <row r="263" spans="1:18">
      <c r="A263">
        <v>261</v>
      </c>
      <c r="C263">
        <v>941</v>
      </c>
      <c r="D263">
        <v>18</v>
      </c>
      <c r="E263">
        <v>39</v>
      </c>
      <c r="F263">
        <v>22</v>
      </c>
      <c r="G263">
        <v>8</v>
      </c>
      <c r="H263">
        <v>10</v>
      </c>
      <c r="J263" s="2"/>
      <c r="K263">
        <f t="shared" si="4"/>
        <v>-1.7759296538543106</v>
      </c>
      <c r="L263">
        <f>LOG10(E263/C263)-LOG10(37995/47667)</f>
        <v>-1.2840336454878574</v>
      </c>
      <c r="M263">
        <f>LOG10(F263/C263)-LOG10(35167/47667)</f>
        <v>-1.4990844442758342</v>
      </c>
      <c r="N263">
        <f>LOG10(G263/C263)-LOG10(34734/47667)</f>
        <v>-1.9330366166266308</v>
      </c>
      <c r="O263">
        <f>LOG10(H263/C263)-LOG10(33378/47667)</f>
        <v>-1.8188321139925991</v>
      </c>
      <c r="Q263">
        <f>AVERAGE(K263:O263)</f>
        <v>-1.6621832948474466</v>
      </c>
      <c r="R263">
        <f>STDEV(K263:O263)</f>
        <v>0.2647815141839896</v>
      </c>
    </row>
    <row r="264" spans="1:18">
      <c r="A264">
        <v>262</v>
      </c>
      <c r="C264">
        <v>1401</v>
      </c>
      <c r="D264">
        <v>50</v>
      </c>
      <c r="E264">
        <v>59</v>
      </c>
      <c r="F264">
        <v>42</v>
      </c>
      <c r="G264">
        <v>76</v>
      </c>
      <c r="H264">
        <v>47</v>
      </c>
      <c r="J264" s="2"/>
      <c r="K264">
        <f t="shared" si="4"/>
        <v>-1.5050806664801155</v>
      </c>
      <c r="L264">
        <f>LOG10(E264/C264)-LOG10(37995/47667)</f>
        <v>-1.2770947527307301</v>
      </c>
      <c r="M264">
        <f>LOG10(F264/C264)-LOG10(35167/47667)</f>
        <v>-1.3911063465586577</v>
      </c>
      <c r="N264">
        <f>LOG10(G264/C264)-LOG10(34734/47667)</f>
        <v>-1.1281615231963009</v>
      </c>
      <c r="O264">
        <f>LOG10(H264/C264)-LOG10(33378/47667)</f>
        <v>-1.3195827679153993</v>
      </c>
      <c r="Q264">
        <f>AVERAGE(K264:O264)</f>
        <v>-1.3242052113762406</v>
      </c>
      <c r="R264">
        <f>STDEV(K264:O264)</f>
        <v>0.1395220252507309</v>
      </c>
    </row>
    <row r="265" spans="1:18">
      <c r="A265">
        <v>263</v>
      </c>
      <c r="C265">
        <v>446</v>
      </c>
      <c r="D265">
        <v>15</v>
      </c>
      <c r="E265">
        <v>10</v>
      </c>
      <c r="F265">
        <v>19</v>
      </c>
      <c r="G265">
        <v>19</v>
      </c>
      <c r="H265">
        <v>15</v>
      </c>
      <c r="J265" s="2"/>
      <c r="K265">
        <f t="shared" si="4"/>
        <v>-1.5308561351868204</v>
      </c>
      <c r="L265">
        <f>LOG10(E265/C265)-LOG10(37995/47667)</f>
        <v>-1.5508434877992416</v>
      </c>
      <c r="M265">
        <f>LOG10(F265/C265)-LOG10(35167/47667)</f>
        <v>-1.2384987594300965</v>
      </c>
      <c r="N265">
        <f>LOG10(G265/C265)-LOG10(34734/47667)</f>
        <v>-1.2331182379506305</v>
      </c>
      <c r="O265">
        <f>LOG10(H265/C265)-LOG10(33378/47667)</f>
        <v>-1.3184860902218027</v>
      </c>
      <c r="Q265">
        <f>AVERAGE(K265:O265)</f>
        <v>-1.3743605421177185</v>
      </c>
      <c r="R265">
        <f>STDEV(K265:O265)</f>
        <v>0.15585800237927547</v>
      </c>
    </row>
    <row r="266" spans="1:18">
      <c r="A266">
        <v>264</v>
      </c>
      <c r="C266">
        <v>402</v>
      </c>
      <c r="D266">
        <v>13</v>
      </c>
      <c r="E266">
        <v>14</v>
      </c>
      <c r="F266">
        <v>14</v>
      </c>
      <c r="G266">
        <v>48</v>
      </c>
      <c r="H266">
        <v>32</v>
      </c>
      <c r="J266" s="2"/>
      <c r="K266">
        <f t="shared" si="4"/>
        <v>-1.5478952363079932</v>
      </c>
      <c r="L266">
        <f>LOG10(E266/C266)-LOG10(37995/47667)</f>
        <v>-1.3596066464933318</v>
      </c>
      <c r="M266">
        <f>LOG10(F266/C266)-LOG10(35167/47667)</f>
        <v>-1.3260155190770158</v>
      </c>
      <c r="N266">
        <f>LOG10(G266/C266)-LOG10(34734/47667)</f>
        <v>-0.78552179590020066</v>
      </c>
      <c r="O266">
        <f>LOG10(H266/C266)-LOG10(33378/47667)</f>
        <v>-0.94431856532990621</v>
      </c>
      <c r="Q266">
        <f>AVERAGE(K266:O266)</f>
        <v>-1.1926715526216898</v>
      </c>
      <c r="R266">
        <f>STDEV(K266:O266)</f>
        <v>0.31594379844473847</v>
      </c>
    </row>
    <row r="267" spans="1:18">
      <c r="A267">
        <v>265</v>
      </c>
      <c r="C267">
        <v>1177</v>
      </c>
      <c r="D267">
        <v>26</v>
      </c>
      <c r="E267">
        <v>9</v>
      </c>
      <c r="F267">
        <v>14</v>
      </c>
      <c r="G267">
        <v>6</v>
      </c>
      <c r="H267">
        <v>21</v>
      </c>
      <c r="J267" s="2"/>
      <c r="K267">
        <f t="shared" si="4"/>
        <v>-1.7134156504029765</v>
      </c>
      <c r="L267">
        <f>LOG10(E267/C267)-LOG10(37995/47667)</f>
        <v>-2.0180425824912098</v>
      </c>
      <c r="M267">
        <f>LOG10(F267/C267)-LOG10(35167/47667)</f>
        <v>-1.7925659288359803</v>
      </c>
      <c r="N267">
        <f>LOG10(G267/C267)-LOG10(34734/47667)</f>
        <v>-2.1551621926511091</v>
      </c>
      <c r="O267">
        <f>LOG10(H267/C267)-LOG10(33378/47667)</f>
        <v>-1.5937996586748575</v>
      </c>
      <c r="Q267">
        <f>AVERAGE(K267:O267)</f>
        <v>-1.8545972026112267</v>
      </c>
      <c r="R267">
        <f>STDEV(K267:O267)</f>
        <v>0.22850009517237571</v>
      </c>
    </row>
    <row r="268" spans="1:18">
      <c r="A268">
        <v>266</v>
      </c>
      <c r="C268">
        <v>1751</v>
      </c>
      <c r="D268">
        <v>66</v>
      </c>
      <c r="E268">
        <v>47</v>
      </c>
      <c r="F268">
        <v>76</v>
      </c>
      <c r="G268">
        <v>57</v>
      </c>
      <c r="H268">
        <v>59</v>
      </c>
      <c r="J268" s="2"/>
      <c r="K268">
        <f t="shared" si="4"/>
        <v>-1.4813547460719372</v>
      </c>
      <c r="L268">
        <f>LOG10(E268/C268)-LOG10(37995/47667)</f>
        <v>-1.4726969172348283</v>
      </c>
      <c r="M268">
        <f>LOG10(F268/C268)-LOG10(35167/47667)</f>
        <v>-1.2303900554734384</v>
      </c>
      <c r="N268">
        <f>LOG10(G268/C268)-LOG10(34734/47667)</f>
        <v>-1.3499482706022723</v>
      </c>
      <c r="O268">
        <f>LOG10(H268/C268)-LOG10(33378/47667)</f>
        <v>-1.3176766250066441</v>
      </c>
      <c r="Q268">
        <f>AVERAGE(K268:O268)</f>
        <v>-1.3704133228778241</v>
      </c>
      <c r="R268">
        <f>STDEV(K268:O268)</f>
        <v>0.10674318026988983</v>
      </c>
    </row>
    <row r="269" spans="1:18">
      <c r="A269">
        <v>267</v>
      </c>
      <c r="C269">
        <v>1399</v>
      </c>
      <c r="D269">
        <v>31</v>
      </c>
      <c r="E269">
        <v>71</v>
      </c>
      <c r="F269">
        <v>30</v>
      </c>
      <c r="G269">
        <v>76</v>
      </c>
      <c r="H269">
        <v>27</v>
      </c>
      <c r="J269" s="2"/>
      <c r="K269">
        <f t="shared" si="4"/>
        <v>-1.7120685561879148</v>
      </c>
      <c r="L269">
        <f>LOG10(E269/C269)-LOG10(37995/47667)</f>
        <v>-1.196067994859852</v>
      </c>
      <c r="M269">
        <f>LOG10(F269/C269)-LOG10(35167/47667)</f>
        <v>-1.5366139614429488</v>
      </c>
      <c r="N269">
        <f>LOG10(G269/C269)-LOG10(34734/47667)</f>
        <v>-1.1275411024023538</v>
      </c>
      <c r="O269">
        <f>LOG10(H269/C269)-LOG10(33378/47667)</f>
        <v>-1.5596964408981826</v>
      </c>
      <c r="Q269">
        <f>AVERAGE(K269:O269)</f>
        <v>-1.4263976111582504</v>
      </c>
      <c r="R269">
        <f>STDEV(K269:O269)</f>
        <v>0.2519380160298299</v>
      </c>
    </row>
    <row r="270" spans="1:18">
      <c r="A270">
        <v>268</v>
      </c>
      <c r="C270">
        <v>1410</v>
      </c>
      <c r="D270">
        <v>21</v>
      </c>
      <c r="E270">
        <v>72</v>
      </c>
      <c r="F270">
        <v>30</v>
      </c>
      <c r="G270">
        <v>45</v>
      </c>
      <c r="H270">
        <v>35</v>
      </c>
      <c r="J270" s="2"/>
      <c r="K270">
        <f t="shared" si="4"/>
        <v>-1.8846123534518204</v>
      </c>
      <c r="L270">
        <f>LOG10(E270/C270)-LOG10(37995/47667)</f>
        <v>-1.1933952453112111</v>
      </c>
      <c r="M270">
        <f>LOG10(F270/C270)-LOG10(35167/47667)</f>
        <v>-1.5400153596065012</v>
      </c>
      <c r="N270">
        <f>LOG10(G270/C270)-LOG10(34734/47667)</f>
        <v>-1.3585435790713538</v>
      </c>
      <c r="O270">
        <f>LOG10(H270/C270)-LOG10(33378/47667)</f>
        <v>-1.4503935588704464</v>
      </c>
      <c r="Q270">
        <f>AVERAGE(K270:O270)</f>
        <v>-1.4853920192622667</v>
      </c>
      <c r="R270">
        <f>STDEV(K270:O270)</f>
        <v>0.25736069996566446</v>
      </c>
    </row>
    <row r="271" spans="1:18">
      <c r="A271">
        <v>269</v>
      </c>
      <c r="C271">
        <v>1161</v>
      </c>
      <c r="D271">
        <v>32</v>
      </c>
      <c r="E271">
        <v>25</v>
      </c>
      <c r="F271">
        <v>21</v>
      </c>
      <c r="G271">
        <v>32</v>
      </c>
      <c r="H271">
        <v>22</v>
      </c>
      <c r="J271" s="2"/>
      <c r="K271">
        <f t="shared" si="4"/>
        <v>-1.6172947769490278</v>
      </c>
      <c r="L271">
        <f>LOG10(E271/C271)-LOG10(37995/47667)</f>
        <v>-1.568400840153636</v>
      </c>
      <c r="M271">
        <f>LOG10(F271/C271)-LOG10(35167/47667)</f>
        <v>-1.6105304266754383</v>
      </c>
      <c r="N271">
        <f>LOG10(G271/C271)-LOG10(34734/47667)</f>
        <v>-1.4222192216099856</v>
      </c>
      <c r="O271">
        <f>LOG10(H271/C271)-LOG10(33378/47667)</f>
        <v>-1.5676520294817098</v>
      </c>
      <c r="Q271">
        <f>AVERAGE(K271:O271)</f>
        <v>-1.5572194589739596</v>
      </c>
      <c r="R271">
        <f>STDEV(K271:O271)</f>
        <v>7.8914556654471849E-2</v>
      </c>
    </row>
    <row r="272" spans="1:18">
      <c r="A272">
        <v>270</v>
      </c>
      <c r="C272">
        <v>2133</v>
      </c>
      <c r="D272">
        <v>44</v>
      </c>
      <c r="E272">
        <v>77</v>
      </c>
      <c r="F272">
        <v>91</v>
      </c>
      <c r="G272">
        <v>26</v>
      </c>
      <c r="H272">
        <v>50</v>
      </c>
      <c r="J272" s="2"/>
      <c r="K272">
        <f t="shared" si="4"/>
        <v>-1.7431507144936011</v>
      </c>
      <c r="L272">
        <f>LOG10(E272/C272)-LOG10(37995/47667)</f>
        <v>-1.3440087593640466</v>
      </c>
      <c r="M272">
        <f>LOG10(F272/C272)-LOG10(35167/47667)</f>
        <v>-1.2378669647991187</v>
      </c>
      <c r="N272">
        <f>LOG10(G272/C272)-LOG10(34734/47667)</f>
        <v>-1.7765544876699284</v>
      </c>
      <c r="O272">
        <f>LOG10(H272/C272)-LOG10(33378/47667)</f>
        <v>-1.4752633416787522</v>
      </c>
      <c r="Q272">
        <f>AVERAGE(K272:O272)</f>
        <v>-1.5153688536010894</v>
      </c>
      <c r="R272">
        <f>STDEV(K272:O272)</f>
        <v>0.23878994109244792</v>
      </c>
    </row>
    <row r="273" spans="1:18">
      <c r="A273">
        <v>271</v>
      </c>
      <c r="C273">
        <v>1323</v>
      </c>
      <c r="D273">
        <v>32</v>
      </c>
      <c r="E273">
        <v>40</v>
      </c>
      <c r="F273">
        <v>18</v>
      </c>
      <c r="G273">
        <v>19</v>
      </c>
      <c r="H273">
        <v>23</v>
      </c>
      <c r="J273" s="2"/>
      <c r="K273">
        <f t="shared" si="4"/>
        <v>-1.6740224013979548</v>
      </c>
      <c r="L273">
        <f>LOG10(E273/C273)-LOG10(37995/47667)</f>
        <v>-1.4210084819466382</v>
      </c>
      <c r="M273">
        <f>LOG10(F273/C273)-LOG10(35167/47667)</f>
        <v>-1.7342048407549786</v>
      </c>
      <c r="N273">
        <f>LOG10(G273/C273)-LOG10(34734/47667)</f>
        <v>-1.7053432234259895</v>
      </c>
      <c r="O273">
        <f>LOG10(H273/C273)-LOG10(33378/47667)</f>
        <v>-1.6050744987352503</v>
      </c>
      <c r="Q273">
        <f>AVERAGE(K273:O273)</f>
        <v>-1.6279306892521626</v>
      </c>
      <c r="R273">
        <f>STDEV(K273:O273)</f>
        <v>0.12525029638140958</v>
      </c>
    </row>
    <row r="274" spans="1:18">
      <c r="A274">
        <v>272</v>
      </c>
      <c r="C274">
        <v>1627</v>
      </c>
      <c r="D274">
        <v>114</v>
      </c>
      <c r="E274">
        <v>208</v>
      </c>
      <c r="F274">
        <v>601</v>
      </c>
      <c r="G274">
        <v>117</v>
      </c>
      <c r="H274">
        <v>536</v>
      </c>
      <c r="J274" s="2"/>
      <c r="K274">
        <f t="shared" si="4"/>
        <v>-1.2120952371307461</v>
      </c>
      <c r="L274">
        <f>LOG10(E274/C274)-LOG10(37995/47667)</f>
        <v>-0.79483284706119695</v>
      </c>
      <c r="M274">
        <f>LOG10(F274/C274)-LOG10(35167/47667)</f>
        <v>-0.30043058260490285</v>
      </c>
      <c r="N274">
        <f>LOG10(G274/C274)-LOG10(34734/47667)</f>
        <v>-1.0057386713820147</v>
      </c>
      <c r="O274">
        <f>LOG10(H274/C274)-LOG10(33378/47667)</f>
        <v>-0.32746525380943092</v>
      </c>
      <c r="Q274">
        <f>AVERAGE(K274:O274)</f>
        <v>-0.72811251839765834</v>
      </c>
      <c r="R274">
        <f>STDEV(K274:O274)</f>
        <v>0.40595480780981097</v>
      </c>
    </row>
    <row r="275" spans="1:18">
      <c r="A275">
        <v>273</v>
      </c>
      <c r="C275">
        <v>1548</v>
      </c>
      <c r="D275">
        <v>50</v>
      </c>
      <c r="E275">
        <v>44</v>
      </c>
      <c r="F275">
        <v>27</v>
      </c>
      <c r="G275">
        <v>34</v>
      </c>
      <c r="H275">
        <v>22</v>
      </c>
      <c r="J275" s="2"/>
      <c r="K275">
        <f t="shared" si="4"/>
        <v>-1.5484134875412148</v>
      </c>
      <c r="L275">
        <f>LOG10(E275/C275)-LOG10(37995/47667)</f>
        <v>-1.447826908947786</v>
      </c>
      <c r="M275">
        <f>LOG10(F275/C275)-LOG10(35167/47667)</f>
        <v>-1.6263246938586702</v>
      </c>
      <c r="N275">
        <f>LOG10(G275/C275)-LOG10(34734/47667)</f>
        <v>-1.5208290194959364</v>
      </c>
      <c r="O275">
        <f>LOG10(H275/C275)-LOG10(33378/47667)</f>
        <v>-1.6925907660900097</v>
      </c>
      <c r="Q275">
        <f>AVERAGE(K275:O275)</f>
        <v>-1.5671969751867234</v>
      </c>
      <c r="R275">
        <f>STDEV(K275:O275)</f>
        <v>9.4831046273630815E-2</v>
      </c>
    </row>
    <row r="276" spans="1:18">
      <c r="A276">
        <v>274</v>
      </c>
      <c r="C276">
        <v>530</v>
      </c>
      <c r="D276">
        <v>21</v>
      </c>
      <c r="E276">
        <v>15</v>
      </c>
      <c r="F276">
        <v>37</v>
      </c>
      <c r="G276">
        <v>28</v>
      </c>
      <c r="H276">
        <v>32</v>
      </c>
      <c r="J276" s="2"/>
      <c r="K276">
        <f t="shared" si="4"/>
        <v>-1.4596691103972297</v>
      </c>
      <c r="L276">
        <f>LOG10(E276/C276)-LOG10(37995/47667)</f>
        <v>-1.4496932396322075</v>
      </c>
      <c r="M276">
        <f>LOG10(F276/C276)-LOG10(35167/47667)</f>
        <v>-1.0239916472045776</v>
      </c>
      <c r="N276">
        <f>LOG10(G276/C276)-LOG10(34734/47667)</f>
        <v>-1.1396548184498874</v>
      </c>
      <c r="O276">
        <f>LOG10(H276/C276)-LOG10(33378/47667)</f>
        <v>-1.0643683818462253</v>
      </c>
      <c r="Q276">
        <f>AVERAGE(K276:O276)</f>
        <v>-1.2274754395060257</v>
      </c>
      <c r="R276">
        <f>STDEV(K276:O276)</f>
        <v>0.21155181337284268</v>
      </c>
    </row>
    <row r="277" spans="1:18">
      <c r="A277">
        <v>275</v>
      </c>
      <c r="C277">
        <v>2218</v>
      </c>
      <c r="D277">
        <v>47</v>
      </c>
      <c r="E277">
        <v>56</v>
      </c>
      <c r="F277">
        <v>79</v>
      </c>
      <c r="G277">
        <v>95</v>
      </c>
      <c r="H277">
        <v>77</v>
      </c>
      <c r="J277" s="2"/>
      <c r="K277">
        <f t="shared" si="4"/>
        <v>-1.7314762194077835</v>
      </c>
      <c r="L277">
        <f>LOG10(E277/C277)-LOG10(37995/47667)</f>
        <v>-1.4992821438940405</v>
      </c>
      <c r="M277">
        <f>LOG10(F277/C277)-LOG10(35167/47667)</f>
        <v>-1.3162519521934835</v>
      </c>
      <c r="N277">
        <f>LOG10(G277/C277)-LOG10(34734/47667)</f>
        <v>-1.2307749167156112</v>
      </c>
      <c r="O277">
        <f>LOG10(H277/C277)-LOG10(33378/47667)</f>
        <v>-1.3047133072060015</v>
      </c>
      <c r="Q277">
        <f>AVERAGE(K277:O277)</f>
        <v>-1.4164997078833841</v>
      </c>
      <c r="R277">
        <f>STDEV(K277:O277)</f>
        <v>0.20192984207114906</v>
      </c>
    </row>
    <row r="278" spans="1:18">
      <c r="A278">
        <v>276</v>
      </c>
      <c r="C278">
        <v>363</v>
      </c>
      <c r="D278">
        <v>14</v>
      </c>
      <c r="E278">
        <v>17</v>
      </c>
      <c r="F278">
        <v>12</v>
      </c>
      <c r="G278">
        <v>6</v>
      </c>
      <c r="H278">
        <v>11</v>
      </c>
      <c r="J278" s="2"/>
      <c r="K278">
        <f t="shared" si="4"/>
        <v>-1.4713911248882343</v>
      </c>
      <c r="L278">
        <f>LOG10(E278/C278)-LOG10(37995/47667)</f>
        <v>-1.2309663327449383</v>
      </c>
      <c r="M278">
        <f>LOG10(F278/C278)-LOG10(35167/47667)</f>
        <v>-1.3486428806592714</v>
      </c>
      <c r="N278">
        <f>LOG10(G278/C278)-LOG10(34734/47667)</f>
        <v>-1.6442923548437864</v>
      </c>
      <c r="O278">
        <f>LOG10(H278/C278)-LOG10(33378/47667)</f>
        <v>-1.3637564304432297</v>
      </c>
      <c r="Q278">
        <f>AVERAGE(K278:O278)</f>
        <v>-1.4118098247158921</v>
      </c>
      <c r="R278">
        <f>STDEV(K278:O278)</f>
        <v>0.15540400433685636</v>
      </c>
    </row>
    <row r="279" spans="1:18">
      <c r="A279">
        <v>277</v>
      </c>
      <c r="C279">
        <v>1415</v>
      </c>
      <c r="D279">
        <v>68</v>
      </c>
      <c r="E279">
        <v>77</v>
      </c>
      <c r="F279">
        <v>94</v>
      </c>
      <c r="G279">
        <v>91</v>
      </c>
      <c r="H279">
        <v>69</v>
      </c>
      <c r="J279" s="2"/>
      <c r="K279">
        <f t="shared" si="4"/>
        <v>-1.3758600626844326</v>
      </c>
      <c r="L279">
        <f>LOG10(E279/C279)-LOG10(37995/47667)</f>
        <v>-1.1657743437749268</v>
      </c>
      <c r="M279">
        <f>LOG10(F279/C279)-LOG10(35167/47667)</f>
        <v>-1.045546087931394</v>
      </c>
      <c r="N279">
        <f>LOG10(G279/C279)-LOG10(34734/47667)</f>
        <v>-1.0542520277305332</v>
      </c>
      <c r="O279">
        <f>LOG10(H279/C279)-LOG10(33378/47667)</f>
        <v>-1.1571498396883959</v>
      </c>
      <c r="Q279">
        <f>AVERAGE(K279:O279)</f>
        <v>-1.1597164723619364</v>
      </c>
      <c r="R279">
        <f>STDEV(K279:O279)</f>
        <v>0.13315307244790289</v>
      </c>
    </row>
    <row r="280" spans="1:18">
      <c r="A280">
        <v>278</v>
      </c>
      <c r="C280">
        <v>2197</v>
      </c>
      <c r="D280">
        <v>95</v>
      </c>
      <c r="E280">
        <v>90</v>
      </c>
      <c r="F280">
        <v>101</v>
      </c>
      <c r="G280">
        <v>60</v>
      </c>
      <c r="H280">
        <v>85</v>
      </c>
      <c r="J280" s="2"/>
      <c r="K280">
        <f t="shared" si="4"/>
        <v>-1.4217189871620224</v>
      </c>
      <c r="L280">
        <f>LOG10(E280/C280)-LOG10(37995/47667)</f>
        <v>-1.2890961765682851</v>
      </c>
      <c r="M280">
        <f>LOG10(F280/C280)-LOG10(35167/47667)</f>
        <v>-1.2054261848086514</v>
      </c>
      <c r="N280">
        <f>LOG10(G280/C280)-LOG10(34734/47667)</f>
        <v>-1.4262157867281844</v>
      </c>
      <c r="O280">
        <f>LOG10(H280/C280)-LOG10(33378/47667)</f>
        <v>-1.2576536217715597</v>
      </c>
      <c r="Q280">
        <f>AVERAGE(K280:O280)</f>
        <v>-1.3200221514077406</v>
      </c>
      <c r="R280">
        <f>STDEV(K280:O280)</f>
        <v>9.9496004385269343E-2</v>
      </c>
    </row>
    <row r="281" spans="1:18">
      <c r="A281">
        <v>279</v>
      </c>
      <c r="C281">
        <v>3981</v>
      </c>
      <c r="D281">
        <v>271</v>
      </c>
      <c r="E281">
        <v>291</v>
      </c>
      <c r="F281">
        <v>232</v>
      </c>
      <c r="G281">
        <v>203</v>
      </c>
      <c r="H281">
        <v>267</v>
      </c>
      <c r="J281" s="2"/>
      <c r="K281">
        <f t="shared" si="4"/>
        <v>-1.224635422240052</v>
      </c>
      <c r="L281">
        <f>LOG10(E281/C281)-LOG10(37995/47667)</f>
        <v>-1.0376078176852903</v>
      </c>
      <c r="M281">
        <f>LOG10(F281/C281)-LOG10(35167/47667)</f>
        <v>-1.102421694363982</v>
      </c>
      <c r="N281">
        <f>LOG10(G281/C281)-LOG10(34734/47667)</f>
        <v>-1.1550331198622026</v>
      </c>
      <c r="O281">
        <f>LOG10(H281/C281)-LOG10(33378/47667)</f>
        <v>-1.0187234067848649</v>
      </c>
      <c r="Q281">
        <f>AVERAGE(K281:O281)</f>
        <v>-1.1076842921872783</v>
      </c>
      <c r="R281">
        <f>STDEV(K281:O281)</f>
        <v>8.4811444759639171E-2</v>
      </c>
    </row>
    <row r="282" spans="1:18">
      <c r="A282">
        <v>280</v>
      </c>
      <c r="C282">
        <v>641</v>
      </c>
      <c r="D282">
        <v>41</v>
      </c>
      <c r="E282">
        <v>15</v>
      </c>
      <c r="F282">
        <v>28</v>
      </c>
      <c r="G282">
        <v>33</v>
      </c>
      <c r="H282">
        <v>22</v>
      </c>
      <c r="J282" s="2"/>
      <c r="K282">
        <f t="shared" si="4"/>
        <v>-1.2516867083294418</v>
      </c>
      <c r="L282">
        <f>LOG10(E282/C282)-LOG10(37995/47667)</f>
        <v>-1.5322753995502358</v>
      </c>
      <c r="M282">
        <f>LOG10(F282/C282)-LOG10(35167/47667)</f>
        <v>-1.2276174998473819</v>
      </c>
      <c r="N282">
        <f>LOG10(G282/C282)-LOG10(34734/47667)</f>
        <v>-1.1508810698322476</v>
      </c>
      <c r="O282">
        <f>LOG10(H282/C282)-LOG10(33378/47667)</f>
        <v>-1.3096778392619532</v>
      </c>
      <c r="Q282">
        <f>AVERAGE(K282:O282)</f>
        <v>-1.2944277033642519</v>
      </c>
      <c r="R282">
        <f>STDEV(K282:O282)</f>
        <v>0.14465486958168852</v>
      </c>
    </row>
    <row r="283" spans="1:18">
      <c r="A283">
        <v>281</v>
      </c>
      <c r="C283">
        <v>1560</v>
      </c>
      <c r="D283">
        <v>46</v>
      </c>
      <c r="E283">
        <v>34</v>
      </c>
      <c r="F283">
        <v>26</v>
      </c>
      <c r="G283">
        <v>21</v>
      </c>
      <c r="H283">
        <v>57</v>
      </c>
      <c r="J283" s="2"/>
      <c r="K283">
        <f t="shared" si="4"/>
        <v>-1.5879793022032473</v>
      </c>
      <c r="L283">
        <f>LOG10(E283/C283)-LOG10(37995/47667)</f>
        <v>-1.5631543103993062</v>
      </c>
      <c r="M283">
        <f>LOG10(F283/C283)-LOG10(35167/47667)</f>
        <v>-1.6460687520544273</v>
      </c>
      <c r="N283">
        <f>LOG10(G283/C283)-LOG10(34734/47667)</f>
        <v>-1.7334422838118599</v>
      </c>
      <c r="O283">
        <f>LOG10(H283/C283)-LOG10(33378/47667)</f>
        <v>-1.2824922332473123</v>
      </c>
      <c r="Q283">
        <f>AVERAGE(K283:O283)</f>
        <v>-1.5626273763432306</v>
      </c>
      <c r="R283">
        <f>STDEV(K283:O283)</f>
        <v>0.16974899999394349</v>
      </c>
    </row>
    <row r="284" spans="1:18">
      <c r="A284">
        <v>282</v>
      </c>
      <c r="C284">
        <v>1782</v>
      </c>
      <c r="D284">
        <v>25</v>
      </c>
      <c r="E284">
        <v>25</v>
      </c>
      <c r="F284">
        <v>93</v>
      </c>
      <c r="G284">
        <v>29</v>
      </c>
      <c r="H284">
        <v>64</v>
      </c>
      <c r="J284" s="2"/>
      <c r="K284">
        <f t="shared" si="4"/>
        <v>-1.9105802265591783</v>
      </c>
      <c r="L284">
        <f>LOG10(E284/C284)-LOG10(37995/47667)</f>
        <v>-1.7544763201159181</v>
      </c>
      <c r="M284">
        <f>LOG10(F284/C284)-LOG10(35167/47667)</f>
        <v>-1.1503422528177045</v>
      </c>
      <c r="N284">
        <f>LOG10(G284/C284)-LOG10(34734/47667)</f>
        <v>-1.6510466819932175</v>
      </c>
      <c r="O284">
        <f>LOG10(H284/C284)-LOG10(33378/47667)</f>
        <v>-1.289970216282311</v>
      </c>
      <c r="Q284">
        <f>AVERAGE(K284:O284)</f>
        <v>-1.5512831395536657</v>
      </c>
      <c r="R284">
        <f>STDEV(K284:O284)</f>
        <v>0.31991118622321513</v>
      </c>
    </row>
    <row r="285" spans="1:18">
      <c r="A285">
        <v>283</v>
      </c>
      <c r="C285">
        <v>1927</v>
      </c>
      <c r="D285">
        <v>59</v>
      </c>
      <c r="E285">
        <v>101</v>
      </c>
      <c r="F285">
        <v>77</v>
      </c>
      <c r="G285">
        <v>189</v>
      </c>
      <c r="H285">
        <v>112</v>
      </c>
      <c r="J285" s="2"/>
      <c r="K285">
        <f t="shared" si="4"/>
        <v>-1.5716422385436686</v>
      </c>
      <c r="L285">
        <f>LOG10(E285/C285)-LOG10(37995/47667)</f>
        <v>-1.1820689699599101</v>
      </c>
      <c r="M285">
        <f>LOG10(F285/C285)-LOG10(35167/47667)</f>
        <v>-1.2663084911537548</v>
      </c>
      <c r="N285">
        <f>LOG10(G285/C285)-LOG10(34734/47667)</f>
        <v>-0.87095689067352644</v>
      </c>
      <c r="O285">
        <f>LOG10(H285/C285)-LOG10(33378/47667)</f>
        <v>-1.0809061825506134</v>
      </c>
      <c r="Q285">
        <f>AVERAGE(K285:O285)</f>
        <v>-1.1943765545762948</v>
      </c>
      <c r="R285">
        <f>STDEV(K285:O285)</f>
        <v>0.2574543069968282</v>
      </c>
    </row>
    <row r="286" spans="1:18">
      <c r="A286">
        <v>284</v>
      </c>
      <c r="C286">
        <v>870</v>
      </c>
      <c r="D286">
        <v>32</v>
      </c>
      <c r="E286">
        <v>16</v>
      </c>
      <c r="F286">
        <v>36</v>
      </c>
      <c r="G286">
        <v>17</v>
      </c>
      <c r="H286">
        <v>40</v>
      </c>
      <c r="J286" s="2"/>
      <c r="K286">
        <f t="shared" si="4"/>
        <v>-1.4919818098290725</v>
      </c>
      <c r="L286">
        <f>LOG10(E286/C286)-LOG10(37995/47667)</f>
        <v>-1.6369078990497934</v>
      </c>
      <c r="M286">
        <f>LOG10(F286/C286)-LOG10(35167/47667)</f>
        <v>-1.2511342535221148</v>
      </c>
      <c r="N286">
        <f>LOG10(G286/C286)-LOG10(34734/47667)</f>
        <v>-1.5716073114316622</v>
      </c>
      <c r="O286">
        <f>LOG10(H286/C286)-LOG10(33378/47667)</f>
        <v>-1.1827017518559984</v>
      </c>
      <c r="Q286">
        <f>AVERAGE(K286:O286)</f>
        <v>-1.4268666051377283</v>
      </c>
      <c r="R286">
        <f>STDEV(K286:O286)</f>
        <v>0.19987842684439344</v>
      </c>
    </row>
    <row r="287" spans="1:18">
      <c r="A287">
        <v>285</v>
      </c>
      <c r="C287">
        <v>1579</v>
      </c>
      <c r="D287">
        <v>84</v>
      </c>
      <c r="E287">
        <v>141</v>
      </c>
      <c r="F287">
        <v>78</v>
      </c>
      <c r="G287">
        <v>84</v>
      </c>
      <c r="H287">
        <v>73</v>
      </c>
      <c r="J287" s="2"/>
      <c r="K287">
        <f t="shared" si="4"/>
        <v>-1.3317153794767724</v>
      </c>
      <c r="L287">
        <f>LOG10(E287/C287)-LOG10(37995/47667)</f>
        <v>-0.95067164644001401</v>
      </c>
      <c r="M287">
        <f>LOG10(F287/C287)-LOG10(35167/47667)</f>
        <v>-1.1742050289885975</v>
      </c>
      <c r="N287">
        <f>LOG10(G287/C287)-LOG10(34734/47667)</f>
        <v>-1.1366398241377302</v>
      </c>
      <c r="O287">
        <f>LOG10(H287/C287)-LOG10(33378/47667)</f>
        <v>-1.1803017604531805</v>
      </c>
      <c r="Q287">
        <f>AVERAGE(K287:O287)</f>
        <v>-1.1547067278992589</v>
      </c>
      <c r="R287">
        <f>STDEV(K287:O287)</f>
        <v>0.13631221483024208</v>
      </c>
    </row>
    <row r="288" spans="1:18">
      <c r="A288">
        <v>286</v>
      </c>
      <c r="C288">
        <v>1702</v>
      </c>
      <c r="D288">
        <v>46</v>
      </c>
      <c r="E288">
        <v>67</v>
      </c>
      <c r="F288">
        <v>30</v>
      </c>
      <c r="G288">
        <v>74</v>
      </c>
      <c r="H288">
        <v>90</v>
      </c>
      <c r="J288" s="2"/>
      <c r="K288">
        <f t="shared" si="4"/>
        <v>-1.6258142595973548</v>
      </c>
      <c r="L288">
        <f>LOG10(E288/C288)-LOG10(37995/47667)</f>
        <v>-1.3063933821348424</v>
      </c>
      <c r="M288">
        <f>LOG10(F288/C288)-LOG10(35167/47667)</f>
        <v>-1.6217558026996903</v>
      </c>
      <c r="N288">
        <f>LOG10(G288/C288)-LOG10(34734/47667)</f>
        <v>-1.2242648162089105</v>
      </c>
      <c r="O288">
        <f>LOG10(H288/C288)-LOG10(33378/47667)</f>
        <v>-1.1219595368745863</v>
      </c>
      <c r="Q288">
        <f>AVERAGE(K288:O288)</f>
        <v>-1.3800375595030769</v>
      </c>
      <c r="R288">
        <f>STDEV(K288:O288)</f>
        <v>0.23190880404846453</v>
      </c>
    </row>
    <row r="289" spans="1:18">
      <c r="A289">
        <v>287</v>
      </c>
      <c r="C289">
        <v>846</v>
      </c>
      <c r="D289">
        <v>14</v>
      </c>
      <c r="E289">
        <v>44</v>
      </c>
      <c r="F289">
        <v>37</v>
      </c>
      <c r="G289">
        <v>24</v>
      </c>
      <c r="H289">
        <v>20</v>
      </c>
      <c r="J289" s="2"/>
      <c r="K289">
        <f t="shared" si="4"/>
        <v>-1.8388548628911454</v>
      </c>
      <c r="L289">
        <f>LOG10(E289/C289)-LOG10(37995/47667)</f>
        <v>-1.1854263156399358</v>
      </c>
      <c r="M289">
        <f>LOG10(F289/C289)-LOG10(35167/47667)</f>
        <v>-1.2270861406428122</v>
      </c>
      <c r="N289">
        <f>LOG10(G289/C289)-LOG10(34734/47667)</f>
        <v>-1.4096961015187353</v>
      </c>
      <c r="O289">
        <f>LOG10(H289/C289)-LOG10(33378/47667)</f>
        <v>-1.4715828579403845</v>
      </c>
      <c r="Q289">
        <f>AVERAGE(K289:O289)</f>
        <v>-1.4265292557266025</v>
      </c>
      <c r="R289">
        <f>STDEV(K289:O289)</f>
        <v>0.25992007057429989</v>
      </c>
    </row>
    <row r="290" spans="1:18">
      <c r="A290">
        <v>288</v>
      </c>
      <c r="C290">
        <v>790</v>
      </c>
      <c r="D290">
        <v>21</v>
      </c>
      <c r="E290">
        <v>27</v>
      </c>
      <c r="F290">
        <v>49</v>
      </c>
      <c r="G290">
        <v>83</v>
      </c>
      <c r="H290">
        <v>30</v>
      </c>
      <c r="J290" s="2"/>
      <c r="K290">
        <f t="shared" si="4"/>
        <v>-1.6330203320868819</v>
      </c>
      <c r="L290">
        <f>LOG10(E290/C290)-LOG10(37995/47667)</f>
        <v>-1.3677719562185537</v>
      </c>
      <c r="M290">
        <f>LOG10(F290/C290)-LOG10(35167/47667)</f>
        <v>-1.0753485129327114</v>
      </c>
      <c r="N290">
        <f>LOG10(G290/C290)-LOG10(34734/47667)</f>
        <v>-0.84108597910568528</v>
      </c>
      <c r="O290">
        <f>LOG10(H290/C290)-LOG10(33378/47667)</f>
        <v>-1.2657483271361212</v>
      </c>
      <c r="Q290">
        <f>AVERAGE(K290:O290)</f>
        <v>-1.2365950214959907</v>
      </c>
      <c r="R290">
        <f>STDEV(K290:O290)</f>
        <v>0.29901428454439455</v>
      </c>
    </row>
    <row r="291" spans="1:18">
      <c r="A291">
        <v>289</v>
      </c>
      <c r="C291">
        <v>1848</v>
      </c>
      <c r="D291">
        <v>48</v>
      </c>
      <c r="E291">
        <v>66</v>
      </c>
      <c r="F291">
        <v>37</v>
      </c>
      <c r="G291">
        <v>106</v>
      </c>
      <c r="H291">
        <v>68</v>
      </c>
      <c r="J291" s="2"/>
      <c r="K291">
        <f t="shared" si="4"/>
        <v>-1.6430732650388604</v>
      </c>
      <c r="L291">
        <f>LOG10(E291/C291)-LOG10(37995/47667)</f>
        <v>-1.3486666604293189</v>
      </c>
      <c r="M291">
        <f>LOG10(F291/C291)-LOG10(35167/47667)</f>
        <v>-1.5664177444878766</v>
      </c>
      <c r="N291">
        <f>LOG10(G291/C291)-LOG10(34734/47667)</f>
        <v>-1.1039330818106352</v>
      </c>
      <c r="O291">
        <f>LOG10(H291/C291)-LOG10(33378/47667)</f>
        <v>-1.2794355447431938</v>
      </c>
      <c r="Q291">
        <f>AVERAGE(K291:O291)</f>
        <v>-1.3883052593019771</v>
      </c>
      <c r="R291">
        <f>STDEV(K291:O291)</f>
        <v>0.21847320357775699</v>
      </c>
    </row>
    <row r="292" spans="1:18">
      <c r="A292">
        <v>290</v>
      </c>
      <c r="C292">
        <v>426</v>
      </c>
      <c r="D292">
        <v>17</v>
      </c>
      <c r="E292">
        <v>17</v>
      </c>
      <c r="F292">
        <v>7</v>
      </c>
      <c r="G292">
        <v>20</v>
      </c>
      <c r="H292">
        <v>14</v>
      </c>
      <c r="J292" s="2"/>
      <c r="K292">
        <f t="shared" si="4"/>
        <v>-1.4565732132548048</v>
      </c>
      <c r="L292">
        <f>LOG10(E292/C292)-LOG10(37995/47667)</f>
        <v>-1.3004693068115447</v>
      </c>
      <c r="M292">
        <f>LOG10(F292/C292)-LOG10(35167/47667)</f>
        <v>-1.6522290607592456</v>
      </c>
      <c r="N292">
        <f>LOG10(G292/C292)-LOG10(34734/47667)</f>
        <v>-1.1909165836300555</v>
      </c>
      <c r="O292">
        <f>LOG10(H292/C292)-LOG10(33378/47667)</f>
        <v>-1.3285240539898231</v>
      </c>
      <c r="Q292">
        <f>AVERAGE(K292:O292)</f>
        <v>-1.3857424436890946</v>
      </c>
      <c r="R292">
        <f>STDEV(K292:O292)</f>
        <v>0.17644735952630844</v>
      </c>
    </row>
    <row r="293" spans="1:18">
      <c r="A293">
        <v>291</v>
      </c>
      <c r="C293">
        <v>1236</v>
      </c>
      <c r="D293">
        <v>43</v>
      </c>
      <c r="E293">
        <v>62</v>
      </c>
      <c r="F293">
        <v>136</v>
      </c>
      <c r="G293">
        <v>81</v>
      </c>
      <c r="H293">
        <v>92</v>
      </c>
      <c r="J293" s="2"/>
      <c r="K293">
        <f t="shared" si="4"/>
        <v>-1.5161625507035703</v>
      </c>
      <c r="L293">
        <f>LOG10(E293/C293)-LOG10(37995/47667)</f>
        <v>-1.201135410341643</v>
      </c>
      <c r="M293">
        <f>LOG10(F293/C293)-LOG10(35167/47667)</f>
        <v>-0.826397064053363</v>
      </c>
      <c r="N293">
        <f>LOG10(G293/C293)-LOG10(34734/47667)</f>
        <v>-1.046070432065465</v>
      </c>
      <c r="O293">
        <f>LOG10(H293/C293)-LOG10(33378/47667)</f>
        <v>-0.97347313397258395</v>
      </c>
      <c r="Q293">
        <f>AVERAGE(K293:O293)</f>
        <v>-1.1126477182273251</v>
      </c>
      <c r="R293">
        <f>STDEV(K293:O293)</f>
        <v>0.262866804976507</v>
      </c>
    </row>
    <row r="294" spans="1:18">
      <c r="A294">
        <v>292</v>
      </c>
      <c r="C294">
        <v>1660</v>
      </c>
      <c r="D294">
        <v>41</v>
      </c>
      <c r="E294">
        <v>91</v>
      </c>
      <c r="F294">
        <v>349</v>
      </c>
      <c r="G294">
        <v>51</v>
      </c>
      <c r="H294">
        <v>343</v>
      </c>
      <c r="J294" s="2"/>
      <c r="K294">
        <f t="shared" si="4"/>
        <v>-1.6649367668506794</v>
      </c>
      <c r="L294">
        <f>LOG10(E294/C294)-LOG10(37995/47667)</f>
        <v>-1.1625753248060613</v>
      </c>
      <c r="M294">
        <f>LOG10(F294/C294)-LOG10(35167/47667)</f>
        <v>-0.54520016275165872</v>
      </c>
      <c r="N294">
        <f>LOG10(G294/C294)-LOG10(34734/47667)</f>
        <v>-1.3750748921334364</v>
      </c>
      <c r="O294">
        <f>LOG10(H294/C294)-LOG10(33378/47667)</f>
        <v>-0.53005645856262684</v>
      </c>
      <c r="Q294">
        <f>AVERAGE(K294:O294)</f>
        <v>-1.0555687210208924</v>
      </c>
      <c r="R294">
        <f>STDEV(K294:O294)</f>
        <v>0.50534721360042845</v>
      </c>
    </row>
    <row r="295" spans="1:18">
      <c r="A295">
        <v>293</v>
      </c>
      <c r="C295">
        <v>656</v>
      </c>
      <c r="D295">
        <v>15</v>
      </c>
      <c r="E295">
        <v>35</v>
      </c>
      <c r="F295">
        <v>36</v>
      </c>
      <c r="G295">
        <v>32</v>
      </c>
      <c r="H295">
        <v>31</v>
      </c>
      <c r="J295" s="2"/>
      <c r="K295">
        <f t="shared" si="4"/>
        <v>-1.698425115850339</v>
      </c>
      <c r="L295">
        <f>LOG10(E295/C295)-LOG10(37995/47667)</f>
        <v>-1.1743444241124843</v>
      </c>
      <c r="M295">
        <f>LOG10(F295/C295)-LOG10(35167/47667)</f>
        <v>-1.1285188402791566</v>
      </c>
      <c r="N295">
        <f>LOG10(G295/C295)-LOG10(34734/47667)</f>
        <v>-1.1742908412470718</v>
      </c>
      <c r="O295">
        <f>LOG10(H295/C295)-LOG10(33378/47667)</f>
        <v>-1.1707846361067298</v>
      </c>
      <c r="Q295">
        <f>AVERAGE(K295:O295)</f>
        <v>-1.2692727715191563</v>
      </c>
      <c r="R295">
        <f>STDEV(K295:O295)</f>
        <v>0.24068458344950841</v>
      </c>
    </row>
    <row r="296" spans="1:18">
      <c r="A296">
        <v>294</v>
      </c>
      <c r="C296">
        <v>1617</v>
      </c>
      <c r="D296">
        <v>161</v>
      </c>
      <c r="E296">
        <v>124</v>
      </c>
      <c r="F296">
        <v>72</v>
      </c>
      <c r="G296">
        <v>44</v>
      </c>
      <c r="H296">
        <v>101</v>
      </c>
      <c r="J296" s="2"/>
      <c r="K296">
        <f t="shared" si="4"/>
        <v>-1.0594966794049112</v>
      </c>
      <c r="L296">
        <f>LOG10(E296/C296)-LOG10(37995/47667)</f>
        <v>-1.0167969638312657</v>
      </c>
      <c r="M296">
        <f>LOG10(F296/C296)-LOG10(35167/47667)</f>
        <v>-1.2192950251459163</v>
      </c>
      <c r="N296">
        <f>LOG10(G296/C296)-LOG10(34734/47667)</f>
        <v>-1.4277943236115314</v>
      </c>
      <c r="O296">
        <f>LOG10(H296/C296)-LOG10(33378/47667)</f>
        <v>-1.0496311366891007</v>
      </c>
      <c r="Q296">
        <f>AVERAGE(K296:O296)</f>
        <v>-1.154602825736545</v>
      </c>
      <c r="R296">
        <f>STDEV(K296:O296)</f>
        <v>0.17166345368378927</v>
      </c>
    </row>
    <row r="297" spans="1:18">
      <c r="A297">
        <v>295</v>
      </c>
      <c r="C297">
        <v>933</v>
      </c>
      <c r="D297">
        <v>51</v>
      </c>
      <c r="E297">
        <v>62</v>
      </c>
      <c r="F297">
        <v>77</v>
      </c>
      <c r="G297">
        <v>72</v>
      </c>
      <c r="H297">
        <v>31</v>
      </c>
      <c r="J297" s="2"/>
      <c r="K297">
        <f t="shared" si="4"/>
        <v>-1.3199240031789234</v>
      </c>
      <c r="L297">
        <f>LOG10(E297/C297)-LOG10(37995/47667)</f>
        <v>-1.0789985833353457</v>
      </c>
      <c r="M297">
        <f>LOG10(F297/C297)-LOG10(35167/47667)</f>
        <v>-0.95130842024480156</v>
      </c>
      <c r="N297">
        <f>LOG10(G297/C297)-LOG10(34734/47667)</f>
        <v>-0.97508612750654911</v>
      </c>
      <c r="O297">
        <f>LOG10(H297/C297)-LOG10(33378/47667)</f>
        <v>-1.3237624404775694</v>
      </c>
      <c r="Q297">
        <f>AVERAGE(K297:O297)</f>
        <v>-1.129815914948638</v>
      </c>
      <c r="R297">
        <f>STDEV(K297:O297)</f>
        <v>0.18175875078997408</v>
      </c>
    </row>
    <row r="298" spans="1:18">
      <c r="A298">
        <v>296</v>
      </c>
      <c r="C298">
        <v>846</v>
      </c>
      <c r="D298">
        <v>26</v>
      </c>
      <c r="E298">
        <v>17</v>
      </c>
      <c r="F298">
        <v>31</v>
      </c>
      <c r="G298">
        <v>26</v>
      </c>
      <c r="H298">
        <v>20</v>
      </c>
      <c r="J298" s="2"/>
      <c r="K298">
        <f t="shared" si="4"/>
        <v>-1.5700095505985654</v>
      </c>
      <c r="L298">
        <f>LOG10(E298/C298)-LOG10(37995/47667)</f>
        <v>-1.5984300707478494</v>
      </c>
      <c r="M298">
        <f>LOG10(F298/C298)-LOG10(35167/47667)</f>
        <v>-1.3039261708755345</v>
      </c>
      <c r="N298">
        <f>LOG10(G298/C298)-LOG10(34734/47667)</f>
        <v>-1.3749339952595232</v>
      </c>
      <c r="O298">
        <f>LOG10(H298/C298)-LOG10(33378/47667)</f>
        <v>-1.4715828579403845</v>
      </c>
      <c r="Q298">
        <f>AVERAGE(K298:O298)</f>
        <v>-1.4637765290843714</v>
      </c>
      <c r="R298">
        <f>STDEV(K298:O298)</f>
        <v>0.12542238909847214</v>
      </c>
    </row>
    <row r="299" spans="1:18">
      <c r="A299">
        <v>297</v>
      </c>
      <c r="C299">
        <v>1932</v>
      </c>
      <c r="D299">
        <v>62</v>
      </c>
      <c r="E299">
        <v>78</v>
      </c>
      <c r="F299">
        <v>52</v>
      </c>
      <c r="G299">
        <v>44</v>
      </c>
      <c r="H299">
        <v>61</v>
      </c>
      <c r="J299" s="2"/>
      <c r="K299">
        <f t="shared" si="4"/>
        <v>-1.5512279681115804</v>
      </c>
      <c r="L299">
        <f>LOG10(E299/C299)-LOG10(37995/47667)</f>
        <v>-1.2954211484760938</v>
      </c>
      <c r="M299">
        <f>LOG10(F299/C299)-LOG10(35167/47667)</f>
        <v>-1.4379212801154591</v>
      </c>
      <c r="N299">
        <f>LOG10(G299/C299)-LOG10(34734/47667)</f>
        <v>-1.5050914257846049</v>
      </c>
      <c r="O299">
        <f>LOG10(H299/C299)-LOG10(33378/47667)</f>
        <v>-1.3459197776340497</v>
      </c>
      <c r="Q299">
        <f>AVERAGE(K299:O299)</f>
        <v>-1.4271163200243575</v>
      </c>
      <c r="R299">
        <f>STDEV(K299:O299)</f>
        <v>0.10669707373809083</v>
      </c>
    </row>
    <row r="300" spans="1:18">
      <c r="A300">
        <v>298</v>
      </c>
      <c r="C300">
        <v>921</v>
      </c>
      <c r="D300">
        <v>15</v>
      </c>
      <c r="E300">
        <v>16</v>
      </c>
      <c r="F300">
        <v>6</v>
      </c>
      <c r="G300">
        <v>25</v>
      </c>
      <c r="H300">
        <v>47</v>
      </c>
      <c r="J300" s="2"/>
      <c r="K300">
        <f t="shared" si="4"/>
        <v>-1.8457809066715276</v>
      </c>
      <c r="L300">
        <f>LOG10(E300/C300)-LOG10(37995/47667)</f>
        <v>-1.6616482766280238</v>
      </c>
      <c r="M300">
        <f>LOG10(F300/C300)-LOG10(35167/47667)</f>
        <v>-2.0540258814839887</v>
      </c>
      <c r="N300">
        <f>LOG10(G300/C300)-LOG10(34734/47667)</f>
        <v>-1.4288566017161288</v>
      </c>
      <c r="O300">
        <f>LOG10(H300/C300)-LOG10(33378/47667)</f>
        <v>-1.1374042628264736</v>
      </c>
      <c r="Q300">
        <f>AVERAGE(K300:O300)</f>
        <v>-1.6255431858652287</v>
      </c>
      <c r="R300">
        <f>STDEV(K300:O300)</f>
        <v>0.35720122909199759</v>
      </c>
    </row>
    <row r="301" spans="1:18">
      <c r="A301">
        <v>299</v>
      </c>
      <c r="C301">
        <v>988</v>
      </c>
      <c r="D301">
        <v>105</v>
      </c>
      <c r="E301">
        <v>66</v>
      </c>
      <c r="F301">
        <v>40</v>
      </c>
      <c r="G301">
        <v>18</v>
      </c>
      <c r="H301">
        <v>43</v>
      </c>
      <c r="J301" s="2"/>
      <c r="K301">
        <f t="shared" si="4"/>
        <v>-1.0311801810480499</v>
      </c>
      <c r="L301">
        <f>LOG10(E301/C301)-LOG10(37995/47667)</f>
        <v>-1.076721638132859</v>
      </c>
      <c r="M301">
        <f>LOG10(F301/C301)-LOG10(35167/47667)</f>
        <v>-1.2606144549304494</v>
      </c>
      <c r="N301">
        <f>LOG10(G301/C301)-LOG10(34734/47667)</f>
        <v>-1.6020214196756397</v>
      </c>
      <c r="O301">
        <f>LOG10(H301/C301)-LOG10(33378/47667)</f>
        <v>-1.2065309795733838</v>
      </c>
      <c r="Q301">
        <f>AVERAGE(K301:O301)</f>
        <v>-1.2354137346720764</v>
      </c>
      <c r="R301">
        <f>STDEV(K301:O301)</f>
        <v>0.22514717990528665</v>
      </c>
    </row>
    <row r="302" spans="1:18">
      <c r="A302">
        <v>300</v>
      </c>
      <c r="C302">
        <v>887</v>
      </c>
      <c r="D302">
        <v>12</v>
      </c>
      <c r="E302">
        <v>24</v>
      </c>
      <c r="F302">
        <v>35</v>
      </c>
      <c r="G302">
        <v>43</v>
      </c>
      <c r="H302">
        <v>20</v>
      </c>
      <c r="J302" s="2"/>
      <c r="K302">
        <f t="shared" si="4"/>
        <v>-1.9263549093144614</v>
      </c>
      <c r="L302">
        <f>LOG10(E302/C302)-LOG10(37995/47667)</f>
        <v>-1.46922100720722</v>
      </c>
      <c r="M302">
        <f>LOG10(F302/C302)-LOG10(35167/47667)</f>
        <v>-1.2717730771522344</v>
      </c>
      <c r="N302">
        <f>LOG10(G302/C302)-LOG10(34734/47667)</f>
        <v>-1.1769921444434575</v>
      </c>
      <c r="O302">
        <f>LOG10(H302/C302)-LOG10(33378/47667)</f>
        <v>-1.4921361147330874</v>
      </c>
      <c r="Q302">
        <f>AVERAGE(K302:O302)</f>
        <v>-1.4672954505700921</v>
      </c>
      <c r="R302">
        <f>STDEV(K302:O302)</f>
        <v>0.28890368684135181</v>
      </c>
    </row>
    <row r="303" spans="1:18">
      <c r="A303">
        <v>301</v>
      </c>
      <c r="C303">
        <v>2019</v>
      </c>
      <c r="D303">
        <v>47</v>
      </c>
      <c r="E303">
        <v>37</v>
      </c>
      <c r="F303">
        <v>34</v>
      </c>
      <c r="G303">
        <v>37</v>
      </c>
      <c r="H303">
        <v>43</v>
      </c>
      <c r="J303" s="2"/>
      <c r="K303">
        <f t="shared" si="4"/>
        <v>-1.6906509965382817</v>
      </c>
      <c r="L303">
        <f>LOG10(E303/C303)-LOG10(37995/47667)</f>
        <v>-1.6384432239637441</v>
      </c>
      <c r="M303">
        <f>LOG10(F303/C303)-LOG10(35167/47667)</f>
        <v>-1.6415749035721678</v>
      </c>
      <c r="N303">
        <f>LOG10(G303/C303)-LOG10(34734/47667)</f>
        <v>-1.599471575067962</v>
      </c>
      <c r="O303">
        <f>LOG10(H303/C303)-LOG10(33378/47667)</f>
        <v>-1.5169103539293949</v>
      </c>
      <c r="Q303">
        <f>AVERAGE(K303:O303)</f>
        <v>-1.6174102106143102</v>
      </c>
      <c r="R303">
        <f>STDEV(K303:O303)</f>
        <v>6.4831606099994235E-2</v>
      </c>
    </row>
    <row r="304" spans="1:18">
      <c r="A304">
        <v>302</v>
      </c>
      <c r="C304">
        <v>1618</v>
      </c>
      <c r="D304">
        <v>72</v>
      </c>
      <c r="E304">
        <v>94</v>
      </c>
      <c r="F304">
        <v>145</v>
      </c>
      <c r="G304">
        <v>155</v>
      </c>
      <c r="H304">
        <v>114</v>
      </c>
      <c r="J304" s="2"/>
      <c r="K304">
        <f t="shared" si="4"/>
        <v>-1.4092585563753448</v>
      </c>
      <c r="L304">
        <f>LOG10(E304/C304)-LOG10(37995/47667)</f>
        <v>-1.1373592927636544</v>
      </c>
      <c r="M304">
        <f>LOG10(F304/C304)-LOG10(35167/47667)</f>
        <v>-0.91552801671206219</v>
      </c>
      <c r="N304">
        <f>LOG10(G304/C304)-LOG10(34734/47667)</f>
        <v>-0.88118379929727986</v>
      </c>
      <c r="O304">
        <f>LOG10(H304/C304)-LOG10(33378/47667)</f>
        <v>-0.99731615650512295</v>
      </c>
      <c r="Q304">
        <f>AVERAGE(K304:O304)</f>
        <v>-1.0681291643306929</v>
      </c>
      <c r="R304">
        <f>STDEV(K304:O304)</f>
        <v>0.21471622821697678</v>
      </c>
    </row>
    <row r="305" spans="1:18">
      <c r="A305">
        <v>303</v>
      </c>
      <c r="C305">
        <v>770</v>
      </c>
      <c r="D305">
        <v>39</v>
      </c>
      <c r="E305">
        <v>9</v>
      </c>
      <c r="F305">
        <v>31</v>
      </c>
      <c r="G305">
        <v>37</v>
      </c>
      <c r="H305">
        <v>18</v>
      </c>
      <c r="J305" s="2"/>
      <c r="K305">
        <f t="shared" si="4"/>
        <v>-1.3530386536763426</v>
      </c>
      <c r="L305">
        <f>LOG10(E305/C305)-LOG10(37995/47667)</f>
        <v>-1.8337568448202568</v>
      </c>
      <c r="M305">
        <f>LOG10(F305/C305)-LOG10(35167/47667)</f>
        <v>-1.2630465330089928</v>
      </c>
      <c r="N305">
        <f>LOG10(G305/C305)-LOG10(34734/47667)</f>
        <v>-1.1808259812968045</v>
      </c>
      <c r="O305">
        <f>LOG10(H305/C305)-LOG10(33378/47667)</f>
        <v>-1.476460710634518</v>
      </c>
      <c r="Q305">
        <f>AVERAGE(K305:O305)</f>
        <v>-1.4214257446873828</v>
      </c>
      <c r="R305">
        <f>STDEV(K305:O305)</f>
        <v>0.25529140147389046</v>
      </c>
    </row>
    <row r="306" spans="1:18">
      <c r="A306">
        <v>304</v>
      </c>
      <c r="C306">
        <v>1259</v>
      </c>
      <c r="D306">
        <v>29</v>
      </c>
      <c r="E306">
        <v>36</v>
      </c>
      <c r="F306">
        <v>9</v>
      </c>
      <c r="G306">
        <v>22</v>
      </c>
      <c r="H306">
        <v>60</v>
      </c>
      <c r="J306" s="2"/>
      <c r="K306">
        <f t="shared" si="4"/>
        <v>-1.6952402677392664</v>
      </c>
      <c r="L306">
        <f>LOG10(E306/C306)-LOG10(37995/47667)</f>
        <v>-1.4452318584276751</v>
      </c>
      <c r="M306">
        <f>LOG10(F306/C306)-LOG10(35167/47667)</f>
        <v>-2.0137007223393213</v>
      </c>
      <c r="N306">
        <f>LOG10(G306/C306)-LOG10(34734/47667)</f>
        <v>-1.6201400294769739</v>
      </c>
      <c r="O306">
        <f>LOG10(H306/C306)-LOG10(33378/47667)</f>
        <v>-1.1671169702895612</v>
      </c>
      <c r="Q306">
        <f>AVERAGE(K306:O306)</f>
        <v>-1.5882859696545597</v>
      </c>
      <c r="R306">
        <f>STDEV(K306:O306)</f>
        <v>0.31276165828503638</v>
      </c>
    </row>
    <row r="307" spans="1:18">
      <c r="A307">
        <v>305</v>
      </c>
      <c r="C307">
        <v>962</v>
      </c>
      <c r="D307">
        <v>25</v>
      </c>
      <c r="E307">
        <v>31</v>
      </c>
      <c r="F307">
        <v>14</v>
      </c>
      <c r="G307">
        <v>33</v>
      </c>
      <c r="H307">
        <v>24</v>
      </c>
      <c r="J307" s="2"/>
      <c r="K307">
        <f t="shared" si="4"/>
        <v>-1.6428475988961351</v>
      </c>
      <c r="L307">
        <f>LOG10(E307/C307)-LOG10(37995/47667)</f>
        <v>-1.39332200729064</v>
      </c>
      <c r="M307">
        <f>LOG10(F307/C307)-LOG10(35167/47667)</f>
        <v>-1.7049645380303586</v>
      </c>
      <c r="N307">
        <f>LOG10(G307/C307)-LOG10(34734/47667)</f>
        <v>-1.3271981123512431</v>
      </c>
      <c r="O307">
        <f>LOG10(H307/C307)-LOG10(33378/47667)</f>
        <v>-1.448206320891549</v>
      </c>
      <c r="Q307">
        <f>AVERAGE(K307:O307)</f>
        <v>-1.5033077154919852</v>
      </c>
      <c r="R307">
        <f>STDEV(K307:O307)</f>
        <v>0.16300649155062114</v>
      </c>
    </row>
    <row r="308" spans="1:18">
      <c r="A308">
        <v>306</v>
      </c>
      <c r="C308">
        <v>1466</v>
      </c>
      <c r="D308">
        <v>20</v>
      </c>
      <c r="E308">
        <v>33</v>
      </c>
      <c r="F308">
        <v>34</v>
      </c>
      <c r="G308">
        <v>57</v>
      </c>
      <c r="H308">
        <v>22</v>
      </c>
      <c r="J308" s="2"/>
      <c r="K308">
        <f t="shared" si="4"/>
        <v>-1.9227165101714878</v>
      </c>
      <c r="L308">
        <f>LOG10(E308/C308)-LOG10(37995/47667)</f>
        <v>-1.5491286595143214</v>
      </c>
      <c r="M308">
        <f>LOG10(F308/C308)-LOG10(35167/47667)</f>
        <v>-1.5025725549336377</v>
      </c>
      <c r="N308">
        <f>LOG10(G308/C308)-LOG10(34734/47667)</f>
        <v>-1.2727960948239354</v>
      </c>
      <c r="O308">
        <f>LOG10(H308/C308)-LOG10(33378/47667)</f>
        <v>-1.668953780048245</v>
      </c>
      <c r="Q308">
        <f>AVERAGE(K308:O308)</f>
        <v>-1.5832335198983256</v>
      </c>
      <c r="R308">
        <f>STDEV(K308:O308)</f>
        <v>0.23803224116841926</v>
      </c>
    </row>
    <row r="309" spans="1:18">
      <c r="A309">
        <v>307</v>
      </c>
      <c r="C309">
        <v>1585</v>
      </c>
      <c r="D309">
        <v>37</v>
      </c>
      <c r="E309">
        <v>64</v>
      </c>
      <c r="F309">
        <v>37</v>
      </c>
      <c r="G309">
        <v>51</v>
      </c>
      <c r="H309">
        <v>49</v>
      </c>
      <c r="J309" s="2"/>
      <c r="K309">
        <f t="shared" si="4"/>
        <v>-1.6894400780171352</v>
      </c>
      <c r="L309">
        <f>LOG10(E309/C309)-LOG10(37995/47667)</f>
        <v>-1.2953579216569828</v>
      </c>
      <c r="M309">
        <f>LOG10(F309/C309)-LOG10(35167/47667)</f>
        <v>-1.499745044157559</v>
      </c>
      <c r="N309">
        <f>LOG10(G309/C309)-LOG10(34734/47667)</f>
        <v>-1.3549960706471516</v>
      </c>
      <c r="O309">
        <f>LOG10(H309/C309)-LOG10(33378/47667)</f>
        <v>-1.3550756770905987</v>
      </c>
      <c r="Q309">
        <f>AVERAGE(K309:O309)</f>
        <v>-1.4389229583138854</v>
      </c>
      <c r="R309">
        <f>STDEV(K309:O309)</f>
        <v>0.15901506389572567</v>
      </c>
    </row>
    <row r="310" spans="1:18">
      <c r="A310">
        <v>308</v>
      </c>
      <c r="C310">
        <v>1650</v>
      </c>
      <c r="D310">
        <v>100</v>
      </c>
      <c r="E310">
        <v>148</v>
      </c>
      <c r="F310">
        <v>49</v>
      </c>
      <c r="G310">
        <v>91</v>
      </c>
      <c r="H310">
        <v>92</v>
      </c>
      <c r="J310" s="2"/>
      <c r="K310">
        <f t="shared" si="4"/>
        <v>-1.2750964797442661</v>
      </c>
      <c r="L310">
        <f>LOG10(E310/C310)-LOG10(37995/47667)</f>
        <v>-0.94873085790604872</v>
      </c>
      <c r="M310">
        <f>LOG10(F310/C310)-LOG10(35167/47667)</f>
        <v>-1.3952053658561763</v>
      </c>
      <c r="N310">
        <f>LOG10(G310/C310)-LOG10(34734/47667)</f>
        <v>-1.1209795320841303</v>
      </c>
      <c r="O310">
        <f>LOG10(H310/C310)-LOG10(33378/47667)</f>
        <v>-1.0989386074336931</v>
      </c>
      <c r="Q310">
        <f>AVERAGE(K310:O310)</f>
        <v>-1.1677901686048628</v>
      </c>
      <c r="R310">
        <f>STDEV(K310:O310)</f>
        <v>0.17186555146554514</v>
      </c>
    </row>
    <row r="311" spans="1:18">
      <c r="A311">
        <v>309</v>
      </c>
      <c r="C311">
        <v>1230</v>
      </c>
      <c r="D311">
        <v>19</v>
      </c>
      <c r="E311">
        <v>15</v>
      </c>
      <c r="F311">
        <v>16</v>
      </c>
      <c r="G311">
        <v>29</v>
      </c>
      <c r="H311">
        <v>18</v>
      </c>
      <c r="J311" s="2"/>
      <c r="K311">
        <f t="shared" si="4"/>
        <v>-1.8687640460169288</v>
      </c>
      <c r="L311">
        <f>LOG10(E311/C311)-LOG10(37995/47667)</f>
        <v>-1.8153224814708164</v>
      </c>
      <c r="M311">
        <f>LOG10(F311/C311)-LOG10(35167/47667)</f>
        <v>-1.7537026304542567</v>
      </c>
      <c r="N311">
        <f>LOG10(G311/C311)-LOG10(34734/47667)</f>
        <v>-1.4900440937317594</v>
      </c>
      <c r="O311">
        <f>LOG10(H311/C311)-LOG10(33378/47667)</f>
        <v>-1.679875096901434</v>
      </c>
      <c r="Q311">
        <f>AVERAGE(K311:O311)</f>
        <v>-1.7215416697150392</v>
      </c>
      <c r="R311">
        <f>STDEV(K311:O311)</f>
        <v>0.14733535481121213</v>
      </c>
    </row>
    <row r="312" spans="1:18">
      <c r="A312">
        <v>310</v>
      </c>
      <c r="C312">
        <v>1624</v>
      </c>
      <c r="D312">
        <v>16</v>
      </c>
      <c r="E312">
        <v>76</v>
      </c>
      <c r="F312">
        <v>21</v>
      </c>
      <c r="G312">
        <v>66</v>
      </c>
      <c r="H312">
        <v>24</v>
      </c>
      <c r="J312" s="2"/>
      <c r="K312">
        <f t="shared" si="4"/>
        <v>-2.0640785777795916</v>
      </c>
      <c r="L312">
        <f>LOG10(E312/C312)-LOG10(37995/47667)</f>
        <v>-1.2312810617114649</v>
      </c>
      <c r="M312">
        <f>LOG10(F312/C312)-LOG10(35167/47667)</f>
        <v>-1.7562842318420209</v>
      </c>
      <c r="N312">
        <f>LOG10(G312/C312)-LOG10(34734/47667)</f>
        <v>-1.2535790695546054</v>
      </c>
      <c r="O312">
        <f>LOG10(H312/C312)-LOG10(33378/47667)</f>
        <v>-1.6756172737588926</v>
      </c>
      <c r="Q312">
        <f>AVERAGE(K312:O312)</f>
        <v>-1.5961680429293152</v>
      </c>
      <c r="R312">
        <f>STDEV(K312:O312)</f>
        <v>0.35404779218186933</v>
      </c>
    </row>
    <row r="313" spans="1:18">
      <c r="A313">
        <v>311</v>
      </c>
      <c r="C313">
        <v>1702</v>
      </c>
      <c r="D313">
        <v>30</v>
      </c>
      <c r="E313">
        <v>37</v>
      </c>
      <c r="F313">
        <v>63</v>
      </c>
      <c r="G313">
        <v>39</v>
      </c>
      <c r="H313">
        <v>16</v>
      </c>
      <c r="J313" s="2"/>
      <c r="K313">
        <f t="shared" si="4"/>
        <v>-1.8114508365592665</v>
      </c>
      <c r="L313">
        <f>LOG10(E313/C313)-LOG10(37995/47667)</f>
        <v>-1.5642664607686738</v>
      </c>
      <c r="M313">
        <f>LOG10(F313/C313)-LOG10(35167/47667)</f>
        <v>-1.299536507965771</v>
      </c>
      <c r="N313">
        <f>LOG10(G313/C313)-LOG10(34734/47667)</f>
        <v>-1.5024319289133876</v>
      </c>
      <c r="O313">
        <f>LOG10(H313/C313)-LOG10(33378/47667)</f>
        <v>-1.8720820636579865</v>
      </c>
      <c r="Q313">
        <f>AVERAGE(K313:O313)</f>
        <v>-1.609953559573017</v>
      </c>
      <c r="R313">
        <f>STDEV(K313:O313)</f>
        <v>0.23415777975122806</v>
      </c>
    </row>
    <row r="314" spans="1:18">
      <c r="A314">
        <v>312</v>
      </c>
      <c r="C314">
        <v>1642</v>
      </c>
      <c r="D314">
        <v>385</v>
      </c>
      <c r="E314">
        <v>137</v>
      </c>
      <c r="F314">
        <v>85</v>
      </c>
      <c r="G314">
        <v>58</v>
      </c>
      <c r="H314">
        <v>33</v>
      </c>
      <c r="J314" s="2"/>
      <c r="K314">
        <f t="shared" si="4"/>
        <v>-0.68752495880528097</v>
      </c>
      <c r="L314">
        <f>LOG10(E314/C314)-LOG10(37995/47667)</f>
        <v>-0.98016121471411499</v>
      </c>
      <c r="M314">
        <f>LOG10(F314/C314)-LOG10(35167/47667)</f>
        <v>-1.1538717287399129</v>
      </c>
      <c r="N314">
        <f>LOG10(G314/C314)-LOG10(34734/47667)</f>
        <v>-1.3144821394118023</v>
      </c>
      <c r="O314">
        <f>LOG10(H314/C314)-LOG10(33378/47667)</f>
        <v>-1.5421017034708766</v>
      </c>
      <c r="Q314">
        <f>AVERAGE(K314:O314)</f>
        <v>-1.1356283490283976</v>
      </c>
      <c r="R314">
        <f>STDEV(K314:O314)</f>
        <v>0.32500337124823631</v>
      </c>
    </row>
    <row r="315" spans="1:18">
      <c r="A315">
        <v>313</v>
      </c>
      <c r="C315">
        <v>1054</v>
      </c>
      <c r="D315">
        <v>15</v>
      </c>
      <c r="E315">
        <v>26</v>
      </c>
      <c r="F315">
        <v>35</v>
      </c>
      <c r="G315">
        <v>23</v>
      </c>
      <c r="H315">
        <v>29</v>
      </c>
      <c r="J315" s="2"/>
      <c r="K315">
        <f t="shared" si="4"/>
        <v>-1.9043618873512065</v>
      </c>
      <c r="L315">
        <f>LOG10(E315/C315)-LOG10(37995/47667)</f>
        <v>-1.5093758919928095</v>
      </c>
      <c r="M315">
        <f>LOG10(F315/C315)-LOG10(35167/47667)</f>
        <v>-1.3466900681970357</v>
      </c>
      <c r="N315">
        <f>LOG10(G315/C315)-LOG10(34734/47667)</f>
        <v>-1.5236497550502526</v>
      </c>
      <c r="O315">
        <f>LOG10(H315/C315)-LOG10(33378/47667)</f>
        <v>-1.4056851035429139</v>
      </c>
      <c r="Q315">
        <f>AVERAGE(K315:O315)</f>
        <v>-1.5379525412268438</v>
      </c>
      <c r="R315">
        <f>STDEV(K315:O315)</f>
        <v>0.21757355776960269</v>
      </c>
    </row>
    <row r="316" spans="1:18">
      <c r="A316">
        <v>314</v>
      </c>
      <c r="C316">
        <v>595</v>
      </c>
      <c r="D316">
        <v>13</v>
      </c>
      <c r="E316">
        <v>40</v>
      </c>
      <c r="F316">
        <v>36</v>
      </c>
      <c r="G316">
        <v>16</v>
      </c>
      <c r="H316">
        <v>5</v>
      </c>
      <c r="J316" s="2"/>
      <c r="K316">
        <f t="shared" si="4"/>
        <v>-1.7181861489520727</v>
      </c>
      <c r="L316">
        <f>LOG10(E316/C316)-LOG10(37995/47667)</f>
        <v>-1.073965603487687</v>
      </c>
      <c r="M316">
        <f>LOG10(F316/C316)-LOG10(35167/47667)</f>
        <v>-1.0861319666320459</v>
      </c>
      <c r="N316">
        <f>LOG10(G316/C316)-LOG10(34734/47667)</f>
        <v>-1.4329339632639424</v>
      </c>
      <c r="O316">
        <f>LOG10(H316/C316)-LOG10(33378/47667)</f>
        <v>-1.9207894519578728</v>
      </c>
      <c r="Q316">
        <f>AVERAGE(K316:O316)</f>
        <v>-1.4464014268587242</v>
      </c>
      <c r="R316">
        <f>STDEV(K316:O316)</f>
        <v>0.3766944493215259</v>
      </c>
    </row>
    <row r="317" spans="1:18">
      <c r="A317">
        <v>315</v>
      </c>
      <c r="C317">
        <v>2008</v>
      </c>
      <c r="D317">
        <v>57</v>
      </c>
      <c r="E317">
        <v>45</v>
      </c>
      <c r="F317">
        <v>50</v>
      </c>
      <c r="G317">
        <v>40</v>
      </c>
      <c r="H317">
        <v>49</v>
      </c>
      <c r="J317" s="2"/>
      <c r="K317">
        <f t="shared" si="4"/>
        <v>-1.6045013883308501</v>
      </c>
      <c r="L317">
        <f>LOG10(E317/C317)-LOG10(37995/47667)</f>
        <v>-1.5510598237847377</v>
      </c>
      <c r="M317">
        <f>LOG10(F317/C317)-LOG10(35167/47667)</f>
        <v>-1.4717112058077466</v>
      </c>
      <c r="N317">
        <f>LOG10(G317/C317)-LOG10(34734/47667)</f>
        <v>-1.5632406973363371</v>
      </c>
      <c r="O317">
        <f>LOG10(H317/C317)-LOG10(33378/47667)</f>
        <v>-1.4578101190098103</v>
      </c>
      <c r="Q317">
        <f>AVERAGE(K317:O317)</f>
        <v>-1.5296646468538964</v>
      </c>
      <c r="R317">
        <f>STDEV(K317:O317)</f>
        <v>6.2664418008898631E-2</v>
      </c>
    </row>
    <row r="318" spans="1:18">
      <c r="A318">
        <v>316</v>
      </c>
      <c r="C318">
        <v>1182</v>
      </c>
      <c r="D318">
        <v>13</v>
      </c>
      <c r="E318">
        <v>19</v>
      </c>
      <c r="F318">
        <v>21</v>
      </c>
      <c r="G318">
        <v>34</v>
      </c>
      <c r="H318">
        <v>20</v>
      </c>
      <c r="J318" s="2"/>
      <c r="K318">
        <f t="shared" si="4"/>
        <v>-2.0162866597687596</v>
      </c>
      <c r="L318">
        <f>LOG10(E318/C318)-LOG10(37995/47667)</f>
        <v>-1.6953725046795074</v>
      </c>
      <c r="M318">
        <f>LOG10(F318/C318)-LOG10(35167/47667)</f>
        <v>-1.6183156834821009</v>
      </c>
      <c r="N318">
        <f>LOG10(G318/C318)-LOG10(34734/47667)</f>
        <v>-1.403675539694299</v>
      </c>
      <c r="O318">
        <f>LOG10(H318/C318)-LOG10(33378/47667)</f>
        <v>-1.6168299714465975</v>
      </c>
      <c r="Q318">
        <f>AVERAGE(K318:O318)</f>
        <v>-1.6700960718142528</v>
      </c>
      <c r="R318">
        <f>STDEV(K318:O318)</f>
        <v>0.22191507792732468</v>
      </c>
    </row>
    <row r="319" spans="1:18">
      <c r="A319">
        <v>317</v>
      </c>
      <c r="C319">
        <v>1295</v>
      </c>
      <c r="D319">
        <v>45</v>
      </c>
      <c r="E319">
        <v>46</v>
      </c>
      <c r="F319">
        <v>36</v>
      </c>
      <c r="G319">
        <v>93</v>
      </c>
      <c r="H319">
        <v>15</v>
      </c>
      <c r="J319" s="2"/>
      <c r="K319">
        <f t="shared" si="4"/>
        <v>-1.5166697901722868</v>
      </c>
      <c r="L319">
        <f>LOG10(E319/C319)-LOG10(37995/47667)</f>
        <v>-1.3510205658227963</v>
      </c>
      <c r="M319">
        <f>LOG10(F319/C319)-LOG10(35167/47667)</f>
        <v>-1.423884769320767</v>
      </c>
      <c r="N319">
        <f>LOG10(G319/C319)-LOG10(34734/47667)</f>
        <v>-1.0063238000546533</v>
      </c>
      <c r="O319">
        <f>LOG10(H319/C319)-LOG10(33378/47667)</f>
        <v>-1.7814209999269315</v>
      </c>
      <c r="Q319">
        <f>AVERAGE(K319:O319)</f>
        <v>-1.415863985059487</v>
      </c>
      <c r="R319">
        <f>STDEV(K319:O319)</f>
        <v>0.28097415654980656</v>
      </c>
    </row>
    <row r="320" spans="1:18">
      <c r="A320">
        <v>318</v>
      </c>
      <c r="C320">
        <v>1246</v>
      </c>
      <c r="D320">
        <v>36</v>
      </c>
      <c r="E320">
        <v>27</v>
      </c>
      <c r="F320">
        <v>18</v>
      </c>
      <c r="G320">
        <v>62</v>
      </c>
      <c r="H320">
        <v>31</v>
      </c>
      <c r="J320" s="2"/>
      <c r="K320">
        <f t="shared" si="4"/>
        <v>-1.5968280770862233</v>
      </c>
      <c r="L320">
        <f>LOG10(E320/C320)-LOG10(37995/47667)</f>
        <v>-1.5656629072512633</v>
      </c>
      <c r="M320">
        <f>LOG10(F320/C320)-LOG10(35167/47667)</f>
        <v>-1.7081630388906284</v>
      </c>
      <c r="N320">
        <f>LOG10(G320/C320)-LOG10(34734/47667)</f>
        <v>-1.1656633330162145</v>
      </c>
      <c r="O320">
        <f>LOG10(H320/C320)-LOG10(33378/47667)</f>
        <v>-1.4493988390542203</v>
      </c>
      <c r="Q320">
        <f>AVERAGE(K320:O320)</f>
        <v>-1.4971432390597097</v>
      </c>
      <c r="R320">
        <f>STDEV(K320:O320)</f>
        <v>0.20695399466102662</v>
      </c>
    </row>
    <row r="321" spans="1:18">
      <c r="A321">
        <v>319</v>
      </c>
      <c r="C321">
        <v>518</v>
      </c>
      <c r="D321">
        <v>14</v>
      </c>
      <c r="E321">
        <v>32</v>
      </c>
      <c r="F321">
        <v>15</v>
      </c>
      <c r="G321">
        <v>12</v>
      </c>
      <c r="H321">
        <v>15</v>
      </c>
      <c r="J321" s="2"/>
      <c r="K321">
        <f t="shared" si="4"/>
        <v>-1.6258142595973548</v>
      </c>
      <c r="L321">
        <f>LOG10(E321/C321)-LOG10(37995/47667)</f>
        <v>-1.1106884105124268</v>
      </c>
      <c r="M321">
        <f>LOG10(F321/C321)-LOG10(35167/47667)</f>
        <v>-1.4061560023603354</v>
      </c>
      <c r="N321">
        <f>LOG10(G321/C321)-LOG10(34734/47667)</f>
        <v>-1.4976854938889259</v>
      </c>
      <c r="O321">
        <f>LOG10(H321/C321)-LOG10(33378/47667)</f>
        <v>-1.383480991254894</v>
      </c>
      <c r="Q321">
        <f>AVERAGE(K321:O321)</f>
        <v>-1.4047650315227873</v>
      </c>
      <c r="R321">
        <f>STDEV(K321:O321)</f>
        <v>0.19002169465193236</v>
      </c>
    </row>
    <row r="322" spans="1:18">
      <c r="A322">
        <v>320</v>
      </c>
      <c r="C322">
        <v>1968</v>
      </c>
      <c r="D322">
        <v>36</v>
      </c>
      <c r="E322">
        <v>63</v>
      </c>
      <c r="F322">
        <v>78</v>
      </c>
      <c r="G322">
        <v>84</v>
      </c>
      <c r="H322">
        <v>46</v>
      </c>
      <c r="J322" s="2"/>
      <c r="K322">
        <f t="shared" si="4"/>
        <v>-1.7953351288583954</v>
      </c>
      <c r="L322">
        <f>LOG10(E322/C322)-LOG10(37995/47667)</f>
        <v>-1.3961931737288407</v>
      </c>
      <c r="M322">
        <f>LOG10(F322/C322)-LOG10(35167/47667)</f>
        <v>-1.2698479930756259</v>
      </c>
      <c r="N322">
        <f>LOG10(G322/C322)-LOG10(34734/47667)</f>
        <v>-1.2322827882247587</v>
      </c>
      <c r="O322">
        <f>LOG10(H322/C322)-LOG10(33378/47667)</f>
        <v>-1.4765097529790909</v>
      </c>
      <c r="Q322">
        <f>AVERAGE(K322:O322)</f>
        <v>-1.4340337673733423</v>
      </c>
      <c r="R322">
        <f>STDEV(K322:O322)</f>
        <v>0.22440767576035259</v>
      </c>
    </row>
    <row r="323" spans="1:18">
      <c r="A323">
        <v>321</v>
      </c>
      <c r="C323">
        <v>1742</v>
      </c>
      <c r="D323">
        <v>22</v>
      </c>
      <c r="E323">
        <v>122</v>
      </c>
      <c r="F323">
        <v>92</v>
      </c>
      <c r="G323">
        <v>63</v>
      </c>
      <c r="H323">
        <v>61</v>
      </c>
      <c r="J323" s="2"/>
      <c r="K323">
        <f t="shared" ref="K323:K386" si="5">LOG10(D323/C323)-LOG10(54429/47667)</f>
        <v>-1.9562380053797981</v>
      </c>
      <c r="L323">
        <f>LOG10(E323/C323)-LOG10(37995/47667)</f>
        <v>-1.056196949083996</v>
      </c>
      <c r="M323">
        <f>LOG10(F323/C323)-LOG10(35167/47667)</f>
        <v>-1.1451778249968727</v>
      </c>
      <c r="N323">
        <f>LOG10(G323/C323)-LOG10(34734/47667)</f>
        <v>-1.3042445814093804</v>
      </c>
      <c r="O323">
        <f>LOG10(H323/C323)-LOG10(33378/47667)</f>
        <v>-1.3009608062262195</v>
      </c>
      <c r="Q323">
        <f>AVERAGE(K323:O323)</f>
        <v>-1.3525636334192535</v>
      </c>
      <c r="R323">
        <f>STDEV(K323:O323)</f>
        <v>0.35364615615127309</v>
      </c>
    </row>
    <row r="324" spans="1:18">
      <c r="A324">
        <v>322</v>
      </c>
      <c r="C324">
        <v>1757</v>
      </c>
      <c r="D324">
        <v>90</v>
      </c>
      <c r="E324">
        <v>49</v>
      </c>
      <c r="F324">
        <v>45</v>
      </c>
      <c r="G324">
        <v>40</v>
      </c>
      <c r="H324">
        <v>37</v>
      </c>
      <c r="J324" s="2"/>
      <c r="K324">
        <f t="shared" si="5"/>
        <v>-1.34814178758633</v>
      </c>
      <c r="L324">
        <f>LOG10(E324/C324)-LOG10(37995/47667)</f>
        <v>-1.456084310553881</v>
      </c>
      <c r="M324">
        <f>LOG10(F324/C324)-LOG10(35167/47667)</f>
        <v>-1.459476749390735</v>
      </c>
      <c r="N324">
        <f>LOG10(G324/C324)-LOG10(34734/47667)</f>
        <v>-1.5052487503586502</v>
      </c>
      <c r="O324">
        <f>LOG10(H324/C324)-LOG10(33378/47667)</f>
        <v>-1.5218125279936421</v>
      </c>
      <c r="Q324">
        <f>AVERAGE(K324:O324)</f>
        <v>-1.4581528251766478</v>
      </c>
      <c r="R324">
        <f>STDEV(K324:O324)</f>
        <v>6.7784666133396967E-2</v>
      </c>
    </row>
    <row r="325" spans="1:18">
      <c r="A325">
        <v>323</v>
      </c>
      <c r="C325">
        <v>1795</v>
      </c>
      <c r="D325">
        <v>48</v>
      </c>
      <c r="E325">
        <v>43</v>
      </c>
      <c r="F325">
        <v>62</v>
      </c>
      <c r="G325">
        <v>56</v>
      </c>
      <c r="H325">
        <v>58</v>
      </c>
      <c r="J325" s="2"/>
      <c r="K325">
        <f t="shared" si="5"/>
        <v>-1.6304357510691105</v>
      </c>
      <c r="L325">
        <f>LOG10(E325/C325)-LOG10(37995/47667)</f>
        <v>-1.5221046264218512</v>
      </c>
      <c r="M325">
        <f>LOG10(F325/C325)-LOG10(35167/47667)</f>
        <v>-1.3295902650868676</v>
      </c>
      <c r="N325">
        <f>LOG10(G325/C325)-LOG10(34734/47667)</f>
        <v>-1.3684134060994553</v>
      </c>
      <c r="O325">
        <f>LOG10(H325/C325)-LOG10(33378/47667)</f>
        <v>-1.3358789499167427</v>
      </c>
      <c r="Q325">
        <f>AVERAGE(K325:O325)</f>
        <v>-1.4372845997188053</v>
      </c>
      <c r="R325">
        <f>STDEV(K325:O325)</f>
        <v>0.13334749813176311</v>
      </c>
    </row>
    <row r="326" spans="1:18">
      <c r="A326">
        <v>324</v>
      </c>
      <c r="C326">
        <v>828</v>
      </c>
      <c r="D326">
        <v>13</v>
      </c>
      <c r="E326">
        <v>18</v>
      </c>
      <c r="F326">
        <v>23</v>
      </c>
      <c r="G326">
        <v>27</v>
      </c>
      <c r="H326">
        <v>17</v>
      </c>
      <c r="J326" s="2"/>
      <c r="K326">
        <f t="shared" si="5"/>
        <v>-1.8616995200084032</v>
      </c>
      <c r="L326">
        <f>LOG10(E326/C326)-LOG10(37995/47667)</f>
        <v>-1.5642664607686738</v>
      </c>
      <c r="M326">
        <f>LOG10(F326/C326)-LOG10(35167/47667)</f>
        <v>-1.4242200024380709</v>
      </c>
      <c r="N326">
        <f>LOG10(G326/C326)-LOG10(34734/47667)</f>
        <v>-1.3492035528172104</v>
      </c>
      <c r="O326">
        <f>LOG10(H326/C326)-LOG10(33378/47667)</f>
        <v>-1.5328239059719484</v>
      </c>
      <c r="Q326">
        <f>AVERAGE(K326:O326)</f>
        <v>-1.5464426884008613</v>
      </c>
      <c r="R326">
        <f>STDEV(K326:O326)</f>
        <v>0.19604316459726226</v>
      </c>
    </row>
    <row r="327" spans="1:18">
      <c r="A327">
        <v>325</v>
      </c>
      <c r="C327">
        <v>1411</v>
      </c>
      <c r="D327">
        <v>13</v>
      </c>
      <c r="E327">
        <v>42</v>
      </c>
      <c r="F327">
        <v>25</v>
      </c>
      <c r="G327">
        <v>23</v>
      </c>
      <c r="H327">
        <v>31</v>
      </c>
      <c r="J327" s="2"/>
      <c r="K327">
        <f t="shared" si="5"/>
        <v>-2.0931961969778707</v>
      </c>
      <c r="L327">
        <f>LOG10(E327/C327)-LOG10(37995/47667)</f>
        <v>-1.427786352443547</v>
      </c>
      <c r="M327">
        <f>LOG10(F327/C327)-LOG10(35167/47667)</f>
        <v>-1.619504506753094</v>
      </c>
      <c r="N327">
        <f>LOG10(G327/C327)-LOG10(34734/47667)</f>
        <v>-1.6503361579280726</v>
      </c>
      <c r="O327">
        <f>LOG10(H327/C327)-LOG10(33378/47667)</f>
        <v>-1.5034078104854174</v>
      </c>
      <c r="Q327">
        <f>AVERAGE(K327:O327)</f>
        <v>-1.6588462049176003</v>
      </c>
      <c r="R327">
        <f>STDEV(K327:O327)</f>
        <v>0.25876140342310422</v>
      </c>
    </row>
    <row r="328" spans="1:18">
      <c r="A328">
        <v>326</v>
      </c>
      <c r="C328">
        <v>470</v>
      </c>
      <c r="D328">
        <v>3</v>
      </c>
      <c r="E328">
        <v>7</v>
      </c>
      <c r="F328">
        <v>8</v>
      </c>
      <c r="G328">
        <v>19</v>
      </c>
      <c r="H328">
        <v>6</v>
      </c>
      <c r="J328" s="2"/>
      <c r="K328">
        <f t="shared" si="5"/>
        <v>-2.2525891387464148</v>
      </c>
      <c r="L328">
        <f>LOG10(E328/C328)-LOG10(37995/47667)</f>
        <v>-1.7285084470085603</v>
      </c>
      <c r="M328">
        <f>LOG10(F328/C328)-LOG10(35167/47667)</f>
        <v>-1.6369253726145574</v>
      </c>
      <c r="N328">
        <f>LOG10(G328/C328)-LOG10(34734/47667)</f>
        <v>-1.2558812371742061</v>
      </c>
      <c r="O328">
        <f>LOG10(H328/C328)-LOG10(33378/47667)</f>
        <v>-1.7391890981174161</v>
      </c>
      <c r="Q328">
        <f>AVERAGE(K328:O328)</f>
        <v>-1.722618658732231</v>
      </c>
      <c r="R328">
        <f>STDEV(K328:O328)</f>
        <v>0.35579669009214354</v>
      </c>
    </row>
    <row r="329" spans="1:18">
      <c r="A329">
        <v>327</v>
      </c>
      <c r="C329">
        <v>546</v>
      </c>
      <c r="D329">
        <v>13</v>
      </c>
      <c r="E329">
        <v>15</v>
      </c>
      <c r="F329">
        <v>5</v>
      </c>
      <c r="G329">
        <v>5</v>
      </c>
      <c r="H329">
        <v>22</v>
      </c>
      <c r="J329" s="2"/>
      <c r="K329">
        <f t="shared" si="5"/>
        <v>-1.6808618259282604</v>
      </c>
      <c r="L329">
        <f>LOG10(E329/C329)-LOG10(37995/47667)</f>
        <v>-1.4626100127361557</v>
      </c>
      <c r="M329">
        <f>LOG10(F329/C329)-LOG10(35167/47667)</f>
        <v>-1.9061401400395022</v>
      </c>
      <c r="N329">
        <f>LOG10(G329/C329)-LOG10(34734/47667)</f>
        <v>-1.9007596185600362</v>
      </c>
      <c r="O329">
        <f>LOG10(H329/C329)-LOG10(33378/47667)</f>
        <v>-1.2400124524478731</v>
      </c>
      <c r="Q329">
        <f>AVERAGE(K329:O329)</f>
        <v>-1.6380768099423655</v>
      </c>
      <c r="R329">
        <f>STDEV(K329:O329)</f>
        <v>0.28806882602437928</v>
      </c>
    </row>
    <row r="330" spans="1:18">
      <c r="A330">
        <v>328</v>
      </c>
      <c r="C330">
        <v>1749</v>
      </c>
      <c r="D330">
        <v>57</v>
      </c>
      <c r="E330">
        <v>26</v>
      </c>
      <c r="F330">
        <v>68</v>
      </c>
      <c r="G330">
        <v>40</v>
      </c>
      <c r="H330">
        <v>91</v>
      </c>
      <c r="J330" s="2"/>
      <c r="K330">
        <f t="shared" si="5"/>
        <v>-1.544527489336545</v>
      </c>
      <c r="L330">
        <f>LOG10(E330/C330)-LOG10(37995/47667)</f>
        <v>-1.7293250905949582</v>
      </c>
      <c r="M330">
        <f>LOG10(F330/C330)-LOG10(35167/47667)</f>
        <v>-1.2781983984432239</v>
      </c>
      <c r="N330">
        <f>LOG10(G330/C330)-LOG10(34734/47667)</f>
        <v>-1.5032667983420318</v>
      </c>
      <c r="O330">
        <f>LOG10(H330/C330)-LOG10(33378/47667)</f>
        <v>-1.1289909077229252</v>
      </c>
      <c r="Q330">
        <f>AVERAGE(K330:O330)</f>
        <v>-1.4368617368879368</v>
      </c>
      <c r="R330">
        <f>STDEV(K330:O330)</f>
        <v>0.23531620328601446</v>
      </c>
    </row>
    <row r="331" spans="1:18">
      <c r="A331">
        <v>329</v>
      </c>
      <c r="C331">
        <v>839</v>
      </c>
      <c r="D331">
        <v>23</v>
      </c>
      <c r="E331">
        <v>19</v>
      </c>
      <c r="F331">
        <v>13</v>
      </c>
      <c r="G331">
        <v>10</v>
      </c>
      <c r="H331">
        <v>8</v>
      </c>
      <c r="J331" s="2"/>
      <c r="K331">
        <f t="shared" si="5"/>
        <v>-1.6196466603414672</v>
      </c>
      <c r="L331">
        <f>LOG10(E331/C331)-LOG10(37995/47667)</f>
        <v>-1.5465169889629711</v>
      </c>
      <c r="M331">
        <f>LOG10(F331/C331)-LOG10(35167/47667)</f>
        <v>-1.6777361101926471</v>
      </c>
      <c r="N331">
        <f>LOG10(G331/C331)-LOG10(34734/47667)</f>
        <v>-1.7862989410200178</v>
      </c>
      <c r="O331">
        <f>LOG10(H331/C331)-LOG10(33378/47667)</f>
        <v>-1.8659144644020988</v>
      </c>
      <c r="Q331">
        <f>AVERAGE(K331:O331)</f>
        <v>-1.6992226329838402</v>
      </c>
      <c r="R331">
        <f>STDEV(K331:O331)</f>
        <v>0.12794673684999652</v>
      </c>
    </row>
    <row r="332" spans="1:18">
      <c r="A332">
        <v>330</v>
      </c>
      <c r="C332">
        <v>1022</v>
      </c>
      <c r="D332">
        <v>48</v>
      </c>
      <c r="E332">
        <v>40</v>
      </c>
      <c r="F332">
        <v>42</v>
      </c>
      <c r="G332">
        <v>28</v>
      </c>
      <c r="H332">
        <v>46</v>
      </c>
      <c r="J332" s="2"/>
      <c r="K332">
        <f t="shared" si="5"/>
        <v>-1.3858221939534665</v>
      </c>
      <c r="L332">
        <f>LOG10(E332/C332)-LOG10(37995/47667)</f>
        <v>-1.3088995335578313</v>
      </c>
      <c r="M332">
        <f>LOG10(F332/C332)-LOG10(35167/47667)</f>
        <v>-1.2541191070715771</v>
      </c>
      <c r="N332">
        <f>LOG10(G332/C332)-LOG10(34734/47667)</f>
        <v>-1.4248298446477923</v>
      </c>
      <c r="O332">
        <f>LOG10(H332/C332)-LOG10(33378/47667)</f>
        <v>-1.1919355546824622</v>
      </c>
      <c r="Q332">
        <f>AVERAGE(K332:O332)</f>
        <v>-1.3131212467826259</v>
      </c>
      <c r="R332">
        <f>STDEV(K332:O332)</f>
        <v>9.4801484533957883E-2</v>
      </c>
    </row>
    <row r="333" spans="1:18">
      <c r="A333">
        <v>331</v>
      </c>
      <c r="C333">
        <v>1135</v>
      </c>
      <c r="D333">
        <v>36</v>
      </c>
      <c r="E333">
        <v>12</v>
      </c>
      <c r="F333">
        <v>37</v>
      </c>
      <c r="G333">
        <v>21</v>
      </c>
      <c r="H333">
        <v>50</v>
      </c>
      <c r="J333" s="2"/>
      <c r="K333">
        <f t="shared" si="5"/>
        <v>-1.5563058962922141</v>
      </c>
      <c r="L333">
        <f>LOG10(E333/C333)-LOG10(37995/47667)</f>
        <v>-1.8773232445686165</v>
      </c>
      <c r="M333">
        <f>LOG10(F333/C333)-LOG10(35167/47667)</f>
        <v>-1.3547116391329301</v>
      </c>
      <c r="N333">
        <f>LOG10(G333/C333)-LOG10(34734/47667)</f>
        <v>-1.5953135469865398</v>
      </c>
      <c r="O333">
        <f>LOG10(H333/C333)-LOG10(33378/47667)</f>
        <v>-1.2012683477584649</v>
      </c>
      <c r="Q333">
        <f>AVERAGE(K333:O333)</f>
        <v>-1.5169845349477531</v>
      </c>
      <c r="R333">
        <f>STDEV(K333:O333)</f>
        <v>0.25667819970035227</v>
      </c>
    </row>
    <row r="334" spans="1:18">
      <c r="A334">
        <v>332</v>
      </c>
      <c r="C334">
        <v>931</v>
      </c>
      <c r="D334">
        <v>21</v>
      </c>
      <c r="E334">
        <v>14</v>
      </c>
      <c r="F334">
        <v>14</v>
      </c>
      <c r="G334">
        <v>26</v>
      </c>
      <c r="H334">
        <v>23</v>
      </c>
      <c r="J334" s="2"/>
      <c r="K334">
        <f t="shared" si="5"/>
        <v>-1.7043429217777832</v>
      </c>
      <c r="L334">
        <f>LOG10(E334/C334)-LOG10(37995/47667)</f>
        <v>-1.7243302743902043</v>
      </c>
      <c r="M334">
        <f>LOG10(F334/C334)-LOG10(35167/47667)</f>
        <v>-1.6907391469738882</v>
      </c>
      <c r="N334">
        <f>LOG10(G334/C334)-LOG10(34734/47667)</f>
        <v>-1.4165133132018424</v>
      </c>
      <c r="O334">
        <f>LOG10(H334/C334)-LOG10(33378/47667)</f>
        <v>-1.452464335529092</v>
      </c>
      <c r="Q334">
        <f>AVERAGE(K334:O334)</f>
        <v>-1.5976779983745619</v>
      </c>
      <c r="R334">
        <f>STDEV(K334:O334)</f>
        <v>0.14998852732285209</v>
      </c>
    </row>
    <row r="335" spans="1:18">
      <c r="A335">
        <v>333</v>
      </c>
      <c r="C335">
        <v>925</v>
      </c>
      <c r="D335">
        <v>35</v>
      </c>
      <c r="E335">
        <v>52</v>
      </c>
      <c r="F335">
        <v>51</v>
      </c>
      <c r="G335">
        <v>49</v>
      </c>
      <c r="H335">
        <v>61</v>
      </c>
      <c r="J335" s="2"/>
      <c r="K335">
        <f t="shared" si="5"/>
        <v>-1.4796862239191169</v>
      </c>
      <c r="L335">
        <f>LOG10(E335/C335)-LOG10(37995/47667)</f>
        <v>-1.1516470181913332</v>
      </c>
      <c r="M335">
        <f>LOG10(F335/C335)-LOG10(35167/47667)</f>
        <v>-1.1264890583118798</v>
      </c>
      <c r="N335">
        <f>LOG10(G335/C335)-LOG10(34734/47667)</f>
        <v>-1.1384826329018365</v>
      </c>
      <c r="O335">
        <f>LOG10(H335/C335)-LOG10(33378/47667)</f>
        <v>-1.0260543882936077</v>
      </c>
      <c r="Q335">
        <f>AVERAGE(K335:O335)</f>
        <v>-1.1844718643235548</v>
      </c>
      <c r="R335">
        <f>STDEV(K335:O335)</f>
        <v>0.17233840296526232</v>
      </c>
    </row>
    <row r="336" spans="1:18">
      <c r="A336">
        <v>334</v>
      </c>
      <c r="C336">
        <v>743</v>
      </c>
      <c r="D336">
        <v>27</v>
      </c>
      <c r="E336">
        <v>31</v>
      </c>
      <c r="F336">
        <v>31</v>
      </c>
      <c r="G336">
        <v>14</v>
      </c>
      <c r="H336">
        <v>21</v>
      </c>
      <c r="J336" s="2"/>
      <c r="K336">
        <f t="shared" si="5"/>
        <v>-1.4972375851319479</v>
      </c>
      <c r="L336">
        <f>LOG10(E336/C336)-LOG10(37995/47667)</f>
        <v>-1.2811357490134023</v>
      </c>
      <c r="M336">
        <f>LOG10(F336/C336)-LOG10(35167/47667)</f>
        <v>-1.2475446215970862</v>
      </c>
      <c r="N336">
        <f>LOG10(G336/C336)-LOG10(34734/47667)</f>
        <v>-1.5873977582736549</v>
      </c>
      <c r="O336">
        <f>LOG10(H336/C336)-LOG10(33378/47667)</f>
        <v>-1.3940120095919981</v>
      </c>
      <c r="Q336">
        <f>AVERAGE(K336:O336)</f>
        <v>-1.4014655447216178</v>
      </c>
      <c r="R336">
        <f>STDEV(K336:O336)</f>
        <v>0.14315161303434162</v>
      </c>
    </row>
    <row r="337" spans="1:18">
      <c r="A337">
        <v>335</v>
      </c>
      <c r="C337">
        <v>1798</v>
      </c>
      <c r="D337">
        <v>182</v>
      </c>
      <c r="E337">
        <v>47</v>
      </c>
      <c r="F337">
        <v>42</v>
      </c>
      <c r="G337">
        <v>157</v>
      </c>
      <c r="H337">
        <v>55</v>
      </c>
      <c r="J337" s="2"/>
      <c r="K337">
        <f t="shared" si="5"/>
        <v>-1.0523308349424949</v>
      </c>
      <c r="L337">
        <f>LOG10(E337/C337)-LOG10(37995/47667)</f>
        <v>-1.4842004585485922</v>
      </c>
      <c r="M337">
        <f>LOG10(F337/C337)-LOG10(35167/47667)</f>
        <v>-1.499457898670093</v>
      </c>
      <c r="N337">
        <f>LOG10(G337/C337)-LOG10(34734/47667)</f>
        <v>-0.92142701517929393</v>
      </c>
      <c r="O337">
        <f>LOG10(H337/C337)-LOG10(33378/47667)</f>
        <v>-1.3596694884683083</v>
      </c>
      <c r="Q337">
        <f>AVERAGE(K337:O337)</f>
        <v>-1.2634171391617564</v>
      </c>
      <c r="R337">
        <f>STDEV(K337:O337)</f>
        <v>0.26231646047582541</v>
      </c>
    </row>
    <row r="338" spans="1:18">
      <c r="A338">
        <v>336</v>
      </c>
      <c r="C338">
        <v>2088</v>
      </c>
      <c r="D338">
        <v>33</v>
      </c>
      <c r="E338">
        <v>55</v>
      </c>
      <c r="F338">
        <v>64</v>
      </c>
      <c r="G338">
        <v>46</v>
      </c>
      <c r="H338">
        <v>50</v>
      </c>
      <c r="J338" s="2"/>
      <c r="K338">
        <f t="shared" si="5"/>
        <v>-1.8588290899826969</v>
      </c>
      <c r="L338">
        <f>LOG10(E338/C338)-LOG10(37995/47667)</f>
        <v>-1.4808764339230804</v>
      </c>
      <c r="M338">
        <f>LOG10(F338/C338)-LOG10(35167/47667)</f>
        <v>-1.3814680220171209</v>
      </c>
      <c r="N338">
        <f>LOG10(G338/C338)-LOG10(34734/47667)</f>
        <v>-1.5195096428399681</v>
      </c>
      <c r="O338">
        <f>LOG10(H338/C338)-LOG10(33378/47667)</f>
        <v>-1.4660029805595478</v>
      </c>
      <c r="Q338">
        <f>AVERAGE(K338:O338)</f>
        <v>-1.5413372338644828</v>
      </c>
      <c r="R338">
        <f>STDEV(K338:O338)</f>
        <v>0.18450368924399921</v>
      </c>
    </row>
    <row r="339" spans="1:18">
      <c r="A339">
        <v>337</v>
      </c>
      <c r="C339">
        <v>711</v>
      </c>
      <c r="D339">
        <v>49</v>
      </c>
      <c r="E339">
        <v>46</v>
      </c>
      <c r="F339">
        <v>43</v>
      </c>
      <c r="G339">
        <v>29</v>
      </c>
      <c r="H339">
        <v>24</v>
      </c>
      <c r="J339" s="2"/>
      <c r="K339">
        <f t="shared" si="5"/>
        <v>-1.2192860562316126</v>
      </c>
      <c r="L339">
        <f>LOG10(E339/C339)-LOG10(37995/47667)</f>
        <v>-1.090620398135292</v>
      </c>
      <c r="M339">
        <f>LOG10(F339/C339)-LOG10(35167/47667)</f>
        <v>-1.0863186468209634</v>
      </c>
      <c r="N339">
        <f>LOG10(G339/C339)-LOG10(34734/47667)</f>
        <v>-1.2520085830221279</v>
      </c>
      <c r="O339">
        <f>LOG10(H339/C339)-LOG10(33378/47667)</f>
        <v>-1.3169008495835024</v>
      </c>
      <c r="Q339">
        <f>AVERAGE(K339:O339)</f>
        <v>-1.1930269067586998</v>
      </c>
      <c r="R339">
        <f>STDEV(K339:O339)</f>
        <v>0.1017188287931771</v>
      </c>
    </row>
    <row r="340" spans="1:18">
      <c r="A340">
        <v>338</v>
      </c>
      <c r="C340">
        <v>991</v>
      </c>
      <c r="D340">
        <v>31</v>
      </c>
      <c r="E340">
        <v>41</v>
      </c>
      <c r="F340">
        <v>16</v>
      </c>
      <c r="G340">
        <v>49</v>
      </c>
      <c r="H340">
        <v>26</v>
      </c>
      <c r="J340" s="2"/>
      <c r="K340">
        <f t="shared" si="5"/>
        <v>-1.5623244961813625</v>
      </c>
      <c r="L340">
        <f>LOG10(E340/C340)-LOG10(37995/47667)</f>
        <v>-1.2847984268526396</v>
      </c>
      <c r="M340">
        <f>LOG10(F340/C340)-LOG10(35167/47667)</f>
        <v>-1.6598711735001341</v>
      </c>
      <c r="N340">
        <f>LOG10(G340/C340)-LOG10(34734/47667)</f>
        <v>-1.1684145546480793</v>
      </c>
      <c r="O340">
        <f>LOG10(H340/C340)-LOG10(33378/47667)</f>
        <v>-1.4263427970797995</v>
      </c>
      <c r="Q340">
        <f>AVERAGE(K340:O340)</f>
        <v>-1.420350289652403</v>
      </c>
      <c r="R340">
        <f>STDEV(K340:O340)</f>
        <v>0.19963013383796196</v>
      </c>
    </row>
    <row r="341" spans="1:18">
      <c r="A341">
        <v>339</v>
      </c>
      <c r="C341">
        <v>1241</v>
      </c>
      <c r="D341">
        <v>45</v>
      </c>
      <c r="E341">
        <v>30</v>
      </c>
      <c r="F341">
        <v>32</v>
      </c>
      <c r="G341">
        <v>30</v>
      </c>
      <c r="H341">
        <v>26</v>
      </c>
      <c r="J341" s="2"/>
      <c r="K341">
        <f t="shared" si="5"/>
        <v>-1.4981718032537459</v>
      </c>
      <c r="L341">
        <f>LOG10(E341/C341)-LOG10(37995/47667)</f>
        <v>-1.5181591558661671</v>
      </c>
      <c r="M341">
        <f>LOG10(F341/C341)-LOG10(35167/47667)</f>
        <v>-1.4565393048496076</v>
      </c>
      <c r="N341">
        <f>LOG10(G341/C341)-LOG10(34734/47667)</f>
        <v>-1.479187506970385</v>
      </c>
      <c r="O341">
        <f>LOG10(H341/C341)-LOG10(33378/47667)</f>
        <v>-1.524040924093254</v>
      </c>
      <c r="Q341">
        <f>AVERAGE(K341:O341)</f>
        <v>-1.495219739006632</v>
      </c>
      <c r="R341">
        <f>STDEV(K341:O341)</f>
        <v>2.7923111796556172E-2</v>
      </c>
    </row>
    <row r="342" spans="1:18">
      <c r="A342">
        <v>340</v>
      </c>
      <c r="C342">
        <v>1437</v>
      </c>
      <c r="D342">
        <v>54</v>
      </c>
      <c r="E342">
        <v>104</v>
      </c>
      <c r="F342">
        <v>70</v>
      </c>
      <c r="G342">
        <v>39</v>
      </c>
      <c r="H342">
        <v>26</v>
      </c>
      <c r="J342" s="2"/>
      <c r="K342">
        <f t="shared" si="5"/>
        <v>-1.482675543841617</v>
      </c>
      <c r="L342">
        <f>LOG10(E342/C342)-LOG10(37995/47667)</f>
        <v>-1.0419320579225451</v>
      </c>
      <c r="M342">
        <f>LOG10(F342/C342)-LOG10(35167/47667)</f>
        <v>-1.1802762297907525</v>
      </c>
      <c r="N342">
        <f>LOG10(G342/C342)-LOG10(34734/47667)</f>
        <v>-1.4289291412990441</v>
      </c>
      <c r="O342">
        <f>LOG10(H342/C342)-LOG10(33378/47667)</f>
        <v>-1.5877259107287498</v>
      </c>
      <c r="Q342">
        <f>AVERAGE(K342:O342)</f>
        <v>-1.3443077767165417</v>
      </c>
      <c r="R342">
        <f>STDEV(K342:O342)</f>
        <v>0.22577434862713333</v>
      </c>
    </row>
    <row r="343" spans="1:18">
      <c r="A343">
        <v>341</v>
      </c>
      <c r="C343">
        <v>437</v>
      </c>
      <c r="D343">
        <v>12</v>
      </c>
      <c r="E343">
        <v>14</v>
      </c>
      <c r="F343">
        <v>3</v>
      </c>
      <c r="G343">
        <v>8</v>
      </c>
      <c r="H343">
        <v>7</v>
      </c>
      <c r="J343" s="2"/>
      <c r="K343">
        <f t="shared" si="5"/>
        <v>-1.6189127264531569</v>
      </c>
      <c r="L343">
        <f>LOG10(E343/C343)-LOG10(37995/47667)</f>
        <v>-1.3958620303792835</v>
      </c>
      <c r="M343">
        <f>LOG10(F343/C343)-LOG10(35167/47667)</f>
        <v>-2.0312776839215427</v>
      </c>
      <c r="N343">
        <f>LOG10(G343/C343)-LOG10(34734/47667)</f>
        <v>-1.5999284301697958</v>
      </c>
      <c r="O343">
        <f>LOG10(H343/C343)-LOG10(33378/47667)</f>
        <v>-1.6406258875215072</v>
      </c>
      <c r="Q343">
        <f>AVERAGE(K343:O343)</f>
        <v>-1.6573213516890573</v>
      </c>
      <c r="R343">
        <f>STDEV(K343:O343)</f>
        <v>0.23089620155674934</v>
      </c>
    </row>
    <row r="344" spans="1:18">
      <c r="A344">
        <v>342</v>
      </c>
      <c r="C344">
        <v>1026</v>
      </c>
      <c r="D344">
        <v>30</v>
      </c>
      <c r="E344">
        <v>28</v>
      </c>
      <c r="F344">
        <v>46</v>
      </c>
      <c r="G344">
        <v>39</v>
      </c>
      <c r="H344">
        <v>50</v>
      </c>
      <c r="J344" s="2"/>
      <c r="K344">
        <f t="shared" si="5"/>
        <v>-1.5916386415864949</v>
      </c>
      <c r="L344">
        <f>LOG10(E344/C344)-LOG10(37995/47667)</f>
        <v>-1.465497958520678</v>
      </c>
      <c r="M344">
        <f>LOG10(F344/C344)-LOG10(35167/47667)</f>
        <v>-1.216307030765007</v>
      </c>
      <c r="N344">
        <f>LOG10(G344/C344)-LOG10(34734/47667)</f>
        <v>-1.282619733940616</v>
      </c>
      <c r="O344">
        <f>LOG10(H344/C344)-LOG10(33378/47667)</f>
        <v>-1.1574198470051209</v>
      </c>
      <c r="Q344">
        <f>AVERAGE(K344:O344)</f>
        <v>-1.3426966423635833</v>
      </c>
      <c r="R344">
        <f>STDEV(K344:O344)</f>
        <v>0.1809442883673151</v>
      </c>
    </row>
    <row r="345" spans="1:18">
      <c r="A345">
        <v>343</v>
      </c>
      <c r="C345">
        <v>1372</v>
      </c>
      <c r="D345">
        <v>45</v>
      </c>
      <c r="E345">
        <v>39</v>
      </c>
      <c r="F345">
        <v>30</v>
      </c>
      <c r="G345">
        <v>48</v>
      </c>
      <c r="H345">
        <v>21</v>
      </c>
      <c r="J345" s="2"/>
      <c r="K345">
        <f t="shared" si="5"/>
        <v>-1.5417541331257492</v>
      </c>
      <c r="L345">
        <f>LOG10(E345/C345)-LOG10(37995/47667)</f>
        <v>-1.4477981334313335</v>
      </c>
      <c r="M345">
        <f>LOG10(F345/C345)-LOG10(35167/47667)</f>
        <v>-1.5281503583218541</v>
      </c>
      <c r="N345">
        <f>LOG10(G345/C345)-LOG10(34734/47667)</f>
        <v>-1.3186498541864633</v>
      </c>
      <c r="O345">
        <f>LOG10(H345/C345)-LOG10(33378/47667)</f>
        <v>-1.6603773072021557</v>
      </c>
      <c r="Q345">
        <f>AVERAGE(K345:O345)</f>
        <v>-1.4993459572535113</v>
      </c>
      <c r="R345">
        <f>STDEV(K345:O345)</f>
        <v>0.12636010285333232</v>
      </c>
    </row>
    <row r="346" spans="1:18">
      <c r="A346">
        <v>344</v>
      </c>
      <c r="C346">
        <v>842</v>
      </c>
      <c r="D346">
        <v>11</v>
      </c>
      <c r="E346">
        <v>23</v>
      </c>
      <c r="F346">
        <v>18</v>
      </c>
      <c r="G346">
        <v>23</v>
      </c>
      <c r="H346">
        <v>15</v>
      </c>
      <c r="J346" s="2"/>
      <c r="K346">
        <f t="shared" si="5"/>
        <v>-1.9415319418717842</v>
      </c>
      <c r="L346">
        <f>LOG10(E346/C346)-LOG10(37995/47667)</f>
        <v>-1.4650928845691564</v>
      </c>
      <c r="M346">
        <f>LOG10(F346/C346)-LOG10(35167/47667)</f>
        <v>-1.5379570880671272</v>
      </c>
      <c r="N346">
        <f>LOG10(G346/C346)-LOG10(34734/47667)</f>
        <v>-1.4261212356733743</v>
      </c>
      <c r="O346">
        <f>LOG10(H346/C346)-LOG10(33378/47667)</f>
        <v>-1.5944633230093104</v>
      </c>
      <c r="Q346">
        <f>AVERAGE(K346:O346)</f>
        <v>-1.5930332946381505</v>
      </c>
      <c r="R346">
        <f>STDEV(K346:O346)</f>
        <v>0.20537473347003624</v>
      </c>
    </row>
    <row r="347" spans="1:18">
      <c r="A347">
        <v>345</v>
      </c>
      <c r="C347">
        <v>2113</v>
      </c>
      <c r="D347">
        <v>58</v>
      </c>
      <c r="E347">
        <v>101</v>
      </c>
      <c r="F347">
        <v>21</v>
      </c>
      <c r="G347">
        <v>60</v>
      </c>
      <c r="H347">
        <v>34</v>
      </c>
      <c r="J347" s="2"/>
      <c r="K347">
        <f t="shared" si="5"/>
        <v>-1.6190840390197359</v>
      </c>
      <c r="L347">
        <f>LOG10(E347/C347)-LOG10(37995/47667)</f>
        <v>-1.2220867523567704</v>
      </c>
      <c r="M347">
        <f>LOG10(F347/C347)-LOG10(35167/47667)</f>
        <v>-1.8705977039891779</v>
      </c>
      <c r="N347">
        <f>LOG10(G347/C347)-LOG10(34734/47667)</f>
        <v>-1.4092852268599874</v>
      </c>
      <c r="O347">
        <f>LOG10(H347/C347)-LOG10(33378/47667)</f>
        <v>-1.6386630705754004</v>
      </c>
      <c r="Q347">
        <f>AVERAGE(K347:O347)</f>
        <v>-1.5519433585602145</v>
      </c>
      <c r="R347">
        <f>STDEV(K347:O347)</f>
        <v>0.24633589592342167</v>
      </c>
    </row>
    <row r="348" spans="1:18">
      <c r="A348">
        <v>346</v>
      </c>
      <c r="C348">
        <v>1702</v>
      </c>
      <c r="D348">
        <v>46</v>
      </c>
      <c r="E348">
        <v>92</v>
      </c>
      <c r="F348">
        <v>62</v>
      </c>
      <c r="G348">
        <v>42</v>
      </c>
      <c r="H348">
        <v>60</v>
      </c>
      <c r="J348" s="2"/>
      <c r="K348">
        <f t="shared" si="5"/>
        <v>-1.6258142595973548</v>
      </c>
      <c r="L348">
        <f>LOG10(E348/C348)-LOG10(37995/47667)</f>
        <v>-1.1686803574901135</v>
      </c>
      <c r="M348">
        <f>LOG10(F348/C348)-LOG10(35167/47667)</f>
        <v>-1.3064853679210988</v>
      </c>
      <c r="N348">
        <f>LOG10(G348/C348)-LOG10(34734/47667)</f>
        <v>-1.4702472455419862</v>
      </c>
      <c r="O348">
        <f>LOG10(H348/C348)-LOG10(33378/47667)</f>
        <v>-1.2980507959302676</v>
      </c>
      <c r="Q348">
        <f>AVERAGE(K348:O348)</f>
        <v>-1.3738556052961644</v>
      </c>
      <c r="R348">
        <f>STDEV(K348:O348)</f>
        <v>0.17688733144701965</v>
      </c>
    </row>
    <row r="349" spans="1:18">
      <c r="A349">
        <v>347</v>
      </c>
      <c r="C349">
        <v>1190</v>
      </c>
      <c r="D349">
        <v>77</v>
      </c>
      <c r="E349">
        <v>71</v>
      </c>
      <c r="F349">
        <v>57</v>
      </c>
      <c r="G349">
        <v>32</v>
      </c>
      <c r="H349">
        <v>69</v>
      </c>
      <c r="J349" s="2"/>
      <c r="K349">
        <f t="shared" si="5"/>
        <v>-1.2466687717504086</v>
      </c>
      <c r="L349">
        <f>LOG10(E349/C349)-LOG10(37995/47667)</f>
        <v>-1.1257972417605551</v>
      </c>
      <c r="M349">
        <f>LOG10(F349/C349)-LOG10(35167/47667)</f>
        <v>-1.187589607390823</v>
      </c>
      <c r="N349">
        <f>LOG10(G349/C349)-LOG10(34734/47667)</f>
        <v>-1.4329339632639424</v>
      </c>
      <c r="O349">
        <f>LOG10(H349/C349)-LOG10(33378/47667)</f>
        <v>-1.0819403612206175</v>
      </c>
      <c r="Q349">
        <f>AVERAGE(K349:O349)</f>
        <v>-1.2149859890772692</v>
      </c>
      <c r="R349">
        <f>STDEV(K349:O349)</f>
        <v>0.13684978227895886</v>
      </c>
    </row>
    <row r="350" spans="1:18">
      <c r="A350">
        <v>348</v>
      </c>
      <c r="C350">
        <v>916</v>
      </c>
      <c r="D350">
        <v>28</v>
      </c>
      <c r="E350">
        <v>48</v>
      </c>
      <c r="F350">
        <v>28</v>
      </c>
      <c r="G350">
        <v>33</v>
      </c>
      <c r="H350">
        <v>47</v>
      </c>
      <c r="J350" s="2"/>
      <c r="K350">
        <f t="shared" si="5"/>
        <v>-1.5723499778559911</v>
      </c>
      <c r="L350">
        <f>LOG10(E350/C350)-LOG10(37995/47667)</f>
        <v>-1.182162865379363</v>
      </c>
      <c r="M350">
        <f>LOG10(F350/C350)-LOG10(35167/47667)</f>
        <v>-1.3826549439964149</v>
      </c>
      <c r="N350">
        <f>LOG10(G350/C350)-LOG10(34734/47667)</f>
        <v>-1.3059185139812806</v>
      </c>
      <c r="O350">
        <f>LOG10(H350/C350)-LOG10(33378/47667)</f>
        <v>-1.1350401062974751</v>
      </c>
      <c r="Q350">
        <f>AVERAGE(K350:O350)</f>
        <v>-1.315625281502105</v>
      </c>
      <c r="R350">
        <f>STDEV(K350:O350)</f>
        <v>0.17386631986155762</v>
      </c>
    </row>
    <row r="351" spans="1:18">
      <c r="A351">
        <v>349</v>
      </c>
      <c r="C351">
        <v>1669</v>
      </c>
      <c r="D351">
        <v>16</v>
      </c>
      <c r="E351">
        <v>40</v>
      </c>
      <c r="F351">
        <v>24</v>
      </c>
      <c r="G351">
        <v>33</v>
      </c>
      <c r="H351">
        <v>30</v>
      </c>
      <c r="J351" s="2"/>
      <c r="K351">
        <f t="shared" si="5"/>
        <v>-2.0759488895536817</v>
      </c>
      <c r="L351">
        <f>LOG10(E351/C351)-LOG10(37995/47667)</f>
        <v>-1.5219049744383841</v>
      </c>
      <c r="M351">
        <f>LOG10(F351/C351)-LOG10(35167/47667)</f>
        <v>-1.7101625966384244</v>
      </c>
      <c r="N351">
        <f>LOG10(G351/C351)-LOG10(34734/47667)</f>
        <v>-1.5664793769926768</v>
      </c>
      <c r="O351">
        <f>LOG10(H351/C351)-LOG10(33378/47667)</f>
        <v>-1.5905775725249265</v>
      </c>
      <c r="Q351">
        <f>AVERAGE(K351:O351)</f>
        <v>-1.6930146820296188</v>
      </c>
      <c r="R351">
        <f>STDEV(K351:O351)</f>
        <v>0.22511982094205862</v>
      </c>
    </row>
    <row r="352" spans="1:18">
      <c r="A352">
        <v>350</v>
      </c>
      <c r="C352">
        <v>1396</v>
      </c>
      <c r="D352">
        <v>86</v>
      </c>
      <c r="E352">
        <v>143</v>
      </c>
      <c r="F352">
        <v>72</v>
      </c>
      <c r="G352">
        <v>58</v>
      </c>
      <c r="H352">
        <v>57</v>
      </c>
      <c r="J352" s="2"/>
      <c r="K352">
        <f t="shared" si="5"/>
        <v>-1.2679995025739343</v>
      </c>
      <c r="L352">
        <f>LOG10(E352/C352)-LOG10(37995/47667)</f>
        <v>-0.89105800990918016</v>
      </c>
      <c r="M352">
        <f>LOG10(F352/C352)-LOG10(35167/47667)</f>
        <v>-1.1554704235266575</v>
      </c>
      <c r="N352">
        <f>LOG10(G352/C352)-LOG10(34734/47667)</f>
        <v>-1.2439944049155227</v>
      </c>
      <c r="O352">
        <f>LOG10(H352/C352)-LOG10(33378/47667)</f>
        <v>-1.2342530531799931</v>
      </c>
      <c r="Q352">
        <f>AVERAGE(K352:O352)</f>
        <v>-1.1585550788210575</v>
      </c>
      <c r="R352">
        <f>STDEV(K352:O352)</f>
        <v>0.15538045294602898</v>
      </c>
    </row>
    <row r="353" spans="1:18">
      <c r="A353">
        <v>351</v>
      </c>
      <c r="C353">
        <v>803</v>
      </c>
      <c r="D353">
        <v>10</v>
      </c>
      <c r="E353">
        <v>10</v>
      </c>
      <c r="F353">
        <v>24</v>
      </c>
      <c r="G353">
        <v>15</v>
      </c>
      <c r="H353">
        <v>70</v>
      </c>
      <c r="J353" s="2"/>
      <c r="K353">
        <f t="shared" si="5"/>
        <v>-1.9623280808090409</v>
      </c>
      <c r="L353">
        <f>LOG10(E353/C353)-LOG10(37995/47667)</f>
        <v>-1.8062241743657808</v>
      </c>
      <c r="M353">
        <f>LOG10(F353/C353)-LOG10(35167/47667)</f>
        <v>-1.3924218052378585</v>
      </c>
      <c r="N353">
        <f>LOG10(G353/C353)-LOG10(34734/47667)</f>
        <v>-1.5911612664143173</v>
      </c>
      <c r="O353">
        <f>LOG10(H353/C353)-LOG10(33378/47667)</f>
        <v>-0.90485999582976628</v>
      </c>
      <c r="Q353">
        <f>AVERAGE(K353:O353)</f>
        <v>-1.5313990645313527</v>
      </c>
      <c r="R353">
        <f>STDEV(K353:O353)</f>
        <v>0.41129857222267568</v>
      </c>
    </row>
    <row r="354" spans="1:18">
      <c r="A354">
        <v>352</v>
      </c>
      <c r="C354">
        <v>510</v>
      </c>
      <c r="D354">
        <v>8</v>
      </c>
      <c r="E354">
        <v>24</v>
      </c>
      <c r="F354">
        <v>7</v>
      </c>
      <c r="G354">
        <v>14</v>
      </c>
      <c r="H354">
        <v>8</v>
      </c>
      <c r="J354" s="2"/>
      <c r="K354">
        <f t="shared" si="5"/>
        <v>-1.8620927246363526</v>
      </c>
      <c r="L354">
        <f>LOG10(E354/C354)-LOG10(37995/47667)</f>
        <v>-1.2288675634734301</v>
      </c>
      <c r="M354">
        <f>LOG10(F354/C354)-LOG10(35167/47667)</f>
        <v>-1.7303896377544632</v>
      </c>
      <c r="N354">
        <f>LOG10(G354/C354)-LOG10(34734/47667)</f>
        <v>-1.4239791206110159</v>
      </c>
      <c r="O354">
        <f>LOG10(H354/C354)-LOG10(33378/47667)</f>
        <v>-1.6497226796713349</v>
      </c>
      <c r="Q354">
        <f>AVERAGE(K354:O354)</f>
        <v>-1.5790103452293192</v>
      </c>
      <c r="R354">
        <f>STDEV(K354:O354)</f>
        <v>0.25233222455762822</v>
      </c>
    </row>
    <row r="355" spans="1:18">
      <c r="A355">
        <v>353</v>
      </c>
      <c r="C355">
        <v>1825</v>
      </c>
      <c r="D355">
        <v>29</v>
      </c>
      <c r="E355">
        <v>39</v>
      </c>
      <c r="F355">
        <v>28</v>
      </c>
      <c r="G355">
        <v>41</v>
      </c>
      <c r="H355">
        <v>32</v>
      </c>
      <c r="J355" s="2"/>
      <c r="K355">
        <f t="shared" si="5"/>
        <v>-1.8564774064238974</v>
      </c>
      <c r="L355">
        <f>LOG10(E355/C355)-LOG10(37995/47667)</f>
        <v>-1.571706890853094</v>
      </c>
      <c r="M355">
        <f>LOG10(F355/C355)-LOG10(35167/47667)</f>
        <v>-1.682022339121058</v>
      </c>
      <c r="N355">
        <f>LOG10(G355/C355)-LOG10(34734/47667)</f>
        <v>-1.5110159922640756</v>
      </c>
      <c r="O355">
        <f>LOG10(H355/C355)-LOG10(33378/47667)</f>
        <v>-1.6013553810379297</v>
      </c>
      <c r="Q355">
        <f>AVERAGE(K355:O355)</f>
        <v>-1.6445156019400109</v>
      </c>
      <c r="R355">
        <f>STDEV(K355:O355)</f>
        <v>0.13352960416712384</v>
      </c>
    </row>
    <row r="356" spans="1:18">
      <c r="A356">
        <v>354</v>
      </c>
      <c r="C356">
        <v>2357</v>
      </c>
      <c r="D356">
        <v>109</v>
      </c>
      <c r="E356">
        <v>75</v>
      </c>
      <c r="F356">
        <v>40</v>
      </c>
      <c r="G356">
        <v>97</v>
      </c>
      <c r="H356">
        <v>65</v>
      </c>
      <c r="J356" s="2"/>
      <c r="K356">
        <f t="shared" si="5"/>
        <v>-1.39254562011406</v>
      </c>
      <c r="L356">
        <f>LOG10(E356/C356)-LOG10(37995/47667)</f>
        <v>-1.3988069482197234</v>
      </c>
      <c r="M356">
        <f>LOG10(F356/C356)-LOG10(35167/47667)</f>
        <v>-1.6382170928671449</v>
      </c>
      <c r="N356">
        <f>LOG10(G356/C356)-LOG10(34734/47667)</f>
        <v>-1.2481248284493967</v>
      </c>
      <c r="O356">
        <f>LOG10(H356/C356)-LOG10(33378/47667)</f>
        <v>-1.4046887164468105</v>
      </c>
      <c r="Q356">
        <f>AVERAGE(K356:O356)</f>
        <v>-1.4164766412194272</v>
      </c>
      <c r="R356">
        <f>STDEV(K356:O356)</f>
        <v>0.14012050862755909</v>
      </c>
    </row>
    <row r="357" spans="1:18">
      <c r="A357">
        <v>355</v>
      </c>
      <c r="C357">
        <v>1356</v>
      </c>
      <c r="D357">
        <v>33</v>
      </c>
      <c r="E357">
        <v>26</v>
      </c>
      <c r="F357">
        <v>37</v>
      </c>
      <c r="G357">
        <v>38</v>
      </c>
      <c r="H357">
        <v>50</v>
      </c>
      <c r="J357" s="2"/>
      <c r="K357">
        <f t="shared" si="5"/>
        <v>-1.6713582851835169</v>
      </c>
      <c r="L357">
        <f>LOG10(E357/C357)-LOG10(37995/47667)</f>
        <v>-1.6187949706473264</v>
      </c>
      <c r="M357">
        <f>LOG10(F357/C357)-LOG10(35167/47667)</f>
        <v>-1.4319754671348333</v>
      </c>
      <c r="N357">
        <f>LOG10(G357/C357)-LOG10(34734/47667)</f>
        <v>-1.4150130731055521</v>
      </c>
      <c r="O357">
        <f>LOG10(H357/C357)-LOG10(33378/47667)</f>
        <v>-1.2785321757603678</v>
      </c>
      <c r="Q357">
        <f>AVERAGE(K357:O357)</f>
        <v>-1.4831347943663193</v>
      </c>
      <c r="R357">
        <f>STDEV(K357:O357)</f>
        <v>0.16043054816237926</v>
      </c>
    </row>
    <row r="358" spans="1:18">
      <c r="A358">
        <v>356</v>
      </c>
      <c r="C358">
        <v>1476</v>
      </c>
      <c r="D358">
        <v>54</v>
      </c>
      <c r="E358">
        <v>68</v>
      </c>
      <c r="F358">
        <v>53</v>
      </c>
      <c r="G358">
        <v>36</v>
      </c>
      <c r="H358">
        <v>58</v>
      </c>
      <c r="J358" s="2"/>
      <c r="K358">
        <f t="shared" si="5"/>
        <v>-1.4943051331944142</v>
      </c>
      <c r="L358">
        <f>LOG10(E358/C358)-LOG10(37995/47667)</f>
        <v>-1.238086073867886</v>
      </c>
      <c r="M358">
        <f>LOG10(F358/C358)-LOG10(35167/47667)</f>
        <v>-1.3127279895570174</v>
      </c>
      <c r="N358">
        <f>LOG10(G358/C358)-LOG10(34734/47667)</f>
        <v>-1.4753208369110531</v>
      </c>
      <c r="O358">
        <f>LOG10(H358/C358)-LOG10(33378/47667)</f>
        <v>-1.2509008544894276</v>
      </c>
      <c r="Q358">
        <f>AVERAGE(K358:O358)</f>
        <v>-1.3542681776039598</v>
      </c>
      <c r="R358">
        <f>STDEV(K358:O358)</f>
        <v>0.12265069016901345</v>
      </c>
    </row>
    <row r="359" spans="1:18">
      <c r="A359">
        <v>357</v>
      </c>
      <c r="C359">
        <v>2105</v>
      </c>
      <c r="D359">
        <v>50</v>
      </c>
      <c r="E359">
        <v>25</v>
      </c>
      <c r="F359">
        <v>106</v>
      </c>
      <c r="G359">
        <v>34</v>
      </c>
      <c r="H359">
        <v>115</v>
      </c>
      <c r="J359" s="2"/>
      <c r="K359">
        <f t="shared" si="5"/>
        <v>-1.6818946313660281</v>
      </c>
      <c r="L359">
        <f>LOG10(E359/C359)-LOG10(37995/47667)</f>
        <v>-1.8268207205867493</v>
      </c>
      <c r="M359">
        <f>LOG10(F359/C359)-LOG10(35167/47667)</f>
        <v>-1.1658637365777005</v>
      </c>
      <c r="N359">
        <f>LOG10(G359/C359)-LOG10(34734/47667)</f>
        <v>-1.6543101633207495</v>
      </c>
      <c r="O359">
        <f>LOG10(H359/C359)-LOG10(33378/47667)</f>
        <v>-1.1077967503834176</v>
      </c>
      <c r="Q359">
        <f>AVERAGE(K359:O359)</f>
        <v>-1.4873372004469292</v>
      </c>
      <c r="R359">
        <f>STDEV(K359:O359)</f>
        <v>0.32725287084673488</v>
      </c>
    </row>
    <row r="360" spans="1:18">
      <c r="A360">
        <v>358</v>
      </c>
      <c r="C360">
        <v>1236</v>
      </c>
      <c r="D360">
        <v>16</v>
      </c>
      <c r="E360">
        <v>38</v>
      </c>
      <c r="F360">
        <v>35</v>
      </c>
      <c r="G360">
        <v>91</v>
      </c>
      <c r="H360">
        <v>13</v>
      </c>
      <c r="J360" s="2"/>
      <c r="K360">
        <f t="shared" si="5"/>
        <v>-1.9455110236272322</v>
      </c>
      <c r="L360">
        <f>LOG10(E360/C360)-LOG10(37995/47667)</f>
        <v>-1.4137435032230865</v>
      </c>
      <c r="M360">
        <f>LOG10(F360/C360)-LOG10(35167/47667)</f>
        <v>-1.4158679280733051</v>
      </c>
      <c r="N360">
        <f>LOG10(G360/C360)-LOG10(34734/47667)</f>
        <v>-0.99551405862302123</v>
      </c>
      <c r="O360">
        <f>LOG10(H360/C360)-LOG10(33378/47667)</f>
        <v>-1.8233176090113024</v>
      </c>
      <c r="Q360">
        <f>AVERAGE(K360:O360)</f>
        <v>-1.5187908245115893</v>
      </c>
      <c r="R360">
        <f>STDEV(K360:O360)</f>
        <v>0.37758221848061263</v>
      </c>
    </row>
    <row r="361" spans="1:18">
      <c r="A361">
        <v>359</v>
      </c>
      <c r="C361">
        <v>776</v>
      </c>
      <c r="D361">
        <v>49</v>
      </c>
      <c r="E361">
        <v>61</v>
      </c>
      <c r="F361">
        <v>30</v>
      </c>
      <c r="G361">
        <v>58</v>
      </c>
      <c r="H361">
        <v>34</v>
      </c>
      <c r="J361" s="2"/>
      <c r="K361">
        <f t="shared" si="5"/>
        <v>-1.2572781767600347</v>
      </c>
      <c r="L361">
        <f>LOG10(E361/C361)-LOG10(37995/47667)</f>
        <v>-1.0060405153345211</v>
      </c>
      <c r="M361">
        <f>LOG10(F361/C361)-LOG10(35167/47667)</f>
        <v>-1.2806579682093095</v>
      </c>
      <c r="N361">
        <f>LOG10(G361/C361)-LOG10(34734/47667)</f>
        <v>-0.98897070788656893</v>
      </c>
      <c r="O361">
        <f>LOG10(H361/C361)-LOG10(33378/47667)</f>
        <v>-1.2036252947812756</v>
      </c>
      <c r="Q361">
        <f>AVERAGE(K361:O361)</f>
        <v>-1.1473145325943421</v>
      </c>
      <c r="R361">
        <f>STDEV(K361:O361)</f>
        <v>0.13970906517983039</v>
      </c>
    </row>
    <row r="362" spans="1:18">
      <c r="A362">
        <v>360</v>
      </c>
      <c r="C362">
        <v>711</v>
      </c>
      <c r="D362">
        <v>20</v>
      </c>
      <c r="E362">
        <v>49</v>
      </c>
      <c r="F362">
        <v>50</v>
      </c>
      <c r="G362">
        <v>29</v>
      </c>
      <c r="H362">
        <v>21</v>
      </c>
      <c r="J362" s="2"/>
      <c r="K362">
        <f t="shared" si="5"/>
        <v>-1.6084521405961449</v>
      </c>
      <c r="L362">
        <f>LOG10(E362/C362)-LOG10(37995/47667)</f>
        <v>-1.0631821497883525</v>
      </c>
      <c r="M362">
        <f>LOG10(F362/C362)-LOG10(35167/47667)</f>
        <v>-1.0208170980645312</v>
      </c>
      <c r="N362">
        <f>LOG10(G362/C362)-LOG10(34734/47667)</f>
        <v>-1.2520085830221279</v>
      </c>
      <c r="O362">
        <f>LOG10(H362/C362)-LOG10(33378/47667)</f>
        <v>-1.3748927965611892</v>
      </c>
      <c r="Q362">
        <f>AVERAGE(K362:O362)</f>
        <v>-1.2638705536064692</v>
      </c>
      <c r="R362">
        <f>STDEV(K362:O362)</f>
        <v>0.24008015981495892</v>
      </c>
    </row>
    <row r="363" spans="1:18">
      <c r="A363">
        <v>361</v>
      </c>
      <c r="C363">
        <v>737</v>
      </c>
      <c r="D363">
        <v>24</v>
      </c>
      <c r="E363">
        <v>27</v>
      </c>
      <c r="F363">
        <v>14</v>
      </c>
      <c r="G363">
        <v>33</v>
      </c>
      <c r="H363">
        <v>27</v>
      </c>
      <c r="J363" s="2"/>
      <c r="K363">
        <f t="shared" si="5"/>
        <v>-1.5448687816778053</v>
      </c>
      <c r="L363">
        <f>LOG10(E363/C363)-LOG10(37995/47667)</f>
        <v>-1.3376123527871639</v>
      </c>
      <c r="M363">
        <f>LOG10(F363/C363)-LOG10(35167/47667)</f>
        <v>-1.589256953851597</v>
      </c>
      <c r="N363">
        <f>LOG10(G363/C363)-LOG10(34734/47667)</f>
        <v>-1.2114905281724817</v>
      </c>
      <c r="O363">
        <f>LOG10(H363/C363)-LOG10(33378/47667)</f>
        <v>-1.2813462142654064</v>
      </c>
      <c r="Q363">
        <f>AVERAGE(K363:O363)</f>
        <v>-1.3929149661508908</v>
      </c>
      <c r="R363">
        <f>STDEV(K363:O363)</f>
        <v>0.16587716112034273</v>
      </c>
    </row>
    <row r="364" spans="1:18">
      <c r="A364">
        <v>362</v>
      </c>
      <c r="C364">
        <v>1064</v>
      </c>
      <c r="D364">
        <v>82</v>
      </c>
      <c r="E364">
        <v>62</v>
      </c>
      <c r="F364">
        <v>109</v>
      </c>
      <c r="G364">
        <v>131</v>
      </c>
      <c r="H364">
        <v>67</v>
      </c>
      <c r="J364" s="2"/>
      <c r="K364">
        <f t="shared" si="5"/>
        <v>-1.1707403111056724</v>
      </c>
      <c r="L364">
        <f>LOG10(E364/C364)-LOG10(37995/47667)</f>
        <v>-1.1360585675478752</v>
      </c>
      <c r="M364">
        <f>LOG10(F364/C364)-LOG10(35167/47667)</f>
        <v>-0.85743263168918926</v>
      </c>
      <c r="N364">
        <f>LOG10(G364/C364)-LOG10(34734/47667)</f>
        <v>-0.77220731249458285</v>
      </c>
      <c r="O364">
        <f>LOG10(H364/C364)-LOG10(33378/47667)</f>
        <v>-1.046109315823545</v>
      </c>
      <c r="Q364">
        <f>AVERAGE(K364:O364)</f>
        <v>-0.99650962773217311</v>
      </c>
      <c r="R364">
        <f>STDEV(K364:O364)</f>
        <v>0.17460262465132589</v>
      </c>
    </row>
    <row r="365" spans="1:18">
      <c r="A365">
        <v>363</v>
      </c>
      <c r="C365">
        <v>1625</v>
      </c>
      <c r="D365">
        <v>28</v>
      </c>
      <c r="E365">
        <v>45</v>
      </c>
      <c r="F365">
        <v>40</v>
      </c>
      <c r="G365">
        <v>38</v>
      </c>
      <c r="H365">
        <v>24</v>
      </c>
      <c r="J365" s="2"/>
      <c r="K365">
        <f t="shared" si="5"/>
        <v>-1.8213078695030338</v>
      </c>
      <c r="L365">
        <f>LOG10(E365/C365)-LOG10(37995/47667)</f>
        <v>-1.4591494806266492</v>
      </c>
      <c r="M365">
        <f>LOG10(F365/C365)-LOG10(35167/47667)</f>
        <v>-1.4767108756577145</v>
      </c>
      <c r="N365">
        <f>LOG10(G365/C365)-LOG10(34734/47667)</f>
        <v>-1.4936067488894007</v>
      </c>
      <c r="O365">
        <f>LOG10(H365/C365)-LOG10(33378/47667)</f>
        <v>-1.6758846141686294</v>
      </c>
      <c r="Q365">
        <f>AVERAGE(K365:O365)</f>
        <v>-1.5853319177690857</v>
      </c>
      <c r="R365">
        <f>STDEV(K365:O365)</f>
        <v>0.15812849637284113</v>
      </c>
    </row>
    <row r="366" spans="1:18">
      <c r="A366">
        <v>364</v>
      </c>
      <c r="C366">
        <v>1329</v>
      </c>
      <c r="D366">
        <v>28</v>
      </c>
      <c r="E366">
        <v>23</v>
      </c>
      <c r="F366">
        <v>41</v>
      </c>
      <c r="G366">
        <v>47</v>
      </c>
      <c r="H366">
        <v>36</v>
      </c>
      <c r="J366" s="2"/>
      <c r="K366">
        <f t="shared" si="5"/>
        <v>-1.7339794851308725</v>
      </c>
      <c r="L366">
        <f>LOG10(E366/C366)-LOG10(37995/47667)</f>
        <v>-1.6633057740122388</v>
      </c>
      <c r="M366">
        <f>LOG10(F366/C366)-LOG10(35167/47667)</f>
        <v>-1.3786586258937801</v>
      </c>
      <c r="N366">
        <f>LOG10(G366/C366)-LOG10(34734/47667)</f>
        <v>-1.3139641031983322</v>
      </c>
      <c r="O366">
        <f>LOG10(H366/C366)-LOG10(33378/47667)</f>
        <v>-1.4124649707407868</v>
      </c>
      <c r="Q366">
        <f>AVERAGE(K366:O366)</f>
        <v>-1.5004745917952023</v>
      </c>
      <c r="R366">
        <f>STDEV(K366:O366)</f>
        <v>0.18601714599545668</v>
      </c>
    </row>
    <row r="367" spans="1:18">
      <c r="A367">
        <v>365</v>
      </c>
      <c r="C367">
        <v>954</v>
      </c>
      <c r="D367">
        <v>27</v>
      </c>
      <c r="E367">
        <v>36</v>
      </c>
      <c r="F367">
        <v>36</v>
      </c>
      <c r="G367">
        <v>20</v>
      </c>
      <c r="H367">
        <v>28</v>
      </c>
      <c r="J367" s="2"/>
      <c r="K367">
        <f t="shared" si="5"/>
        <v>-1.6057971460754676</v>
      </c>
      <c r="L367">
        <f>LOG10(E367/C367)-LOG10(37995/47667)</f>
        <v>-1.3247545030239076</v>
      </c>
      <c r="M367">
        <f>LOG10(F367/C367)-LOG10(35167/47667)</f>
        <v>-1.2911633756075915</v>
      </c>
      <c r="N367">
        <f>LOG10(G367/C367)-LOG10(34734/47667)</f>
        <v>-1.5410553592314316</v>
      </c>
      <c r="O367">
        <f>LOG10(H367/C367)-LOG10(33378/47667)</f>
        <v>-1.3776328339272181</v>
      </c>
      <c r="Q367">
        <f>AVERAGE(K367:O367)</f>
        <v>-1.4280806435731233</v>
      </c>
      <c r="R367">
        <f>STDEV(K367:O367)</f>
        <v>0.13812499115452673</v>
      </c>
    </row>
    <row r="368" spans="1:18">
      <c r="A368">
        <v>366</v>
      </c>
      <c r="C368">
        <v>1298</v>
      </c>
      <c r="D368">
        <v>60</v>
      </c>
      <c r="E368">
        <v>25</v>
      </c>
      <c r="F368">
        <v>46</v>
      </c>
      <c r="G368">
        <v>27</v>
      </c>
      <c r="H368">
        <v>47</v>
      </c>
      <c r="J368" s="2"/>
      <c r="K368">
        <f t="shared" si="5"/>
        <v>-1.3927359776110666</v>
      </c>
      <c r="L368">
        <f>LOG10(E368/C368)-LOG10(37995/47667)</f>
        <v>-1.6168433128794126</v>
      </c>
      <c r="M368">
        <f>LOG10(F368/C368)-LOG10(35167/47667)</f>
        <v>-1.3184343624535599</v>
      </c>
      <c r="N368">
        <f>LOG10(G368/C368)-LOG10(34734/47667)</f>
        <v>-1.5444479084966807</v>
      </c>
      <c r="O368">
        <f>LOG10(H368/C368)-LOG10(33378/47667)</f>
        <v>-1.2864193250939751</v>
      </c>
      <c r="Q368">
        <f>AVERAGE(K368:O368)</f>
        <v>-1.4317761773069388</v>
      </c>
      <c r="R368">
        <f>STDEV(K368:O368)</f>
        <v>0.14356521370975148</v>
      </c>
    </row>
    <row r="369" spans="1:18">
      <c r="A369">
        <v>367</v>
      </c>
      <c r="C369">
        <v>630</v>
      </c>
      <c r="D369">
        <v>26</v>
      </c>
      <c r="E369">
        <v>23</v>
      </c>
      <c r="F369">
        <v>22</v>
      </c>
      <c r="G369">
        <v>28</v>
      </c>
      <c r="H369">
        <v>9</v>
      </c>
      <c r="J369" s="2"/>
      <c r="K369">
        <f t="shared" si="5"/>
        <v>-1.4419797370131235</v>
      </c>
      <c r="L369">
        <f>LOG10(E369/C369)-LOG10(37995/47667)</f>
        <v>-1.3391213425230886</v>
      </c>
      <c r="M369">
        <f>LOG10(F369/C369)-LOG10(35167/47667)</f>
        <v>-1.3248353703021591</v>
      </c>
      <c r="N369">
        <f>LOG10(G369/C369)-LOG10(34734/47667)</f>
        <v>-1.2147194983026801</v>
      </c>
      <c r="O369">
        <f>LOG10(H369/C369)-LOG10(33378/47667)</f>
        <v>-1.6903405305795991</v>
      </c>
      <c r="Q369">
        <f>AVERAGE(K369:O369)</f>
        <v>-1.4021992957441298</v>
      </c>
      <c r="R369">
        <f>STDEV(K369:O369)</f>
        <v>0.18008368492946741</v>
      </c>
    </row>
    <row r="370" spans="1:18">
      <c r="A370">
        <v>368</v>
      </c>
      <c r="C370">
        <v>1150</v>
      </c>
      <c r="D370">
        <v>28</v>
      </c>
      <c r="E370">
        <v>73</v>
      </c>
      <c r="F370">
        <v>22</v>
      </c>
      <c r="G370">
        <v>11</v>
      </c>
      <c r="H370">
        <v>32</v>
      </c>
      <c r="J370" s="2"/>
      <c r="K370">
        <f t="shared" si="5"/>
        <v>-1.6711523445417522</v>
      </c>
      <c r="L370">
        <f>LOG10(E370/C370)-LOG10(37995/47667)</f>
        <v>-1.0988836093202554</v>
      </c>
      <c r="M370">
        <f>LOG10(F370/C370)-LOG10(35167/47667)</f>
        <v>-1.586192661202189</v>
      </c>
      <c r="N370">
        <f>LOG10(G370/C370)-LOG10(34734/47667)</f>
        <v>-1.8818421353867041</v>
      </c>
      <c r="O370">
        <f>LOG10(H370/C370)-LOG10(33378/47667)</f>
        <v>-1.4007903525990479</v>
      </c>
      <c r="Q370">
        <f>AVERAGE(K370:O370)</f>
        <v>-1.52777222060999</v>
      </c>
      <c r="R370">
        <f>STDEV(K370:O370)</f>
        <v>0.29555293437269714</v>
      </c>
    </row>
    <row r="371" spans="1:18">
      <c r="A371">
        <v>369</v>
      </c>
      <c r="C371">
        <v>877</v>
      </c>
      <c r="D371">
        <v>16</v>
      </c>
      <c r="E371">
        <v>18</v>
      </c>
      <c r="F371">
        <v>24</v>
      </c>
      <c r="G371">
        <v>18</v>
      </c>
      <c r="H371">
        <v>17</v>
      </c>
      <c r="J371" s="2"/>
      <c r="K371">
        <f t="shared" si="5"/>
        <v>-1.7964921462404755</v>
      </c>
      <c r="L371">
        <f>LOG10(E371/C371)-LOG10(37995/47667)</f>
        <v>-1.5892357173498342</v>
      </c>
      <c r="M371">
        <f>LOG10(F371/C371)-LOG10(35167/47667)</f>
        <v>-1.4307058533252182</v>
      </c>
      <c r="N371">
        <f>LOG10(G371/C371)-LOG10(34734/47667)</f>
        <v>-1.5502640684540521</v>
      </c>
      <c r="O371">
        <f>LOG10(H371/C371)-LOG10(33378/47667)</f>
        <v>-1.5577931625531087</v>
      </c>
      <c r="Q371">
        <f>AVERAGE(K371:O371)</f>
        <v>-1.5848981895845378</v>
      </c>
      <c r="R371">
        <f>STDEV(K371:O371)</f>
        <v>0.13275946109260192</v>
      </c>
    </row>
    <row r="372" spans="1:18">
      <c r="A372">
        <v>370</v>
      </c>
      <c r="C372">
        <v>984</v>
      </c>
      <c r="D372">
        <v>50</v>
      </c>
      <c r="E372">
        <v>32</v>
      </c>
      <c r="F372">
        <v>11</v>
      </c>
      <c r="G372">
        <v>49</v>
      </c>
      <c r="H372">
        <v>30</v>
      </c>
      <c r="J372" s="2"/>
      <c r="K372">
        <f t="shared" si="5"/>
        <v>-1.3516376296256825</v>
      </c>
      <c r="L372">
        <f>LOG10(E372/C372)-LOG10(37995/47667)</f>
        <v>-1.3893537491985353</v>
      </c>
      <c r="M372">
        <f>LOG10(F372/C372)-LOG10(35167/47667)</f>
        <v>-1.8195199149439001</v>
      </c>
      <c r="N372">
        <f>LOG10(G372/C372)-LOG10(34734/47667)</f>
        <v>-1.1653359985941454</v>
      </c>
      <c r="O372">
        <f>LOG10(H372/C372)-LOG10(33378/47667)</f>
        <v>-1.3611163342770212</v>
      </c>
      <c r="Q372">
        <f>AVERAGE(K372:O372)</f>
        <v>-1.4173927253278567</v>
      </c>
      <c r="R372">
        <f>STDEV(K372:O372)</f>
        <v>0.24161737266963151</v>
      </c>
    </row>
    <row r="373" spans="1:18">
      <c r="A373">
        <v>371</v>
      </c>
      <c r="C373">
        <v>1255</v>
      </c>
      <c r="D373">
        <v>14</v>
      </c>
      <c r="E373">
        <v>58</v>
      </c>
      <c r="F373">
        <v>14</v>
      </c>
      <c r="G373">
        <v>16</v>
      </c>
      <c r="H373">
        <v>38</v>
      </c>
      <c r="J373" s="2"/>
      <c r="K373">
        <f t="shared" si="5"/>
        <v>-2.0101282256691788</v>
      </c>
      <c r="L373">
        <f>LOG10(E373/C373)-LOG10(37995/47667)</f>
        <v>-1.2367243613412193</v>
      </c>
      <c r="M373">
        <f>LOG10(F373/C373)-LOG10(35167/47667)</f>
        <v>-1.8204331918096026</v>
      </c>
      <c r="N373">
        <f>LOG10(G373/C373)-LOG10(34734/47667)</f>
        <v>-1.7570607233524498</v>
      </c>
      <c r="O373">
        <f>LOG10(H373/C373)-LOG10(33378/47667)</f>
        <v>-1.364102619765589</v>
      </c>
      <c r="Q373">
        <f>AVERAGE(K373:O373)</f>
        <v>-1.6376898243876077</v>
      </c>
      <c r="R373">
        <f>STDEV(K373:O373)</f>
        <v>0.324799235565016</v>
      </c>
    </row>
    <row r="374" spans="1:18">
      <c r="A374">
        <v>372</v>
      </c>
      <c r="C374">
        <v>829</v>
      </c>
      <c r="D374">
        <v>8</v>
      </c>
      <c r="E374">
        <v>12</v>
      </c>
      <c r="F374">
        <v>8</v>
      </c>
      <c r="G374">
        <v>8</v>
      </c>
      <c r="H374">
        <v>8</v>
      </c>
      <c r="J374" s="2"/>
      <c r="K374">
        <f t="shared" si="5"/>
        <v>-2.0730770790886899</v>
      </c>
      <c r="L374">
        <f>LOG10(E374/C374)-LOG10(37995/47667)</f>
        <v>-1.7408819135897484</v>
      </c>
      <c r="M374">
        <f>LOG10(F374/C374)-LOG10(35167/47667)</f>
        <v>-1.8833820452291137</v>
      </c>
      <c r="N374">
        <f>LOG10(G374/C374)-LOG10(34734/47667)</f>
        <v>-1.8780015237496477</v>
      </c>
      <c r="O374">
        <f>LOG10(H374/C374)-LOG10(33378/47667)</f>
        <v>-1.8607070341236722</v>
      </c>
      <c r="Q374">
        <f>AVERAGE(K374:O374)</f>
        <v>-1.8872099191561744</v>
      </c>
      <c r="R374">
        <f>STDEV(K374:O374)</f>
        <v>0.11912213945593586</v>
      </c>
    </row>
    <row r="375" spans="1:18">
      <c r="A375">
        <v>373</v>
      </c>
      <c r="C375">
        <v>2421</v>
      </c>
      <c r="D375">
        <v>83</v>
      </c>
      <c r="E375">
        <v>97</v>
      </c>
      <c r="F375">
        <v>127</v>
      </c>
      <c r="G375">
        <v>55</v>
      </c>
      <c r="H375">
        <v>141</v>
      </c>
      <c r="J375" s="2"/>
      <c r="K375">
        <f t="shared" si="5"/>
        <v>-1.5225292325960189</v>
      </c>
      <c r="L375">
        <f>LOG10(E375/C375)-LOG10(37995/47667)</f>
        <v>-1.2987316842625878</v>
      </c>
      <c r="M375">
        <f>LOG10(F375/C375)-LOG10(35167/47667)</f>
        <v>-1.1481085701565596</v>
      </c>
      <c r="N375">
        <f>LOG10(G375/C375)-LOG10(34734/47667)</f>
        <v>-1.5061690801388066</v>
      </c>
      <c r="O375">
        <f>LOG10(H375/C375)-LOG10(33378/47667)</f>
        <v>-1.0800181673516951</v>
      </c>
      <c r="Q375">
        <f>AVERAGE(K375:O375)</f>
        <v>-1.3111113469011335</v>
      </c>
      <c r="R375">
        <f>STDEV(K375:O375)</f>
        <v>0.201787177860283</v>
      </c>
    </row>
    <row r="376" spans="1:18">
      <c r="A376">
        <v>374</v>
      </c>
      <c r="C376">
        <v>1050</v>
      </c>
      <c r="D376">
        <v>42</v>
      </c>
      <c r="E376">
        <v>28</v>
      </c>
      <c r="F376">
        <v>30</v>
      </c>
      <c r="G376">
        <v>24</v>
      </c>
      <c r="H376">
        <v>19</v>
      </c>
      <c r="J376" s="2"/>
      <c r="K376">
        <f t="shared" si="5"/>
        <v>-1.4555525442023973</v>
      </c>
      <c r="L376">
        <f>LOG10(E376/C376)-LOG10(37995/47667)</f>
        <v>-1.4755398968148186</v>
      </c>
      <c r="M376">
        <f>LOG10(F376/C376)-LOG10(35167/47667)</f>
        <v>-1.4119855460210593</v>
      </c>
      <c r="N376">
        <f>LOG10(G376/C376)-LOG10(34734/47667)</f>
        <v>-1.5035150375496498</v>
      </c>
      <c r="O376">
        <f>LOG10(H376/C376)-LOG10(33378/47667)</f>
        <v>-1.5876781886824514</v>
      </c>
      <c r="Q376">
        <f>AVERAGE(K376:O376)</f>
        <v>-1.4868542426540752</v>
      </c>
      <c r="R376">
        <f>STDEV(K376:O376)</f>
        <v>6.5490805962634846E-2</v>
      </c>
    </row>
    <row r="377" spans="1:18">
      <c r="A377">
        <v>375</v>
      </c>
      <c r="C377">
        <v>435</v>
      </c>
      <c r="D377">
        <v>13</v>
      </c>
      <c r="E377">
        <v>20</v>
      </c>
      <c r="F377">
        <v>8</v>
      </c>
      <c r="G377">
        <v>10</v>
      </c>
      <c r="H377">
        <v>10</v>
      </c>
      <c r="J377" s="2"/>
      <c r="K377">
        <f t="shared" si="5"/>
        <v>-1.5821584401781603</v>
      </c>
      <c r="L377">
        <f>LOG10(E377/C377)-LOG10(37995/47667)</f>
        <v>-1.2389678903777559</v>
      </c>
      <c r="M377">
        <f>LOG10(F377/C377)-LOG10(35167/47667)</f>
        <v>-1.6033167716334773</v>
      </c>
      <c r="N377">
        <f>LOG10(G377/C377)-LOG10(34734/47667)</f>
        <v>-1.5010262371459551</v>
      </c>
      <c r="O377">
        <f>LOG10(H377/C377)-LOG10(33378/47667)</f>
        <v>-1.4837317475199796</v>
      </c>
      <c r="Q377">
        <f>AVERAGE(K377:O377)</f>
        <v>-1.4818402173710656</v>
      </c>
      <c r="R377">
        <f>STDEV(K377:O377)</f>
        <v>0.14506804224474668</v>
      </c>
    </row>
    <row r="378" spans="1:18">
      <c r="A378">
        <v>376</v>
      </c>
      <c r="C378">
        <v>1278</v>
      </c>
      <c r="D378">
        <v>49</v>
      </c>
      <c r="E378">
        <v>27</v>
      </c>
      <c r="F378">
        <v>34</v>
      </c>
      <c r="G378">
        <v>52</v>
      </c>
      <c r="H378">
        <v>58</v>
      </c>
      <c r="J378" s="2"/>
      <c r="K378">
        <f t="shared" si="5"/>
        <v>-1.4739473093242275</v>
      </c>
      <c r="L378">
        <f>LOG10(E378/C378)-LOG10(37995/47667)</f>
        <v>-1.5766757187504938</v>
      </c>
      <c r="M378">
        <f>LOG10(F378/C378)-LOG10(35167/47667)</f>
        <v>-1.44296943845091</v>
      </c>
      <c r="N378">
        <f>LOG10(G378/C378)-LOG10(34734/47667)</f>
        <v>-1.2530644903788999</v>
      </c>
      <c r="O378">
        <f>LOG10(H378/C378)-LOG10(33378/47667)</f>
        <v>-1.1883453508247863</v>
      </c>
      <c r="Q378">
        <f>AVERAGE(K378:O378)</f>
        <v>-1.3870004615458633</v>
      </c>
      <c r="R378">
        <f>STDEV(K378:O378)</f>
        <v>0.16130071396159307</v>
      </c>
    </row>
    <row r="379" spans="1:18">
      <c r="A379">
        <v>377</v>
      </c>
      <c r="C379">
        <v>1257</v>
      </c>
      <c r="D379">
        <v>13</v>
      </c>
      <c r="E379">
        <v>33</v>
      </c>
      <c r="F379">
        <v>26</v>
      </c>
      <c r="G379">
        <v>30</v>
      </c>
      <c r="H379">
        <v>18</v>
      </c>
      <c r="J379" s="2"/>
      <c r="K379">
        <f t="shared" si="5"/>
        <v>-2.0430044609094806</v>
      </c>
      <c r="L379">
        <f>LOG10(E379/C379)-LOG10(37995/47667)</f>
        <v>-1.4823299668951699</v>
      </c>
      <c r="M379">
        <f>LOG10(F379/C379)-LOG10(35167/47667)</f>
        <v>-1.5522794313859234</v>
      </c>
      <c r="N379">
        <f>LOG10(G379/C379)-LOG10(34734/47667)</f>
        <v>-1.484751003157613</v>
      </c>
      <c r="O379">
        <f>LOG10(H379/C379)-LOG10(33378/47667)</f>
        <v>-1.6893052631479939</v>
      </c>
      <c r="Q379">
        <f>AVERAGE(K379:O379)</f>
        <v>-1.6503340250992362</v>
      </c>
      <c r="R379">
        <f>STDEV(K379:O379)</f>
        <v>0.23503544021652173</v>
      </c>
    </row>
    <row r="380" spans="1:18">
      <c r="A380">
        <v>378</v>
      </c>
      <c r="C380">
        <v>3532</v>
      </c>
      <c r="D380">
        <v>71</v>
      </c>
      <c r="E380">
        <v>125</v>
      </c>
      <c r="F380">
        <v>109</v>
      </c>
      <c r="G380">
        <v>126</v>
      </c>
      <c r="H380">
        <v>82</v>
      </c>
      <c r="J380" s="2"/>
      <c r="K380">
        <f t="shared" si="5"/>
        <v>-1.7543748817168157</v>
      </c>
      <c r="L380">
        <f>LOG10(E380/C380)-LOG10(37995/47667)</f>
        <v>-1.3526193109845743</v>
      </c>
      <c r="M380">
        <f>LOG10(F380/C380)-LOG10(35167/47667)</f>
        <v>-1.3785116986356909</v>
      </c>
      <c r="N380">
        <f>LOG10(G380/C380)-LOG10(34734/47667)</f>
        <v>-1.3101871299792858</v>
      </c>
      <c r="O380">
        <f>LOG10(H380/C380)-LOG10(33378/47667)</f>
        <v>-1.4794493330871565</v>
      </c>
      <c r="Q380">
        <f>AVERAGE(K380:O380)</f>
        <v>-1.4550284708807049</v>
      </c>
      <c r="R380">
        <f>STDEV(K380:O380)</f>
        <v>0.17855399651849904</v>
      </c>
    </row>
    <row r="381" spans="1:18">
      <c r="A381">
        <v>379</v>
      </c>
      <c r="C381">
        <v>1352</v>
      </c>
      <c r="D381">
        <v>29</v>
      </c>
      <c r="E381">
        <v>104</v>
      </c>
      <c r="F381">
        <v>39</v>
      </c>
      <c r="G381">
        <v>38</v>
      </c>
      <c r="H381">
        <v>56</v>
      </c>
      <c r="J381" s="2"/>
      <c r="K381">
        <f t="shared" si="5"/>
        <v>-1.726191229237021</v>
      </c>
      <c r="L381">
        <f>LOG10(E381/C381)-LOG10(37995/47667)</f>
        <v>-1.0154519813939364</v>
      </c>
      <c r="M381">
        <f>LOG10(F381/C381)-LOG10(35167/47667)</f>
        <v>-1.4078295862499015</v>
      </c>
      <c r="N381">
        <f>LOG10(G381/C381)-LOG10(34734/47667)</f>
        <v>-1.4137300751801245</v>
      </c>
      <c r="O381">
        <f>LOG10(H381/C381)-LOG10(33378/47667)</f>
        <v>-1.2280311551647589</v>
      </c>
      <c r="Q381">
        <f>AVERAGE(K381:O381)</f>
        <v>-1.3582468054451486</v>
      </c>
      <c r="R381">
        <f>STDEV(K381:O381)</f>
        <v>0.2623853803790302</v>
      </c>
    </row>
    <row r="382" spans="1:18">
      <c r="A382">
        <v>380</v>
      </c>
      <c r="C382">
        <v>2109</v>
      </c>
      <c r="D382">
        <v>42</v>
      </c>
      <c r="E382">
        <v>35</v>
      </c>
      <c r="F382">
        <v>25</v>
      </c>
      <c r="G382">
        <v>32</v>
      </c>
      <c r="H382">
        <v>36</v>
      </c>
      <c r="J382" s="2"/>
      <c r="K382">
        <f t="shared" si="5"/>
        <v>-1.7584398248719457</v>
      </c>
      <c r="L382">
        <f>LOG10(E382/C382)-LOG10(37995/47667)</f>
        <v>-1.6815171644763105</v>
      </c>
      <c r="M382">
        <f>LOG10(F382/C382)-LOG10(35167/47667)</f>
        <v>-1.7940540727382324</v>
      </c>
      <c r="N382">
        <f>LOG10(G382/C382)-LOG10(34734/47667)</f>
        <v>-1.681463581610898</v>
      </c>
      <c r="O382">
        <f>LOG10(H382/C382)-LOG10(33378/47667)</f>
        <v>-1.6130165695375414</v>
      </c>
      <c r="Q382">
        <f>AVERAGE(K382:O382)</f>
        <v>-1.7056982426469856</v>
      </c>
      <c r="R382">
        <f>STDEV(K382:O382)</f>
        <v>7.1327349372631493E-2</v>
      </c>
    </row>
    <row r="383" spans="1:18">
      <c r="A383">
        <v>381</v>
      </c>
      <c r="C383">
        <v>1074</v>
      </c>
      <c r="D383">
        <v>65</v>
      </c>
      <c r="E383">
        <v>41</v>
      </c>
      <c r="F383">
        <v>44</v>
      </c>
      <c r="G383">
        <v>30</v>
      </c>
      <c r="H383">
        <v>96</v>
      </c>
      <c r="J383" s="2"/>
      <c r="K383">
        <f t="shared" si="5"/>
        <v>-1.2757034602510411</v>
      </c>
      <c r="L383">
        <f>LOG10(E383/C383)-LOG10(37995/47667)</f>
        <v>-1.319729053730901</v>
      </c>
      <c r="M383">
        <f>LOG10(F383/C383)-LOG10(35167/47667)</f>
        <v>-1.2554691065481329</v>
      </c>
      <c r="N383">
        <f>LOG10(G383/C383)-LOG10(34734/47667)</f>
        <v>-1.416420006835192</v>
      </c>
      <c r="O383">
        <f>LOG10(H383/C383)-LOG10(33378/47667)</f>
        <v>-0.89397553888931047</v>
      </c>
      <c r="Q383">
        <f>AVERAGE(K383:O383)</f>
        <v>-1.2322594332509154</v>
      </c>
      <c r="R383">
        <f>STDEV(K383:O383)</f>
        <v>0.19901514827445224</v>
      </c>
    </row>
    <row r="384" spans="1:18">
      <c r="A384">
        <v>382</v>
      </c>
      <c r="C384">
        <v>542</v>
      </c>
      <c r="D384">
        <v>20</v>
      </c>
      <c r="E384">
        <v>26</v>
      </c>
      <c r="F384">
        <v>45</v>
      </c>
      <c r="G384">
        <v>28</v>
      </c>
      <c r="H384">
        <v>31</v>
      </c>
      <c r="J384" s="2"/>
      <c r="K384">
        <f t="shared" si="5"/>
        <v>-1.4905818264047657</v>
      </c>
      <c r="L384">
        <f>LOG10(E384/C384)-LOG10(37995/47667)</f>
        <v>-1.2205345676546686</v>
      </c>
      <c r="M384">
        <f>LOG10(F384/C384)-LOG10(35167/47667)</f>
        <v>-0.94870427443382688</v>
      </c>
      <c r="N384">
        <f>LOG10(G384/C384)-LOG10(34734/47667)</f>
        <v>-1.1493782353874853</v>
      </c>
      <c r="O384">
        <f>LOG10(H384/C384)-LOG10(33378/47667)</f>
        <v>-1.0878800832694564</v>
      </c>
      <c r="Q384">
        <f>AVERAGE(K384:O384)</f>
        <v>-1.1794157974300405</v>
      </c>
      <c r="R384">
        <f>STDEV(K384:O384)</f>
        <v>0.20063891683585844</v>
      </c>
    </row>
    <row r="385" spans="1:18">
      <c r="A385">
        <v>383</v>
      </c>
      <c r="C385">
        <v>2419</v>
      </c>
      <c r="D385">
        <v>67</v>
      </c>
      <c r="E385">
        <v>62</v>
      </c>
      <c r="F385">
        <v>98</v>
      </c>
      <c r="G385">
        <v>75</v>
      </c>
      <c r="H385">
        <v>50</v>
      </c>
      <c r="J385" s="2"/>
      <c r="K385">
        <f t="shared" si="5"/>
        <v>-1.6151736011914131</v>
      </c>
      <c r="L385">
        <f>LOG10(E385/C385)-LOG10(37995/47667)</f>
        <v>-1.4927528079507255</v>
      </c>
      <c r="M385">
        <f>LOG10(F385/C385)-LOG10(35167/47667)</f>
        <v>-1.2603272943401684</v>
      </c>
      <c r="N385">
        <f>LOG10(G385/C385)-LOG10(34734/47667)</f>
        <v>-1.3711115851614972</v>
      </c>
      <c r="O385">
        <f>LOG10(H385/C385)-LOG10(33378/47667)</f>
        <v>-1.5299083545912031</v>
      </c>
      <c r="Q385">
        <f>AVERAGE(K385:O385)</f>
        <v>-1.4538547286470016</v>
      </c>
      <c r="R385">
        <f>STDEV(K385:O385)</f>
        <v>0.13930208976808978</v>
      </c>
    </row>
    <row r="386" spans="1:18">
      <c r="A386">
        <v>384</v>
      </c>
      <c r="C386">
        <v>634</v>
      </c>
      <c r="D386">
        <v>22</v>
      </c>
      <c r="E386">
        <v>19</v>
      </c>
      <c r="F386">
        <v>26</v>
      </c>
      <c r="G386">
        <v>253</v>
      </c>
      <c r="H386">
        <v>11</v>
      </c>
      <c r="J386" s="2"/>
      <c r="K386">
        <f t="shared" si="5"/>
        <v>-1.5172791125898863</v>
      </c>
      <c r="L386">
        <f>LOG10(E386/C386)-LOG10(37995/47667)</f>
        <v>-1.4248442860160033</v>
      </c>
      <c r="M386">
        <f>LOG10(F386/C386)-LOG10(35167/47667)</f>
        <v>-1.2550334115816983</v>
      </c>
      <c r="N386">
        <f>LOG10(G386/C386)-LOG10(34734/47667)</f>
        <v>-0.26150571689723245</v>
      </c>
      <c r="O386">
        <f>LOG10(H386/C386)-LOG10(33378/47667)</f>
        <v>-1.6059390632888497</v>
      </c>
      <c r="Q386">
        <f>AVERAGE(K386:O386)</f>
        <v>-1.2129203180747341</v>
      </c>
      <c r="R386">
        <f>STDEV(K386:O386)</f>
        <v>0.5474881355004042</v>
      </c>
    </row>
    <row r="387" spans="1:18">
      <c r="A387">
        <v>385</v>
      </c>
      <c r="C387">
        <v>1164</v>
      </c>
      <c r="D387">
        <v>231</v>
      </c>
      <c r="E387">
        <v>26</v>
      </c>
      <c r="F387">
        <v>328</v>
      </c>
      <c r="G387">
        <v>38</v>
      </c>
      <c r="H387">
        <v>53</v>
      </c>
      <c r="J387" s="2"/>
      <c r="K387">
        <f t="shared" ref="K387:K450" si="6">LOG10(D387/C387)-LOG10(54429/47667)</f>
        <v>-0.75995353595208515</v>
      </c>
      <c r="L387">
        <f>LOG10(E387/C387)-LOG10(37995/47667)</f>
        <v>-1.5524882614301514</v>
      </c>
      <c r="M387">
        <f>LOG10(F387/C387)-LOG10(35167/47667)</f>
        <v>-0.41799663827297417</v>
      </c>
      <c r="N387">
        <f>LOG10(G387/C387)-LOG10(34734/47667)</f>
        <v>-1.3487063638883772</v>
      </c>
      <c r="O387">
        <f>LOG10(H387/C387)-LOG10(33378/47667)</f>
        <v>-1.1869196012784229</v>
      </c>
      <c r="Q387">
        <f>AVERAGE(K387:O387)</f>
        <v>-1.0532128801644023</v>
      </c>
      <c r="R387">
        <f>STDEV(K387:O387)</f>
        <v>0.45933933792539489</v>
      </c>
    </row>
    <row r="388" spans="1:18">
      <c r="A388">
        <v>386</v>
      </c>
      <c r="C388">
        <v>790</v>
      </c>
      <c r="D388">
        <v>54</v>
      </c>
      <c r="E388">
        <v>23</v>
      </c>
      <c r="F388">
        <v>17</v>
      </c>
      <c r="G388">
        <v>31</v>
      </c>
      <c r="H388">
        <v>5</v>
      </c>
      <c r="J388" s="2"/>
      <c r="K388">
        <f t="shared" si="6"/>
        <v>-1.2228458669978328</v>
      </c>
      <c r="L388">
        <f>LOG10(E388/C388)-LOG10(37995/47667)</f>
        <v>-1.4374078843599483</v>
      </c>
      <c r="M388">
        <f>LOG10(F388/C388)-LOG10(35167/47667)</f>
        <v>-1.5350956715829511</v>
      </c>
      <c r="N388">
        <f>LOG10(G388/C388)-LOG10(34734/47667)</f>
        <v>-1.2688023776474864</v>
      </c>
      <c r="O388">
        <f>LOG10(H388/C388)-LOG10(33378/47667)</f>
        <v>-2.043899577519765</v>
      </c>
      <c r="Q388">
        <f>AVERAGE(K388:O388)</f>
        <v>-1.5016102756215968</v>
      </c>
      <c r="R388">
        <f>STDEV(K388:O388)</f>
        <v>0.3283405315423622</v>
      </c>
    </row>
    <row r="389" spans="1:18">
      <c r="A389">
        <v>387</v>
      </c>
      <c r="C389">
        <v>664</v>
      </c>
      <c r="D389">
        <v>13</v>
      </c>
      <c r="E389">
        <v>10</v>
      </c>
      <c r="F389">
        <v>22</v>
      </c>
      <c r="G389">
        <v>12</v>
      </c>
      <c r="H389">
        <v>14</v>
      </c>
      <c r="J389" s="2"/>
      <c r="K389">
        <f t="shared" si="6"/>
        <v>-1.7658372625915406</v>
      </c>
      <c r="L389">
        <f>LOG10(E389/C389)-LOG10(37995/47667)</f>
        <v>-1.7236767084551172</v>
      </c>
      <c r="M389">
        <f>LOG10(F389/C389)-LOG10(35167/47667)</f>
        <v>-1.347662900216595</v>
      </c>
      <c r="N389">
        <f>LOG10(G389/C389)-LOG10(34734/47667)</f>
        <v>-1.6055238135117103</v>
      </c>
      <c r="O389">
        <f>LOG10(H389/C389)-LOG10(33378/47667)</f>
        <v>-1.5212825342551217</v>
      </c>
      <c r="Q389">
        <f>AVERAGE(K389:O389)</f>
        <v>-1.592796643806017</v>
      </c>
      <c r="R389">
        <f>STDEV(K389:O389)</f>
        <v>0.16765995946555715</v>
      </c>
    </row>
    <row r="390" spans="1:18">
      <c r="A390">
        <v>388</v>
      </c>
      <c r="C390">
        <v>809</v>
      </c>
      <c r="D390">
        <v>12</v>
      </c>
      <c r="E390">
        <v>13</v>
      </c>
      <c r="F390">
        <v>9</v>
      </c>
      <c r="G390">
        <v>10</v>
      </c>
      <c r="H390">
        <v>18</v>
      </c>
      <c r="J390" s="2"/>
      <c r="K390">
        <f t="shared" si="6"/>
        <v>-1.8863798110950072</v>
      </c>
      <c r="L390">
        <f>LOG10(E390/C390)-LOG10(37995/47667)</f>
        <v>-1.6955137983925352</v>
      </c>
      <c r="M390">
        <f>LOG10(F390/C390)-LOG10(35167/47667)</f>
        <v>-1.8216235138437311</v>
      </c>
      <c r="N390">
        <f>LOG10(G390/C390)-LOG10(34734/47667)</f>
        <v>-1.7704855018035899</v>
      </c>
      <c r="O390">
        <f>LOG10(H390/C390)-LOG10(33378/47667)</f>
        <v>-1.4979185070743084</v>
      </c>
      <c r="Q390">
        <f>AVERAGE(K390:O390)</f>
        <v>-1.7343842264418341</v>
      </c>
      <c r="R390">
        <f>STDEV(K390:O390)</f>
        <v>0.14953561424952683</v>
      </c>
    </row>
    <row r="391" spans="1:18">
      <c r="A391">
        <v>389</v>
      </c>
      <c r="C391">
        <v>2605</v>
      </c>
      <c r="D391">
        <v>36</v>
      </c>
      <c r="E391">
        <v>45</v>
      </c>
      <c r="F391">
        <v>53</v>
      </c>
      <c r="G391">
        <v>150</v>
      </c>
      <c r="H391">
        <v>28</v>
      </c>
      <c r="J391" s="2"/>
      <c r="K391">
        <f t="shared" si="6"/>
        <v>-1.917117762398616</v>
      </c>
      <c r="L391">
        <f>LOG10(E391/C391)-LOG10(37995/47667)</f>
        <v>-1.6641038429472994</v>
      </c>
      <c r="M391">
        <f>LOG10(F391/C391)-LOG10(35167/47667)</f>
        <v>-1.5594493597055379</v>
      </c>
      <c r="N391">
        <f>LOG10(G391/C391)-LOG10(34734/47667)</f>
        <v>-1.1022534487711797</v>
      </c>
      <c r="O391">
        <f>LOG10(H391/C391)-LOG10(33378/47667)</f>
        <v>-1.8138921868586662</v>
      </c>
      <c r="Q391">
        <f>AVERAGE(K391:O391)</f>
        <v>-1.6113633201362596</v>
      </c>
      <c r="R391">
        <f>STDEV(K391:O391)</f>
        <v>0.31590077713357306</v>
      </c>
    </row>
    <row r="392" spans="1:18">
      <c r="A392">
        <v>390</v>
      </c>
      <c r="C392">
        <v>1484</v>
      </c>
      <c r="D392">
        <v>33</v>
      </c>
      <c r="E392">
        <v>39</v>
      </c>
      <c r="F392">
        <v>41</v>
      </c>
      <c r="G392">
        <v>48</v>
      </c>
      <c r="H392">
        <v>59</v>
      </c>
      <c r="J392" s="2"/>
      <c r="K392">
        <f t="shared" si="6"/>
        <v>-1.7105324965954807</v>
      </c>
      <c r="L392">
        <f>LOG10(E392/C392)-LOG10(37995/47667)</f>
        <v>-1.4818779230036088</v>
      </c>
      <c r="M392">
        <f>LOG10(F392/C392)-LOG10(35167/47667)</f>
        <v>-1.4265675458940563</v>
      </c>
      <c r="N392">
        <f>LOG10(G392/C392)-LOG10(34734/47667)</f>
        <v>-1.3527296437587386</v>
      </c>
      <c r="O392">
        <f>LOG10(H392/C392)-LOG10(33378/47667)</f>
        <v>-1.2458243798662063</v>
      </c>
      <c r="Q392">
        <f>AVERAGE(K392:O392)</f>
        <v>-1.4435063978236182</v>
      </c>
      <c r="R392">
        <f>STDEV(K392:O392)</f>
        <v>0.17347970729808496</v>
      </c>
    </row>
    <row r="393" spans="1:18">
      <c r="A393">
        <v>391</v>
      </c>
      <c r="C393">
        <v>1282</v>
      </c>
      <c r="D393">
        <v>43</v>
      </c>
      <c r="E393">
        <v>47</v>
      </c>
      <c r="F393">
        <v>35</v>
      </c>
      <c r="G393">
        <v>27</v>
      </c>
      <c r="H393">
        <v>56</v>
      </c>
      <c r="J393" s="2"/>
      <c r="K393">
        <f t="shared" si="6"/>
        <v>-1.5320321051335719</v>
      </c>
      <c r="L393">
        <f>LOG10(E393/C393)-LOG10(37995/47667)</f>
        <v>-1.3372987963341809</v>
      </c>
      <c r="M393">
        <f>LOG10(F393/C393)-LOG10(35167/47667)</f>
        <v>-1.4317374825033067</v>
      </c>
      <c r="N393">
        <f>LOG10(G393/C393)-LOG10(34734/47667)</f>
        <v>-1.539061241215129</v>
      </c>
      <c r="O393">
        <f>LOG10(H393/C393)-LOG10(33378/47667)</f>
        <v>-1.2049424887419404</v>
      </c>
      <c r="Q393">
        <f>AVERAGE(K393:O393)</f>
        <v>-1.4090144227856256</v>
      </c>
      <c r="R393">
        <f>STDEV(K393:O393)</f>
        <v>0.14084596900380489</v>
      </c>
    </row>
    <row r="394" spans="1:18">
      <c r="A394">
        <v>392</v>
      </c>
      <c r="C394">
        <v>1664</v>
      </c>
      <c r="D394">
        <v>38</v>
      </c>
      <c r="E394">
        <v>61</v>
      </c>
      <c r="F394">
        <v>1227</v>
      </c>
      <c r="G394">
        <v>132</v>
      </c>
      <c r="H394">
        <v>78</v>
      </c>
      <c r="J394" s="2"/>
      <c r="K394">
        <f t="shared" si="6"/>
        <v>-1.6989822608682548</v>
      </c>
      <c r="L394">
        <f>LOG10(E394/C394)-LOG10(37995/47667)</f>
        <v>-1.3373321160310379</v>
      </c>
      <c r="M394">
        <f>LOG10(F394/C394)-LOG10(35167/47667)</f>
        <v>-2.2626089848443165E-4</v>
      </c>
      <c r="N394">
        <f>LOG10(G394/C394)-LOG10(34734/47667)</f>
        <v>-0.96311637094017299</v>
      </c>
      <c r="O394">
        <f>LOG10(H394/C394)-LOG10(33378/47667)</f>
        <v>-1.1743012098295669</v>
      </c>
      <c r="Q394">
        <f>AVERAGE(K394:O394)</f>
        <v>-1.0347916437135034</v>
      </c>
      <c r="R394">
        <f>STDEV(K394:O394)</f>
        <v>0.637888255964698</v>
      </c>
    </row>
    <row r="395" spans="1:18">
      <c r="A395">
        <v>393</v>
      </c>
      <c r="C395">
        <v>1844</v>
      </c>
      <c r="D395">
        <v>197</v>
      </c>
      <c r="E395">
        <v>121</v>
      </c>
      <c r="F395">
        <v>73</v>
      </c>
      <c r="G395">
        <v>124</v>
      </c>
      <c r="H395">
        <v>105</v>
      </c>
      <c r="J395" s="2"/>
      <c r="K395">
        <f t="shared" si="6"/>
        <v>-1.0289072260863774</v>
      </c>
      <c r="L395">
        <f>LOG10(E395/C395)-LOG10(37995/47667)</f>
        <v>-1.0844841754882601</v>
      </c>
      <c r="M395">
        <f>LOG10(F395/C395)-LOG10(35167/47667)</f>
        <v>-1.2703555582679382</v>
      </c>
      <c r="N395">
        <f>LOG10(G395/C395)-LOG10(34734/47667)</f>
        <v>-1.0348762117466932</v>
      </c>
      <c r="O395">
        <f>LOG10(H395/C395)-LOG10(33378/47667)</f>
        <v>-1.0898141082130146</v>
      </c>
      <c r="Q395">
        <f>AVERAGE(K395:O395)</f>
        <v>-1.1016874559604566</v>
      </c>
      <c r="R395">
        <f>STDEV(K395:O395)</f>
        <v>9.8293644499096139E-2</v>
      </c>
    </row>
    <row r="396" spans="1:18">
      <c r="A396">
        <v>394</v>
      </c>
      <c r="C396">
        <v>1689</v>
      </c>
      <c r="D396">
        <v>79</v>
      </c>
      <c r="E396">
        <v>34</v>
      </c>
      <c r="F396">
        <v>74</v>
      </c>
      <c r="G396">
        <v>100</v>
      </c>
      <c r="H396">
        <v>34</v>
      </c>
      <c r="J396" s="2"/>
      <c r="K396">
        <f t="shared" si="6"/>
        <v>-1.3876150938109271</v>
      </c>
      <c r="L396">
        <f>LOG10(E396/C396)-LOG10(37995/47667)</f>
        <v>-1.5976593616158532</v>
      </c>
      <c r="M396">
        <f>LOG10(F396/C396)-LOG10(35167/47667)</f>
        <v>-1.226315431510816</v>
      </c>
      <c r="N396">
        <f>LOG10(G396/C396)-LOG10(34734/47667)</f>
        <v>-1.0901666297623263</v>
      </c>
      <c r="O396">
        <f>LOG10(H396/C396)-LOG10(33378/47667)</f>
        <v>-1.5413932230940957</v>
      </c>
      <c r="Q396">
        <f>AVERAGE(K396:O396)</f>
        <v>-1.3686299479588038</v>
      </c>
      <c r="R396">
        <f>STDEV(K396:O396)</f>
        <v>0.21240132914568022</v>
      </c>
    </row>
    <row r="397" spans="1:18">
      <c r="A397">
        <v>395</v>
      </c>
      <c r="C397">
        <v>680</v>
      </c>
      <c r="D397">
        <v>49</v>
      </c>
      <c r="E397">
        <v>32</v>
      </c>
      <c r="F397">
        <v>47</v>
      </c>
      <c r="G397">
        <v>41</v>
      </c>
      <c r="H397">
        <v>36</v>
      </c>
      <c r="J397" s="2"/>
      <c r="K397">
        <f t="shared" si="6"/>
        <v>-1.1999253682080826</v>
      </c>
      <c r="L397">
        <f>LOG10(E397/C397)-LOG10(37995/47667)</f>
        <v>-1.2288675634734301</v>
      </c>
      <c r="M397">
        <f>LOG10(F397/C397)-LOG10(35167/47667)</f>
        <v>-1.0283285564413025</v>
      </c>
      <c r="N397">
        <f>LOG10(G397/C397)-LOG10(34734/47667)</f>
        <v>-1.0822620361778184</v>
      </c>
      <c r="O397">
        <f>LOG10(H397/C397)-LOG10(33378/47667)</f>
        <v>-1.1214489025042913</v>
      </c>
      <c r="Q397">
        <f>AVERAGE(K397:O397)</f>
        <v>-1.132166485360985</v>
      </c>
      <c r="R397">
        <f>STDEV(K397:O397)</f>
        <v>8.2658939059381667E-2</v>
      </c>
    </row>
    <row r="398" spans="1:18">
      <c r="A398">
        <v>396</v>
      </c>
      <c r="C398">
        <v>1050</v>
      </c>
      <c r="D398">
        <v>52</v>
      </c>
      <c r="E398">
        <v>74</v>
      </c>
      <c r="F398">
        <v>51</v>
      </c>
      <c r="G398">
        <v>71</v>
      </c>
      <c r="H398">
        <v>70</v>
      </c>
      <c r="J398" s="2"/>
      <c r="K398">
        <f t="shared" si="6"/>
        <v>-1.3627984909654987</v>
      </c>
      <c r="L398">
        <f>LOG10(E398/C398)-LOG10(37995/47667)</f>
        <v>-1.0534662084260615</v>
      </c>
      <c r="M398">
        <f>LOG10(F398/C398)-LOG10(35167/47667)</f>
        <v>-1.1815366246427854</v>
      </c>
      <c r="N398">
        <f>LOG10(G398/C398)-LOG10(34734/47667)</f>
        <v>-1.0324679305421804</v>
      </c>
      <c r="O398">
        <f>LOG10(H398/C398)-LOG10(33378/47667)</f>
        <v>-1.0213337496210235</v>
      </c>
      <c r="Q398">
        <f>AVERAGE(K398:O398)</f>
        <v>-1.1303206008395099</v>
      </c>
      <c r="R398">
        <f>STDEV(K398:O398)</f>
        <v>0.14493871717706025</v>
      </c>
    </row>
    <row r="399" spans="1:18">
      <c r="A399">
        <v>397</v>
      </c>
      <c r="C399">
        <v>463</v>
      </c>
      <c r="D399">
        <v>25</v>
      </c>
      <c r="E399">
        <v>20</v>
      </c>
      <c r="F399">
        <v>25</v>
      </c>
      <c r="G399">
        <v>11</v>
      </c>
      <c r="H399">
        <v>22</v>
      </c>
      <c r="J399" s="2"/>
      <c r="K399">
        <f t="shared" si="6"/>
        <v>-1.3252535178762754</v>
      </c>
      <c r="L399">
        <f>LOG10(E399/C399)-LOG10(37995/47667)</f>
        <v>-1.2660596244410718</v>
      </c>
      <c r="M399">
        <f>LOG10(F399/C399)-LOG10(35167/47667)</f>
        <v>-1.1355584840166992</v>
      </c>
      <c r="N399">
        <f>LOG10(G399/C399)-LOG10(34734/47667)</f>
        <v>-1.4867252860510458</v>
      </c>
      <c r="O399">
        <f>LOG10(H399/C399)-LOG10(33378/47667)</f>
        <v>-1.1684008007610891</v>
      </c>
      <c r="Q399">
        <f>AVERAGE(K399:O399)</f>
        <v>-1.2763995426292365</v>
      </c>
      <c r="R399">
        <f>STDEV(K399:O399)</f>
        <v>0.13984855664943049</v>
      </c>
    </row>
    <row r="400" spans="1:18">
      <c r="A400">
        <v>398</v>
      </c>
      <c r="C400">
        <v>1593</v>
      </c>
      <c r="D400">
        <v>24</v>
      </c>
      <c r="E400">
        <v>63</v>
      </c>
      <c r="F400">
        <v>48</v>
      </c>
      <c r="G400">
        <v>64</v>
      </c>
      <c r="H400">
        <v>42</v>
      </c>
      <c r="J400" s="2"/>
      <c r="K400">
        <f t="shared" si="6"/>
        <v>-1.8796170696198853</v>
      </c>
      <c r="L400">
        <f>LOG10(E400/C400)-LOG10(37995/47667)</f>
        <v>-1.3043838554346494</v>
      </c>
      <c r="M400">
        <f>LOG10(F400/C400)-LOG10(35167/47667)</f>
        <v>-1.3888920400963278</v>
      </c>
      <c r="N400">
        <f>LOG10(G400/C400)-LOG10(34734/47667)</f>
        <v>-1.2585727820085619</v>
      </c>
      <c r="O400">
        <f>LOG10(H400/C400)-LOG10(33378/47667)</f>
        <v>-1.4242089759685732</v>
      </c>
      <c r="Q400">
        <f>AVERAGE(K400:O400)</f>
        <v>-1.4511349446255994</v>
      </c>
      <c r="R400">
        <f>STDEV(K400:O400)</f>
        <v>0.24840097978996492</v>
      </c>
    </row>
    <row r="401" spans="1:18">
      <c r="A401">
        <v>399</v>
      </c>
      <c r="C401">
        <v>987</v>
      </c>
      <c r="D401">
        <v>29</v>
      </c>
      <c r="E401">
        <v>22</v>
      </c>
      <c r="F401">
        <v>219</v>
      </c>
      <c r="G401">
        <v>27</v>
      </c>
      <c r="H401">
        <v>25</v>
      </c>
      <c r="J401" s="2"/>
      <c r="K401">
        <f t="shared" si="6"/>
        <v>-1.5895316903010406</v>
      </c>
      <c r="L401">
        <f>LOG10(E401/C401)-LOG10(37995/47667)</f>
        <v>-1.5534031009345302</v>
      </c>
      <c r="M401">
        <f>LOG10(F401/C401)-LOG10(35167/47667)</f>
        <v>-0.52179053950030185</v>
      </c>
      <c r="N401">
        <f>LOG10(G401/C401)-LOG10(34734/47667)</f>
        <v>-1.4254903687019671</v>
      </c>
      <c r="O401">
        <f>LOG10(H401/C401)-LOG10(33378/47667)</f>
        <v>-1.4416196345629413</v>
      </c>
      <c r="Q401">
        <f>AVERAGE(K401:O401)</f>
        <v>-1.3063670668001561</v>
      </c>
      <c r="R401">
        <f>STDEV(K401:O401)</f>
        <v>0.4441995473589414</v>
      </c>
    </row>
    <row r="402" spans="1:18">
      <c r="A402">
        <v>400</v>
      </c>
      <c r="C402">
        <v>1966</v>
      </c>
      <c r="D402">
        <v>32</v>
      </c>
      <c r="E402">
        <v>37</v>
      </c>
      <c r="F402">
        <v>120</v>
      </c>
      <c r="G402">
        <v>140</v>
      </c>
      <c r="H402">
        <v>61</v>
      </c>
      <c r="J402" s="2"/>
      <c r="K402">
        <f t="shared" si="6"/>
        <v>-1.8460460707065707</v>
      </c>
      <c r="L402">
        <f>LOG10(E402/C402)-LOG10(37995/47667)</f>
        <v>-1.6268904185162214</v>
      </c>
      <c r="M402">
        <f>LOG10(F402/C402)-LOG10(35167/47667)</f>
        <v>-1.0823197691192756</v>
      </c>
      <c r="N402">
        <f>LOG10(G402/C402)-LOG10(34734/47667)</f>
        <v>-1.0099924580091963</v>
      </c>
      <c r="O402">
        <f>LOG10(H402/C402)-LOG10(33378/47667)</f>
        <v>-1.3534961690506919</v>
      </c>
      <c r="Q402">
        <f>AVERAGE(K402:O402)</f>
        <v>-1.3837489770803912</v>
      </c>
      <c r="R402">
        <f>STDEV(K402:O402)</f>
        <v>0.35507221049832549</v>
      </c>
    </row>
    <row r="403" spans="1:18">
      <c r="A403">
        <v>401</v>
      </c>
      <c r="C403">
        <v>571</v>
      </c>
      <c r="D403">
        <v>7</v>
      </c>
      <c r="E403">
        <v>27</v>
      </c>
      <c r="F403">
        <v>24</v>
      </c>
      <c r="G403">
        <v>24</v>
      </c>
      <c r="H403">
        <v>19</v>
      </c>
      <c r="J403" s="2"/>
      <c r="K403">
        <f t="shared" si="6"/>
        <v>-1.9691506037619511</v>
      </c>
      <c r="L403">
        <f>LOG10(E403/C403)-LOG10(37995/47667)</f>
        <v>-1.2267809731739605</v>
      </c>
      <c r="M403">
        <f>LOG10(F403/C403)-LOG10(35167/47667)</f>
        <v>-1.2443423682050256</v>
      </c>
      <c r="N403">
        <f>LOG10(G403/C403)-LOG10(34734/47667)</f>
        <v>-1.2389618467255596</v>
      </c>
      <c r="O403">
        <f>LOG10(H403/C403)-LOG10(33378/47667)</f>
        <v>-1.3231249978583612</v>
      </c>
      <c r="Q403">
        <f>AVERAGE(K403:O403)</f>
        <v>-1.4004721579449717</v>
      </c>
      <c r="R403">
        <f>STDEV(K403:O403)</f>
        <v>0.32015952174340606</v>
      </c>
    </row>
    <row r="404" spans="1:18">
      <c r="A404">
        <v>402</v>
      </c>
      <c r="C404">
        <v>1853</v>
      </c>
      <c r="D404">
        <v>64</v>
      </c>
      <c r="E404">
        <v>58</v>
      </c>
      <c r="F404">
        <v>76</v>
      </c>
      <c r="G404">
        <v>56</v>
      </c>
      <c r="H404">
        <v>69</v>
      </c>
      <c r="J404" s="2"/>
      <c r="K404">
        <f t="shared" si="6"/>
        <v>-1.5193079808653702</v>
      </c>
      <c r="L404">
        <f>LOG10(E404/C404)-LOG10(37995/47667)</f>
        <v>-1.4059560548430601</v>
      </c>
      <c r="M404">
        <f>LOG10(F404/C404)-LOG10(35167/47667)</f>
        <v>-1.25497932870889</v>
      </c>
      <c r="N404">
        <f>LOG10(G404/C404)-LOG10(34734/47667)</f>
        <v>-1.3822243725040149</v>
      </c>
      <c r="O404">
        <f>LOG10(H404/C404)-LOG10(33378/47667)</f>
        <v>-1.2742688191469844</v>
      </c>
      <c r="Q404">
        <f>AVERAGE(K404:O404)</f>
        <v>-1.3673473112136638</v>
      </c>
      <c r="R404">
        <f>STDEV(K404:O404)</f>
        <v>0.10734777167677075</v>
      </c>
    </row>
    <row r="405" spans="1:18">
      <c r="A405">
        <v>403</v>
      </c>
      <c r="C405">
        <v>782</v>
      </c>
      <c r="D405">
        <v>14</v>
      </c>
      <c r="E405">
        <v>43</v>
      </c>
      <c r="F405">
        <v>3</v>
      </c>
      <c r="G405">
        <v>8</v>
      </c>
      <c r="H405">
        <v>7</v>
      </c>
      <c r="J405" s="2"/>
      <c r="K405">
        <f t="shared" si="6"/>
        <v>-1.8046912529119699</v>
      </c>
      <c r="L405">
        <f>LOG10(E405/C405)-LOG10(37995/47667)</f>
        <v>-1.1612469265673613</v>
      </c>
      <c r="M405">
        <f>LOG10(F405/C405)-LOG10(35167/47667)</f>
        <v>-2.2840030000109688</v>
      </c>
      <c r="N405">
        <f>LOG10(G405/C405)-LOG10(34734/47667)</f>
        <v>-1.8526537462592221</v>
      </c>
      <c r="O405">
        <f>LOG10(H405/C405)-LOG10(33378/47667)</f>
        <v>-1.8933512036109332</v>
      </c>
      <c r="Q405">
        <f>AVERAGE(K405:O405)</f>
        <v>-1.799189225872091</v>
      </c>
      <c r="R405">
        <f>STDEV(K405:O405)</f>
        <v>0.40428021783487372</v>
      </c>
    </row>
    <row r="406" spans="1:18">
      <c r="A406">
        <v>404</v>
      </c>
      <c r="C406">
        <v>1816</v>
      </c>
      <c r="D406">
        <v>70</v>
      </c>
      <c r="E406">
        <v>46</v>
      </c>
      <c r="F406">
        <v>25</v>
      </c>
      <c r="G406">
        <v>53</v>
      </c>
      <c r="H406">
        <v>76</v>
      </c>
      <c r="J406" s="2"/>
      <c r="K406">
        <f t="shared" si="6"/>
        <v>-1.4716303397011692</v>
      </c>
      <c r="L406">
        <f>LOG10(E406/C406)-LOG10(37995/47667)</f>
        <v>-1.4978666415905919</v>
      </c>
      <c r="M406">
        <f>LOG10(F406/C406)-LOG10(35167/47667)</f>
        <v>-1.7290933371838124</v>
      </c>
      <c r="N406">
        <f>LOG10(G406/C406)-LOG10(34734/47667)</f>
        <v>-1.397376954775595</v>
      </c>
      <c r="O406">
        <f>LOG10(H406/C406)-LOG10(33378/47667)</f>
        <v>-1.2235447424696171</v>
      </c>
      <c r="Q406">
        <f>AVERAGE(K406:O406)</f>
        <v>-1.463902403144157</v>
      </c>
      <c r="R406">
        <f>STDEV(K406:O406)</f>
        <v>0.18285032288669775</v>
      </c>
    </row>
    <row r="407" spans="1:18">
      <c r="A407">
        <v>405</v>
      </c>
      <c r="C407">
        <v>931</v>
      </c>
      <c r="D407">
        <v>35</v>
      </c>
      <c r="E407">
        <v>12</v>
      </c>
      <c r="F407">
        <v>19</v>
      </c>
      <c r="G407">
        <v>24</v>
      </c>
      <c r="H407">
        <v>20</v>
      </c>
      <c r="J407" s="2"/>
      <c r="K407">
        <f t="shared" si="6"/>
        <v>-1.4824941721614269</v>
      </c>
      <c r="L407">
        <f>LOG10(E407/C407)-LOG10(37995/47667)</f>
        <v>-1.7912770640208175</v>
      </c>
      <c r="M407">
        <f>LOG10(F407/C407)-LOG10(35167/47667)</f>
        <v>-1.5581135816992973</v>
      </c>
      <c r="N407">
        <f>LOG10(G407/C407)-LOG10(34734/47667)</f>
        <v>-1.4512754194610542</v>
      </c>
      <c r="O407">
        <f>LOG10(H407/C407)-LOG10(33378/47667)</f>
        <v>-1.5131621758827036</v>
      </c>
      <c r="Q407">
        <f>AVERAGE(K407:O407)</f>
        <v>-1.5592644826450599</v>
      </c>
      <c r="R407">
        <f>STDEV(K407:O407)</f>
        <v>0.13556539336935561</v>
      </c>
    </row>
    <row r="408" spans="1:18">
      <c r="A408">
        <v>406</v>
      </c>
      <c r="C408">
        <v>434</v>
      </c>
      <c r="D408">
        <v>26</v>
      </c>
      <c r="E408">
        <v>15</v>
      </c>
      <c r="F408">
        <v>26</v>
      </c>
      <c r="G408">
        <v>22</v>
      </c>
      <c r="H408">
        <v>28</v>
      </c>
      <c r="J408" s="2"/>
      <c r="K408">
        <f t="shared" si="6"/>
        <v>-1.2801289170720527</v>
      </c>
      <c r="L408">
        <f>LOG10(E408/C408)-LOG10(37995/47667)</f>
        <v>-1.3629070995439292</v>
      </c>
      <c r="M408">
        <f>LOG10(F408/C408)-LOG10(35167/47667)</f>
        <v>-1.0904338832124765</v>
      </c>
      <c r="N408">
        <f>LOG10(G408/C408)-LOG10(34734/47667)</f>
        <v>-1.1576040288816221</v>
      </c>
      <c r="O408">
        <f>LOG10(H408/C408)-LOG10(33378/47667)</f>
        <v>-1.0355741887356336</v>
      </c>
      <c r="Q408">
        <f>AVERAGE(K408:O408)</f>
        <v>-1.1853296234891428</v>
      </c>
      <c r="R408">
        <f>STDEV(K408:O408)</f>
        <v>0.13483440438461761</v>
      </c>
    </row>
    <row r="409" spans="1:18">
      <c r="A409">
        <v>407</v>
      </c>
      <c r="C409">
        <v>1175</v>
      </c>
      <c r="D409">
        <v>39</v>
      </c>
      <c r="E409">
        <v>126</v>
      </c>
      <c r="F409">
        <v>29</v>
      </c>
      <c r="G409">
        <v>32</v>
      </c>
      <c r="H409">
        <v>22</v>
      </c>
      <c r="J409" s="2"/>
      <c r="K409">
        <f t="shared" si="6"/>
        <v>-1.5365857951116157</v>
      </c>
      <c r="L409">
        <f>LOG10(E409/C409)-LOG10(37995/47667)</f>
        <v>-0.87117595057729191</v>
      </c>
      <c r="M409">
        <f>LOG10(F409/C409)-LOG10(35167/47667)</f>
        <v>-1.4755573703795826</v>
      </c>
      <c r="N409">
        <f>LOG10(G409/C409)-LOG10(34734/47667)</f>
        <v>-1.4274248684791668</v>
      </c>
      <c r="O409">
        <f>LOG10(H409/C409)-LOG10(33378/47667)</f>
        <v>-1.572857676350891</v>
      </c>
      <c r="Q409">
        <f>AVERAGE(K409:O409)</f>
        <v>-1.3767203321797097</v>
      </c>
      <c r="R409">
        <f>STDEV(K409:O409)</f>
        <v>0.28807189029311503</v>
      </c>
    </row>
    <row r="410" spans="1:18">
      <c r="A410">
        <v>408</v>
      </c>
      <c r="C410">
        <v>837</v>
      </c>
      <c r="D410">
        <v>43</v>
      </c>
      <c r="E410">
        <v>48</v>
      </c>
      <c r="F410">
        <v>25</v>
      </c>
      <c r="G410">
        <v>35</v>
      </c>
      <c r="H410">
        <v>20</v>
      </c>
      <c r="J410" s="2"/>
      <c r="K410">
        <f t="shared" si="6"/>
        <v>-1.3468695379440332</v>
      </c>
      <c r="L410">
        <f>LOG10(E410/C410)-LOG10(37995/47667)</f>
        <v>-1.1429928497047726</v>
      </c>
      <c r="M410">
        <f>LOG10(F410/C410)-LOG10(35167/47667)</f>
        <v>-1.3927029509920059</v>
      </c>
      <c r="N410">
        <f>LOG10(G410/C410)-LOG10(34734/47667)</f>
        <v>-1.241194393834302</v>
      </c>
      <c r="O410">
        <f>LOG10(H410/C410)-LOG10(33378/47667)</f>
        <v>-1.4669379528946209</v>
      </c>
      <c r="Q410">
        <f>AVERAGE(K410:O410)</f>
        <v>-1.318139537073947</v>
      </c>
      <c r="R410">
        <f>STDEV(K410:O410)</f>
        <v>0.12759604359111018</v>
      </c>
    </row>
    <row r="411" spans="1:18">
      <c r="A411">
        <v>409</v>
      </c>
      <c r="C411">
        <v>638</v>
      </c>
      <c r="D411">
        <v>16</v>
      </c>
      <c r="E411">
        <v>19</v>
      </c>
      <c r="F411">
        <v>11</v>
      </c>
      <c r="G411">
        <v>22</v>
      </c>
      <c r="H411">
        <v>23</v>
      </c>
      <c r="J411" s="2"/>
      <c r="K411">
        <f t="shared" si="6"/>
        <v>-1.6583132315955973</v>
      </c>
      <c r="L411">
        <f>LOG10(E411/C411)-LOG10(37995/47667)</f>
        <v>-1.4275757068554331</v>
      </c>
      <c r="M411">
        <f>LOG10(F411/C411)-LOG10(35167/47667)</f>
        <v>-1.631345495233721</v>
      </c>
      <c r="N411">
        <f>LOG10(G411/C411)-LOG10(34734/47667)</f>
        <v>-1.3249349780902737</v>
      </c>
      <c r="O411">
        <f>LOG10(H411/C411)-LOG10(33378/47667)</f>
        <v>-1.2883353332689116</v>
      </c>
      <c r="Q411">
        <f>AVERAGE(K411:O411)</f>
        <v>-1.4661009490087875</v>
      </c>
      <c r="R411">
        <f>STDEV(K411:O411)</f>
        <v>0.17121912962782004</v>
      </c>
    </row>
    <row r="412" spans="1:18">
      <c r="A412">
        <v>410</v>
      </c>
      <c r="C412">
        <v>1502</v>
      </c>
      <c r="D412">
        <v>58</v>
      </c>
      <c r="E412">
        <v>40</v>
      </c>
      <c r="F412">
        <v>39</v>
      </c>
      <c r="G412">
        <v>69</v>
      </c>
      <c r="H412">
        <v>24</v>
      </c>
      <c r="J412" s="2"/>
      <c r="K412">
        <f t="shared" si="6"/>
        <v>-1.4708544746355721</v>
      </c>
      <c r="L412">
        <f>LOG10(E412/C412)-LOG10(37995/47667)</f>
        <v>-1.476118570427287</v>
      </c>
      <c r="M412">
        <f>LOG10(F412/C412)-LOG10(35167/47667)</f>
        <v>-1.4535228273124339</v>
      </c>
      <c r="N412">
        <f>LOG10(G412/C412)-LOG10(34734/47667)</f>
        <v>-1.200357822122212</v>
      </c>
      <c r="O412">
        <f>LOG10(H412/C412)-LOG10(33378/47667)</f>
        <v>-1.6417011815218858</v>
      </c>
      <c r="Q412">
        <f>AVERAGE(K412:O412)</f>
        <v>-1.4485109752038783</v>
      </c>
      <c r="R412">
        <f>STDEV(K412:O412)</f>
        <v>0.1582632088831758</v>
      </c>
    </row>
    <row r="413" spans="1:18">
      <c r="A413">
        <v>411</v>
      </c>
      <c r="C413">
        <v>1445</v>
      </c>
      <c r="D413">
        <v>70</v>
      </c>
      <c r="E413">
        <v>54</v>
      </c>
      <c r="F413">
        <v>34</v>
      </c>
      <c r="G413">
        <v>18</v>
      </c>
      <c r="H413">
        <v>54</v>
      </c>
      <c r="J413" s="2"/>
      <c r="K413">
        <f t="shared" si="6"/>
        <v>-1.3723823426086696</v>
      </c>
      <c r="L413">
        <f>LOG10(E413/C413)-LOG10(37995/47667)</f>
        <v>-1.3289827163566978</v>
      </c>
      <c r="M413">
        <f>LOG10(F413/C413)-LOG10(35167/47667)</f>
        <v>-1.4963064317210952</v>
      </c>
      <c r="N413">
        <f>LOG10(G413/C413)-LOG10(34734/47667)</f>
        <v>-1.7671323221805781</v>
      </c>
      <c r="O413">
        <f>LOG10(H413/C413)-LOG10(33378/47667)</f>
        <v>-1.2727165778349403</v>
      </c>
      <c r="Q413">
        <f>AVERAGE(K413:O413)</f>
        <v>-1.4475040781403963</v>
      </c>
      <c r="R413">
        <f>STDEV(K413:O413)</f>
        <v>0.19671371502428292</v>
      </c>
    </row>
    <row r="414" spans="1:18">
      <c r="A414">
        <v>412</v>
      </c>
      <c r="C414">
        <v>643</v>
      </c>
      <c r="D414">
        <v>23</v>
      </c>
      <c r="E414">
        <v>14</v>
      </c>
      <c r="F414">
        <v>15</v>
      </c>
      <c r="G414">
        <v>7</v>
      </c>
      <c r="H414">
        <v>10</v>
      </c>
      <c r="J414" s="2"/>
      <c r="K414">
        <f t="shared" si="6"/>
        <v>-1.5040956724369889</v>
      </c>
      <c r="L414">
        <f>LOG10(E414/C414)-LOG10(37995/47667)</f>
        <v>-1.5635915663330837</v>
      </c>
      <c r="M414">
        <f>LOG10(F414/C414)-LOG10(35167/47667)</f>
        <v>-1.5000372155393245</v>
      </c>
      <c r="N414">
        <f>LOG10(G414/C414)-LOG10(34734/47667)</f>
        <v>-1.8256499131012829</v>
      </c>
      <c r="O414">
        <f>LOG10(H414/C414)-LOG10(33378/47667)</f>
        <v>-1.6534534634895641</v>
      </c>
      <c r="Q414">
        <f>AVERAGE(K414:O414)</f>
        <v>-1.609365566180049</v>
      </c>
      <c r="R414">
        <f>STDEV(K414:O414)</f>
        <v>0.13587895280065027</v>
      </c>
    </row>
    <row r="415" spans="1:18">
      <c r="A415">
        <v>413</v>
      </c>
      <c r="C415">
        <v>1639</v>
      </c>
      <c r="D415">
        <v>50</v>
      </c>
      <c r="E415">
        <v>81</v>
      </c>
      <c r="F415">
        <v>34</v>
      </c>
      <c r="G415">
        <v>50</v>
      </c>
      <c r="H415">
        <v>67</v>
      </c>
      <c r="J415" s="2"/>
      <c r="K415">
        <f t="shared" si="6"/>
        <v>-1.57322148476484</v>
      </c>
      <c r="L415">
        <f>LOG10(E415/C415)-LOG10(37995/47667)</f>
        <v>-1.2076025637789491</v>
      </c>
      <c r="M415">
        <f>LOG10(F415/C415)-LOG10(35167/47667)</f>
        <v>-1.5510175381990277</v>
      </c>
      <c r="N415">
        <f>LOG10(G415/C415)-LOG10(34734/47667)</f>
        <v>-1.3781459294257978</v>
      </c>
      <c r="O415">
        <f>LOG10(H415/C415)-LOG10(33378/47667)</f>
        <v>-1.2337466414350149</v>
      </c>
      <c r="Q415">
        <f>AVERAGE(K415:O415)</f>
        <v>-1.3887468315207259</v>
      </c>
      <c r="R415">
        <f>STDEV(K415:O415)</f>
        <v>0.17125519241978457</v>
      </c>
    </row>
    <row r="416" spans="1:18">
      <c r="A416">
        <v>414</v>
      </c>
      <c r="C416">
        <v>1382</v>
      </c>
      <c r="D416">
        <v>31</v>
      </c>
      <c r="E416">
        <v>46</v>
      </c>
      <c r="F416">
        <v>34</v>
      </c>
      <c r="G416">
        <v>60</v>
      </c>
      <c r="H416">
        <v>29</v>
      </c>
      <c r="J416" s="2"/>
      <c r="K416">
        <f t="shared" si="6"/>
        <v>-1.7067588847342667</v>
      </c>
      <c r="L416">
        <f>LOG10(E416/C416)-LOG10(37995/47667)</f>
        <v>-1.3792588404437052</v>
      </c>
      <c r="M416">
        <f>LOG10(F416/C416)-LOG10(35167/47667)</f>
        <v>-1.476946627666708</v>
      </c>
      <c r="N416">
        <f>LOG10(G416/C416)-LOG10(34734/47667)</f>
        <v>-1.2248937728458535</v>
      </c>
      <c r="O416">
        <f>LOG10(H416/C416)-LOG10(33378/47667)</f>
        <v>-1.5233525357045656</v>
      </c>
      <c r="Q416">
        <f>AVERAGE(K416:O416)</f>
        <v>-1.46224213227902</v>
      </c>
      <c r="R416">
        <f>STDEV(K416:O416)</f>
        <v>0.17815696469135037</v>
      </c>
    </row>
    <row r="417" spans="1:18">
      <c r="A417">
        <v>415</v>
      </c>
      <c r="C417">
        <v>754</v>
      </c>
      <c r="D417">
        <v>20</v>
      </c>
      <c r="E417">
        <v>20</v>
      </c>
      <c r="F417">
        <v>20</v>
      </c>
      <c r="G417">
        <v>24</v>
      </c>
      <c r="H417">
        <v>23</v>
      </c>
      <c r="J417" s="2"/>
      <c r="K417">
        <f t="shared" si="6"/>
        <v>-1.6339538857361526</v>
      </c>
      <c r="L417">
        <f>LOG10(E417/C417)-LOG10(37995/47667)</f>
        <v>-1.4778499792928925</v>
      </c>
      <c r="M417">
        <f>LOG10(F417/C417)-LOG10(35167/47667)</f>
        <v>-1.4442588518765764</v>
      </c>
      <c r="N417">
        <f>LOG10(G417/C417)-LOG10(34734/47667)</f>
        <v>-1.3596970843494858</v>
      </c>
      <c r="O417">
        <f>LOG10(H417/C417)-LOG10(33378/47667)</f>
        <v>-1.3608860004175234</v>
      </c>
      <c r="Q417">
        <f>AVERAGE(K417:O417)</f>
        <v>-1.4553291603345264</v>
      </c>
      <c r="R417">
        <f>STDEV(K417:O417)</f>
        <v>0.11247392581508972</v>
      </c>
    </row>
    <row r="418" spans="1:18">
      <c r="A418">
        <v>416</v>
      </c>
      <c r="C418">
        <v>848</v>
      </c>
      <c r="D418">
        <v>10</v>
      </c>
      <c r="E418">
        <v>20</v>
      </c>
      <c r="F418">
        <v>11</v>
      </c>
      <c r="G418">
        <v>20</v>
      </c>
      <c r="H418">
        <v>14</v>
      </c>
      <c r="J418" s="2"/>
      <c r="K418">
        <f t="shared" si="6"/>
        <v>-1.9860083877870736</v>
      </c>
      <c r="L418">
        <f>LOG10(E418/C418)-LOG10(37995/47667)</f>
        <v>-1.5288744856798324</v>
      </c>
      <c r="M418">
        <f>LOG10(F418/C418)-LOG10(35167/47667)</f>
        <v>-1.7549206687692724</v>
      </c>
      <c r="N418">
        <f>LOG10(G418/C418)-LOG10(34734/47667)</f>
        <v>-1.4899028367840503</v>
      </c>
      <c r="O418">
        <f>LOG10(H418/C418)-LOG10(33378/47667)</f>
        <v>-1.6275103071438179</v>
      </c>
      <c r="Q418">
        <f>AVERAGE(K418:O418)</f>
        <v>-1.677443337232809</v>
      </c>
      <c r="R418">
        <f>STDEV(K418:O418)</f>
        <v>0.20059447760331123</v>
      </c>
    </row>
    <row r="419" spans="1:18">
      <c r="A419">
        <v>417</v>
      </c>
      <c r="C419">
        <v>731</v>
      </c>
      <c r="D419">
        <v>39</v>
      </c>
      <c r="E419">
        <v>8</v>
      </c>
      <c r="F419">
        <v>13</v>
      </c>
      <c r="G419">
        <v>10</v>
      </c>
      <c r="H419">
        <v>15</v>
      </c>
      <c r="J419" s="2"/>
      <c r="K419">
        <f t="shared" si="6"/>
        <v>-1.330465305461721</v>
      </c>
      <c r="L419">
        <f>LOG10(E419/C419)-LOG10(37995/47667)</f>
        <v>-1.8623360190530165</v>
      </c>
      <c r="M419">
        <f>LOG10(F419/C419)-LOG10(35167/47667)</f>
        <v>-1.6178915263218072</v>
      </c>
      <c r="N419">
        <f>LOG10(G419/C419)-LOG10(34734/47667)</f>
        <v>-1.7264543571491782</v>
      </c>
      <c r="O419">
        <f>LOG10(H419/C419)-LOG10(33378/47667)</f>
        <v>-1.5330686084675214</v>
      </c>
      <c r="Q419">
        <f>AVERAGE(K419:O419)</f>
        <v>-1.6140431632906487</v>
      </c>
      <c r="R419">
        <f>STDEV(K419:O419)</f>
        <v>0.20079448984284792</v>
      </c>
    </row>
    <row r="420" spans="1:18">
      <c r="A420">
        <v>418</v>
      </c>
      <c r="C420">
        <v>1193</v>
      </c>
      <c r="D420">
        <v>24</v>
      </c>
      <c r="E420">
        <v>28</v>
      </c>
      <c r="F420">
        <v>37</v>
      </c>
      <c r="G420">
        <v>35</v>
      </c>
      <c r="H420">
        <v>42</v>
      </c>
      <c r="J420" s="2"/>
      <c r="K420">
        <f t="shared" si="6"/>
        <v>-1.7540417374890958</v>
      </c>
      <c r="L420">
        <f>LOG10(E420/C420)-LOG10(37995/47667)</f>
        <v>-1.5309910414152224</v>
      </c>
      <c r="M420">
        <f>LOG10(F420/C420)-LOG10(35167/47667)</f>
        <v>-1.3763562212741305</v>
      </c>
      <c r="N420">
        <f>LOG10(G420/C420)-LOG10(34734/47667)</f>
        <v>-1.3951093795113838</v>
      </c>
      <c r="O420">
        <f>LOG10(H420/C420)-LOG10(33378/47667)</f>
        <v>-1.2986336438377835</v>
      </c>
      <c r="Q420">
        <f>AVERAGE(K420:O420)</f>
        <v>-1.4710264047055233</v>
      </c>
      <c r="R420">
        <f>STDEV(K420:O420)</f>
        <v>0.17898221880342188</v>
      </c>
    </row>
    <row r="421" spans="1:18">
      <c r="A421">
        <v>419</v>
      </c>
      <c r="C421">
        <v>1651</v>
      </c>
      <c r="D421">
        <v>74</v>
      </c>
      <c r="E421">
        <v>31</v>
      </c>
      <c r="F421">
        <v>30</v>
      </c>
      <c r="G421">
        <v>34</v>
      </c>
      <c r="H421">
        <v>47</v>
      </c>
      <c r="J421" s="2"/>
      <c r="K421">
        <f t="shared" si="6"/>
        <v>-1.4061278890621773</v>
      </c>
      <c r="L421">
        <f>LOG10(E421/C421)-LOG10(37995/47667)</f>
        <v>-1.6278940085156206</v>
      </c>
      <c r="M421">
        <f>LOG10(F421/C421)-LOG10(35167/47667)</f>
        <v>-1.6085433202139148</v>
      </c>
      <c r="N421">
        <f>LOG10(G421/C421)-LOG10(34734/47667)</f>
        <v>-1.5488051364118562</v>
      </c>
      <c r="O421">
        <f>LOG10(H421/C421)-LOG10(33378/47667)</f>
        <v>-1.3908917058924184</v>
      </c>
      <c r="Q421">
        <f>AVERAGE(K421:O421)</f>
        <v>-1.5164524120191973</v>
      </c>
      <c r="R421">
        <f>STDEV(K421:O421)</f>
        <v>0.11167324530317928</v>
      </c>
    </row>
    <row r="422" spans="1:18">
      <c r="A422">
        <v>420</v>
      </c>
      <c r="C422">
        <v>1280</v>
      </c>
      <c r="D422">
        <v>19</v>
      </c>
      <c r="E422">
        <v>44</v>
      </c>
      <c r="F422">
        <v>42</v>
      </c>
      <c r="G422">
        <v>31</v>
      </c>
      <c r="H422">
        <v>35</v>
      </c>
      <c r="J422" s="2"/>
      <c r="K422">
        <f t="shared" si="6"/>
        <v>-1.8860689042253993</v>
      </c>
      <c r="L422">
        <f>LOG10(E422/C422)-LOG10(37995/47667)</f>
        <v>-1.3652659222487806</v>
      </c>
      <c r="M422">
        <f>LOG10(F422/C422)-LOG10(35167/47667)</f>
        <v>-1.3518781809207516</v>
      </c>
      <c r="N422">
        <f>LOG10(G422/C422)-LOG10(34734/47667)</f>
        <v>-1.4783852560049133</v>
      </c>
      <c r="O422">
        <f>LOG10(H422/C422)-LOG10(33378/47667)</f>
        <v>-1.4083844158629348</v>
      </c>
      <c r="Q422">
        <f>AVERAGE(K422:O422)</f>
        <v>-1.497996535852556</v>
      </c>
      <c r="R422">
        <f>STDEV(K422:O422)</f>
        <v>0.22247645205527714</v>
      </c>
    </row>
    <row r="423" spans="1:18">
      <c r="A423">
        <v>421</v>
      </c>
      <c r="C423">
        <v>1000</v>
      </c>
      <c r="D423">
        <v>42</v>
      </c>
      <c r="E423">
        <v>34</v>
      </c>
      <c r="F423">
        <v>27</v>
      </c>
      <c r="G423">
        <v>59</v>
      </c>
      <c r="H423">
        <v>47</v>
      </c>
      <c r="J423" s="2"/>
      <c r="K423">
        <f t="shared" si="6"/>
        <v>-1.4343632451324593</v>
      </c>
      <c r="L423">
        <f>LOG10(E423/C423)-LOG10(37995/47667)</f>
        <v>-1.3700297120448446</v>
      </c>
      <c r="M423">
        <f>LOG10(F423/C423)-LOG10(35167/47667)</f>
        <v>-1.4365537375117963</v>
      </c>
      <c r="N423">
        <f>LOG10(G423/C423)-LOG10(34734/47667)</f>
        <v>-1.0916849685491734</v>
      </c>
      <c r="O423">
        <f>LOG10(H423/C423)-LOG10(33378/47667)</f>
        <v>-1.1731446326296247</v>
      </c>
      <c r="Q423">
        <f>AVERAGE(K423:O423)</f>
        <v>-1.3011552591735795</v>
      </c>
      <c r="R423">
        <f>STDEV(K423:O423)</f>
        <v>0.15896959526926016</v>
      </c>
    </row>
    <row r="424" spans="1:18">
      <c r="A424">
        <v>422</v>
      </c>
      <c r="C424">
        <v>1650</v>
      </c>
      <c r="D424">
        <v>21</v>
      </c>
      <c r="E424">
        <v>101</v>
      </c>
      <c r="F424">
        <v>27</v>
      </c>
      <c r="G424">
        <v>26</v>
      </c>
      <c r="H424">
        <v>51</v>
      </c>
      <c r="J424" s="2"/>
      <c r="K424">
        <f t="shared" si="6"/>
        <v>-1.9528771850103468</v>
      </c>
      <c r="L424">
        <f>LOG10(E424/C424)-LOG10(37995/47667)</f>
        <v>-1.1146711995183634</v>
      </c>
      <c r="M424">
        <f>LOG10(F424/C424)-LOG10(35167/47667)</f>
        <v>-1.6540376817257025</v>
      </c>
      <c r="N424">
        <f>LOG10(G424/C424)-LOG10(34734/47667)</f>
        <v>-1.6650475764344059</v>
      </c>
      <c r="O424">
        <f>LOG10(H424/C424)-LOG10(33378/47667)</f>
        <v>-1.3551562586813122</v>
      </c>
      <c r="Q424">
        <f>AVERAGE(K424:O424)</f>
        <v>-1.5483579802740262</v>
      </c>
      <c r="R424">
        <f>STDEV(K424:O424)</f>
        <v>0.32164871256546734</v>
      </c>
    </row>
    <row r="425" spans="1:18">
      <c r="A425">
        <v>423</v>
      </c>
      <c r="C425">
        <v>1153</v>
      </c>
      <c r="D425">
        <v>15</v>
      </c>
      <c r="E425">
        <v>49</v>
      </c>
      <c r="F425">
        <v>65</v>
      </c>
      <c r="G425">
        <v>33</v>
      </c>
      <c r="H425">
        <v>581</v>
      </c>
      <c r="J425" s="2"/>
      <c r="K425">
        <f t="shared" si="6"/>
        <v>-1.9433505837693776</v>
      </c>
      <c r="L425">
        <f>LOG10(E425/C425)-LOG10(37995/47667)</f>
        <v>-1.273141856353285</v>
      </c>
      <c r="M425">
        <f>LOG10(F425/C425)-LOG10(35167/47667)</f>
        <v>-1.1168334523226271</v>
      </c>
      <c r="N425">
        <f>LOG10(G425/C425)-LOG10(34734/47667)</f>
        <v>-1.4058523476081293</v>
      </c>
      <c r="O425">
        <f>LOG10(H425/C425)-LOG10(33378/47667)</f>
        <v>-0.14289566546971053</v>
      </c>
      <c r="Q425">
        <f>AVERAGE(K425:O425)</f>
        <v>-1.1764147811046259</v>
      </c>
      <c r="R425">
        <f>STDEV(K425:O425)</f>
        <v>0.65610592638316456</v>
      </c>
    </row>
    <row r="426" spans="1:18">
      <c r="A426">
        <v>424</v>
      </c>
      <c r="C426">
        <v>1234</v>
      </c>
      <c r="D426">
        <v>41</v>
      </c>
      <c r="E426">
        <v>32</v>
      </c>
      <c r="F426">
        <v>48</v>
      </c>
      <c r="G426">
        <v>19</v>
      </c>
      <c r="H426">
        <v>25</v>
      </c>
      <c r="J426" s="2"/>
      <c r="K426">
        <f t="shared" si="6"/>
        <v>-1.5361438385078472</v>
      </c>
      <c r="L426">
        <f>LOG10(E426/C426)-LOG10(37995/47667)</f>
        <v>-1.4876738104644167</v>
      </c>
      <c r="M426">
        <f>LOG10(F426/C426)-LOG10(35167/47667)</f>
        <v>-1.2779914239924193</v>
      </c>
      <c r="N426">
        <f>LOG10(G426/C426)-LOG10(34734/47667)</f>
        <v>-1.6750985389357116</v>
      </c>
      <c r="O426">
        <f>LOG10(H426/C426)-LOG10(33378/47667)</f>
        <v>-1.5386176415905275</v>
      </c>
      <c r="Q426">
        <f>AVERAGE(K426:O426)</f>
        <v>-1.5031050506981845</v>
      </c>
      <c r="R426">
        <f>STDEV(K426:O426)</f>
        <v>0.14391727981005797</v>
      </c>
    </row>
    <row r="427" spans="1:18">
      <c r="A427">
        <v>425</v>
      </c>
      <c r="C427">
        <v>1975</v>
      </c>
      <c r="D427">
        <v>43</v>
      </c>
      <c r="E427">
        <v>65</v>
      </c>
      <c r="F427">
        <v>81</v>
      </c>
      <c r="G427">
        <v>51</v>
      </c>
      <c r="H427">
        <v>33</v>
      </c>
      <c r="J427" s="2"/>
      <c r="K427">
        <f t="shared" si="6"/>
        <v>-1.7197111799132523</v>
      </c>
      <c r="L427">
        <f>LOG10(E427/C427)-LOG10(37995/47667)</f>
        <v>-1.3841623724067231</v>
      </c>
      <c r="M427">
        <f>LOG10(F427/C427)-LOG10(35167/47667)</f>
        <v>-1.254999582754613</v>
      </c>
      <c r="N427">
        <f>LOG10(G427/C427)-LOG10(34734/47667)</f>
        <v>-1.4505339040558602</v>
      </c>
      <c r="O427">
        <f>LOG10(H427/C427)-LOG10(33378/47667)</f>
        <v>-1.6222956506499338</v>
      </c>
      <c r="Q427">
        <f>AVERAGE(K427:O427)</f>
        <v>-1.4863405379560768</v>
      </c>
      <c r="R427">
        <f>STDEV(K427:O427)</f>
        <v>0.18586741194660858</v>
      </c>
    </row>
    <row r="428" spans="1:18">
      <c r="A428">
        <v>426</v>
      </c>
      <c r="C428">
        <v>1671</v>
      </c>
      <c r="D428">
        <v>147</v>
      </c>
      <c r="E428">
        <v>96</v>
      </c>
      <c r="F428">
        <v>113</v>
      </c>
      <c r="G428">
        <v>101</v>
      </c>
      <c r="H428">
        <v>98</v>
      </c>
      <c r="J428" s="2"/>
      <c r="K428">
        <f t="shared" si="6"/>
        <v>-1.1132716506755751</v>
      </c>
      <c r="L428">
        <f>LOG10(E428/C428)-LOG10(37995/47667)</f>
        <v>-1.1422138459409226</v>
      </c>
      <c r="M428">
        <f>LOG10(F428/C428)-LOG10(35167/47667)</f>
        <v>-1.0378155080807552</v>
      </c>
      <c r="N428">
        <f>LOG10(G428/C428)-LOG10(34734/47667)</f>
        <v>-1.0811920563020665</v>
      </c>
      <c r="O428">
        <f>LOG10(H428/C428)-LOG10(33378/47667)</f>
        <v>-1.0769928647662386</v>
      </c>
      <c r="Q428">
        <f>AVERAGE(K428:O428)</f>
        <v>-1.0902971851531116</v>
      </c>
      <c r="R428">
        <f>STDEV(K428:O428)</f>
        <v>3.9488607452268093E-2</v>
      </c>
    </row>
    <row r="429" spans="1:18">
      <c r="A429">
        <v>427</v>
      </c>
      <c r="C429">
        <v>1912</v>
      </c>
      <c r="D429">
        <v>58</v>
      </c>
      <c r="E429">
        <v>89</v>
      </c>
      <c r="F429">
        <v>32</v>
      </c>
      <c r="G429">
        <v>38</v>
      </c>
      <c r="H429">
        <v>46</v>
      </c>
      <c r="J429" s="2"/>
      <c r="K429">
        <f t="shared" si="6"/>
        <v>-1.5756724299075038</v>
      </c>
      <c r="L429">
        <f>LOG10(E429/C429)-LOG10(37995/47667)</f>
        <v>-1.2336065103822682</v>
      </c>
      <c r="M429">
        <f>LOG10(F429/C429)-LOG10(35167/47667)</f>
        <v>-1.6442554112909589</v>
      </c>
      <c r="N429">
        <f>LOG10(G429/C429)-LOG10(34734/47667)</f>
        <v>-1.5642412715145888</v>
      </c>
      <c r="O429">
        <f>LOG10(H429/C429)-LOG10(33378/47667)</f>
        <v>-1.4639725468238494</v>
      </c>
      <c r="Q429">
        <f>AVERAGE(K429:O429)</f>
        <v>-1.4963496339838338</v>
      </c>
      <c r="R429">
        <f>STDEV(K429:O429)</f>
        <v>0.16035875727057541</v>
      </c>
    </row>
    <row r="430" spans="1:18">
      <c r="A430">
        <v>428</v>
      </c>
      <c r="C430">
        <v>1893</v>
      </c>
      <c r="D430">
        <v>61</v>
      </c>
      <c r="E430">
        <v>67</v>
      </c>
      <c r="F430">
        <v>62</v>
      </c>
      <c r="G430">
        <v>64</v>
      </c>
      <c r="H430">
        <v>64</v>
      </c>
      <c r="J430" s="2"/>
      <c r="K430">
        <f t="shared" si="6"/>
        <v>-1.5494333144833896</v>
      </c>
      <c r="L430">
        <f>LOG10(E430/C430)-LOG10(37995/47667)</f>
        <v>-1.35258444035007</v>
      </c>
      <c r="M430">
        <f>LOG10(F430/C430)-LOG10(35167/47667)</f>
        <v>-1.3526764261363264</v>
      </c>
      <c r="N430">
        <f>LOG10(G430/C430)-LOG10(34734/47667)</f>
        <v>-1.3335076201712273</v>
      </c>
      <c r="O430">
        <f>LOG10(H430/C430)-LOG10(33378/47667)</f>
        <v>-1.3162131305452518</v>
      </c>
      <c r="Q430">
        <f>AVERAGE(K430:O430)</f>
        <v>-1.3808829863372529</v>
      </c>
      <c r="R430">
        <f>STDEV(K430:O430)</f>
        <v>9.5436165090927116E-2</v>
      </c>
    </row>
    <row r="431" spans="1:18">
      <c r="A431">
        <v>429</v>
      </c>
      <c r="C431">
        <v>624</v>
      </c>
      <c r="D431">
        <v>9</v>
      </c>
      <c r="E431">
        <v>18</v>
      </c>
      <c r="F431">
        <v>27</v>
      </c>
      <c r="G431">
        <v>8</v>
      </c>
      <c r="H431">
        <v>30</v>
      </c>
      <c r="J431" s="2"/>
      <c r="K431">
        <f t="shared" si="6"/>
        <v>-1.898554615773459</v>
      </c>
      <c r="L431">
        <f>LOG10(E431/C431)-LOG10(37995/47667)</f>
        <v>-1.4414207136662176</v>
      </c>
      <c r="M431">
        <f>LOG10(F431/C431)-LOG10(35167/47667)</f>
        <v>-1.2317383271942204</v>
      </c>
      <c r="N431">
        <f>LOG10(G431/C431)-LOG10(34734/47667)</f>
        <v>-1.754631582881798</v>
      </c>
      <c r="O431">
        <f>LOG10(H431/C431)-LOG10(33378/47667)</f>
        <v>-1.1633058255281037</v>
      </c>
      <c r="Q431">
        <f>AVERAGE(K431:O431)</f>
        <v>-1.4979302130087597</v>
      </c>
      <c r="R431">
        <f>STDEV(K431:O431)</f>
        <v>0.32109984026448801</v>
      </c>
    </row>
    <row r="432" spans="1:18">
      <c r="A432">
        <v>430</v>
      </c>
      <c r="C432">
        <v>1103</v>
      </c>
      <c r="D432">
        <v>18</v>
      </c>
      <c r="E432">
        <v>23</v>
      </c>
      <c r="F432">
        <v>17</v>
      </c>
      <c r="G432">
        <v>35</v>
      </c>
      <c r="H432">
        <v>19</v>
      </c>
      <c r="J432" s="2"/>
      <c r="K432">
        <f t="shared" si="6"/>
        <v>-1.8449155428672444</v>
      </c>
      <c r="L432">
        <f>LOG10(E432/C432)-LOG10(37995/47667)</f>
        <v>-1.5823563055096974</v>
      </c>
      <c r="M432">
        <f>LOG10(F432/C432)-LOG10(35167/47667)</f>
        <v>-1.6800440927327003</v>
      </c>
      <c r="N432">
        <f>LOG10(G432/C432)-LOG10(34734/47667)</f>
        <v>-1.3610444482812325</v>
      </c>
      <c r="O432">
        <f>LOG10(H432/C432)-LOG10(33378/47667)</f>
        <v>-1.6090644020527038</v>
      </c>
      <c r="Q432">
        <f>AVERAGE(K432:O432)</f>
        <v>-1.6154849582887156</v>
      </c>
      <c r="R432">
        <f>STDEV(K432:O432)</f>
        <v>0.17513207822269636</v>
      </c>
    </row>
    <row r="433" spans="1:18">
      <c r="A433">
        <v>431</v>
      </c>
      <c r="C433">
        <v>733</v>
      </c>
      <c r="D433">
        <v>23</v>
      </c>
      <c r="E433">
        <v>8</v>
      </c>
      <c r="F433">
        <v>12</v>
      </c>
      <c r="G433">
        <v>39</v>
      </c>
      <c r="H433">
        <v>16</v>
      </c>
      <c r="J433" s="2"/>
      <c r="K433">
        <f t="shared" si="6"/>
        <v>-1.5609886741538948</v>
      </c>
      <c r="L433">
        <f>LOG10(E433/C433)-LOG10(37995/47667)</f>
        <v>-1.8635226167362842</v>
      </c>
      <c r="M433">
        <f>LOG10(F433/C433)-LOG10(35167/47667)</f>
        <v>-1.6538402302642867</v>
      </c>
      <c r="N433">
        <f>LOG10(G433/C433)-LOG10(34734/47667)</f>
        <v>-1.1365763478059463</v>
      </c>
      <c r="O433">
        <f>LOG10(H433/C433)-LOG10(33378/47667)</f>
        <v>-1.5062264825505454</v>
      </c>
      <c r="Q433">
        <f>AVERAGE(K433:O433)</f>
        <v>-1.5442308703021914</v>
      </c>
      <c r="R433">
        <f>STDEV(K433:O433)</f>
        <v>0.26545658699784735</v>
      </c>
    </row>
    <row r="434" spans="1:18">
      <c r="A434">
        <v>432</v>
      </c>
      <c r="C434">
        <v>573</v>
      </c>
      <c r="D434">
        <v>14</v>
      </c>
      <c r="E434">
        <v>12</v>
      </c>
      <c r="F434">
        <v>5</v>
      </c>
      <c r="G434">
        <v>13</v>
      </c>
      <c r="H434">
        <v>9</v>
      </c>
      <c r="J434" s="2"/>
      <c r="K434">
        <f t="shared" si="6"/>
        <v>-1.6696391218195119</v>
      </c>
      <c r="L434">
        <f>LOG10(E434/C434)-LOG10(37995/47667)</f>
        <v>-1.5804820050068649</v>
      </c>
      <c r="M434">
        <f>LOG10(F434/C434)-LOG10(35167/47667)</f>
        <v>-1.9271021193021547</v>
      </c>
      <c r="N434">
        <f>LOG10(G434/C434)-LOG10(34734/47667)</f>
        <v>-1.5067482498518709</v>
      </c>
      <c r="O434">
        <f>LOG10(H434/C434)-LOG10(33378/47667)</f>
        <v>-1.6491546030934072</v>
      </c>
      <c r="Q434">
        <f>AVERAGE(K434:O434)</f>
        <v>-1.6666252198147617</v>
      </c>
      <c r="R434">
        <f>STDEV(K434:O434)</f>
        <v>0.15901558115672082</v>
      </c>
    </row>
    <row r="435" spans="1:18">
      <c r="A435">
        <v>433</v>
      </c>
      <c r="C435">
        <v>1089</v>
      </c>
      <c r="D435">
        <v>18</v>
      </c>
      <c r="E435">
        <v>20</v>
      </c>
      <c r="F435">
        <v>20</v>
      </c>
      <c r="G435">
        <v>27</v>
      </c>
      <c r="H435">
        <v>25</v>
      </c>
      <c r="J435" s="2"/>
      <c r="K435">
        <f t="shared" si="6"/>
        <v>-1.8393679101828286</v>
      </c>
      <c r="L435">
        <f>LOG10(E435/C435)-LOG10(37995/47667)</f>
        <v>-1.6375065131788935</v>
      </c>
      <c r="M435">
        <f>LOG10(F435/C435)-LOG10(35167/47667)</f>
        <v>-1.6039153857625774</v>
      </c>
      <c r="N435">
        <f>LOG10(G435/C435)-LOG10(34734/47667)</f>
        <v>-1.4682010957881053</v>
      </c>
      <c r="O435">
        <f>LOG10(H435/C435)-LOG10(33378/47667)</f>
        <v>-1.4843303616490795</v>
      </c>
      <c r="Q435">
        <f>AVERAGE(K435:O435)</f>
        <v>-1.6066642533122966</v>
      </c>
      <c r="R435">
        <f>STDEV(K435:O435)</f>
        <v>0.14937153362374611</v>
      </c>
    </row>
    <row r="436" spans="1:18">
      <c r="A436">
        <v>434</v>
      </c>
      <c r="C436">
        <v>2760</v>
      </c>
      <c r="D436">
        <v>294</v>
      </c>
      <c r="E436">
        <v>134</v>
      </c>
      <c r="F436">
        <v>129</v>
      </c>
      <c r="G436">
        <v>245</v>
      </c>
      <c r="H436">
        <v>128</v>
      </c>
      <c r="J436" s="2"/>
      <c r="K436">
        <f t="shared" si="6"/>
        <v>-1.0301742871834203</v>
      </c>
      <c r="L436">
        <f>LOG10(E436/C436)-LOG10(37995/47667)</f>
        <v>-1.2153129127875097</v>
      </c>
      <c r="M436">
        <f>LOG10(F436/C436)-LOG10(35167/47667)</f>
        <v>-1.1982368734367523</v>
      </c>
      <c r="N436">
        <f>LOG10(G436/C436)-LOG10(34734/47667)</f>
        <v>-0.91427997789200288</v>
      </c>
      <c r="O436">
        <f>LOG10(H436/C436)-LOG10(33378/47667)</f>
        <v>-1.1789416029826916</v>
      </c>
      <c r="Q436">
        <f>AVERAGE(K436:O436)</f>
        <v>-1.1073891308564754</v>
      </c>
      <c r="R436">
        <f>STDEV(K436:O436)</f>
        <v>0.13064636270071914</v>
      </c>
    </row>
    <row r="437" spans="1:18">
      <c r="A437">
        <v>435</v>
      </c>
      <c r="C437">
        <v>880</v>
      </c>
      <c r="D437">
        <v>11</v>
      </c>
      <c r="E437">
        <v>35</v>
      </c>
      <c r="F437">
        <v>44</v>
      </c>
      <c r="G437">
        <v>28</v>
      </c>
      <c r="H437">
        <v>32</v>
      </c>
      <c r="J437" s="2"/>
      <c r="K437">
        <f t="shared" si="6"/>
        <v>-1.9607025225223034</v>
      </c>
      <c r="L437">
        <f>LOG10(E437/C437)-LOG10(37995/47667)</f>
        <v>-1.3019232568869927</v>
      </c>
      <c r="M437">
        <f>LOG10(F437/C437)-LOG10(35167/47667)</f>
        <v>-1.1689474973347649</v>
      </c>
      <c r="N437">
        <f>LOG10(G437/C437)-LOG10(34734/47667)</f>
        <v>-1.3598616209992671</v>
      </c>
      <c r="O437">
        <f>LOG10(H437/C437)-LOG10(33378/47667)</f>
        <v>-1.2845751843956048</v>
      </c>
      <c r="Q437">
        <f>AVERAGE(K437:O437)</f>
        <v>-1.4152020164277865</v>
      </c>
      <c r="R437">
        <f>STDEV(K437:O437)</f>
        <v>0.3127179625074164</v>
      </c>
    </row>
    <row r="438" spans="1:18">
      <c r="A438">
        <v>436</v>
      </c>
      <c r="C438">
        <v>577</v>
      </c>
      <c r="D438">
        <v>16</v>
      </c>
      <c r="E438">
        <v>6</v>
      </c>
      <c r="F438">
        <v>3</v>
      </c>
      <c r="G438">
        <v>22</v>
      </c>
      <c r="H438">
        <v>9</v>
      </c>
      <c r="J438" s="2"/>
      <c r="K438">
        <f t="shared" si="6"/>
        <v>-1.6146683660301666</v>
      </c>
      <c r="L438">
        <f>LOG10(E438/C438)-LOG10(37995/47667)</f>
        <v>-1.8845331918591874</v>
      </c>
      <c r="M438">
        <f>LOG10(F438/C438)-LOG10(35167/47667)</f>
        <v>-2.1519720601068522</v>
      </c>
      <c r="N438">
        <f>LOG10(G438/C438)-LOG10(34734/47667)</f>
        <v>-1.2812901125248428</v>
      </c>
      <c r="O438">
        <f>LOG10(H438/C438)-LOG10(33378/47667)</f>
        <v>-1.6521757942817488</v>
      </c>
      <c r="Q438">
        <f>AVERAGE(K438:O438)</f>
        <v>-1.7169279049605595</v>
      </c>
      <c r="R438">
        <f>STDEV(K438:O438)</f>
        <v>0.32472491606789433</v>
      </c>
    </row>
    <row r="439" spans="1:18">
      <c r="A439">
        <v>437</v>
      </c>
      <c r="C439">
        <v>756</v>
      </c>
      <c r="D439">
        <v>41</v>
      </c>
      <c r="E439">
        <v>92</v>
      </c>
      <c r="F439">
        <v>39</v>
      </c>
      <c r="G439">
        <v>52</v>
      </c>
      <c r="H439">
        <v>58</v>
      </c>
      <c r="J439" s="2"/>
      <c r="K439">
        <f t="shared" si="6"/>
        <v>-1.3233504743118309</v>
      </c>
      <c r="L439">
        <f>LOG10(E439/C439)-LOG10(37995/47667)</f>
        <v>-0.81624259724275106</v>
      </c>
      <c r="M439">
        <f>LOG10(F439/C439)-LOG10(35167/47667)</f>
        <v>-1.1553746901454909</v>
      </c>
      <c r="N439">
        <f>LOG10(G439/C439)-LOG10(34734/47667)</f>
        <v>-1.025055432057725</v>
      </c>
      <c r="O439">
        <f>LOG10(H439/C439)-LOG10(33378/47667)</f>
        <v>-0.96033629250361141</v>
      </c>
      <c r="Q439">
        <f>AVERAGE(K439:O439)</f>
        <v>-1.0560718972522818</v>
      </c>
      <c r="R439">
        <f>STDEV(K439:O439)</f>
        <v>0.19296651439057425</v>
      </c>
    </row>
    <row r="440" spans="1:18">
      <c r="A440">
        <v>438</v>
      </c>
      <c r="C440">
        <v>1176</v>
      </c>
      <c r="D440">
        <v>31</v>
      </c>
      <c r="E440">
        <v>31</v>
      </c>
      <c r="F440">
        <v>36</v>
      </c>
      <c r="G440">
        <v>67</v>
      </c>
      <c r="H440">
        <v>23</v>
      </c>
      <c r="J440" s="2"/>
      <c r="K440">
        <f t="shared" si="6"/>
        <v>-1.6366581634362067</v>
      </c>
      <c r="L440">
        <f>LOG10(E440/C440)-LOG10(37995/47667)</f>
        <v>-1.4805542569929466</v>
      </c>
      <c r="M440">
        <f>LOG10(F440/C440)-LOG10(35167/47667)</f>
        <v>-1.3820223226436161</v>
      </c>
      <c r="N440">
        <f>LOG10(G440/C440)-LOG10(34734/47667)</f>
        <v>-1.106869499230611</v>
      </c>
      <c r="O440">
        <f>LOG10(H440/C440)-LOG10(33378/47667)</f>
        <v>-1.5539219762878689</v>
      </c>
      <c r="Q440">
        <f>AVERAGE(K440:O440)</f>
        <v>-1.4320052437182498</v>
      </c>
      <c r="R440">
        <f>STDEV(K440:O440)</f>
        <v>0.20452081719361037</v>
      </c>
    </row>
    <row r="441" spans="1:18">
      <c r="A441">
        <v>439</v>
      </c>
      <c r="C441">
        <v>1289</v>
      </c>
      <c r="D441">
        <v>14</v>
      </c>
      <c r="E441">
        <v>30</v>
      </c>
      <c r="F441">
        <v>32</v>
      </c>
      <c r="G441">
        <v>13</v>
      </c>
      <c r="H441">
        <v>35</v>
      </c>
      <c r="J441" s="2"/>
      <c r="K441">
        <f t="shared" si="6"/>
        <v>-2.0217374172055247</v>
      </c>
      <c r="L441">
        <f>LOG10(E441/C441)-LOG10(37995/47667)</f>
        <v>-1.5346402917208404</v>
      </c>
      <c r="M441">
        <f>LOG10(F441/C441)-LOG10(35167/47667)</f>
        <v>-1.4730204407042806</v>
      </c>
      <c r="N441">
        <f>LOG10(G441/C441)-LOG10(34734/47667)</f>
        <v>-1.858846545237884</v>
      </c>
      <c r="O441">
        <f>LOG10(H441/C441)-LOG10(33378/47667)</f>
        <v>-1.4114273635684695</v>
      </c>
      <c r="Q441">
        <f>AVERAGE(K441:O441)</f>
        <v>-1.6599344116874</v>
      </c>
      <c r="R441">
        <f>STDEV(K441:O441)</f>
        <v>0.26592228831333808</v>
      </c>
    </row>
    <row r="442" spans="1:18">
      <c r="A442">
        <v>440</v>
      </c>
      <c r="C442">
        <v>1346</v>
      </c>
      <c r="D442">
        <v>61</v>
      </c>
      <c r="E442">
        <v>54</v>
      </c>
      <c r="F442">
        <v>33</v>
      </c>
      <c r="G442">
        <v>25</v>
      </c>
      <c r="H442">
        <v>40</v>
      </c>
      <c r="J442" s="2"/>
      <c r="K442">
        <f t="shared" si="6"/>
        <v>-1.4013277604075509</v>
      </c>
      <c r="L442">
        <f>LOG10(E442/C442)-LOG10(37995/47667)</f>
        <v>-1.2981599291520893</v>
      </c>
      <c r="M442">
        <f>LOG10(F442/C442)-LOG10(35167/47667)</f>
        <v>-1.4784486216808541</v>
      </c>
      <c r="N442">
        <f>LOG10(G442/C442)-LOG10(34734/47667)</f>
        <v>-1.5936420314072381</v>
      </c>
      <c r="O442">
        <f>LOG10(H442/C442)-LOG10(33378/47667)</f>
        <v>-1.3722275591253379</v>
      </c>
      <c r="Q442">
        <f>AVERAGE(K442:O442)</f>
        <v>-1.4287611803546141</v>
      </c>
      <c r="R442">
        <f>STDEV(K442:O442)</f>
        <v>0.11253873393674098</v>
      </c>
    </row>
    <row r="443" spans="1:18">
      <c r="A443">
        <v>441</v>
      </c>
      <c r="C443">
        <v>1586</v>
      </c>
      <c r="D443">
        <v>43</v>
      </c>
      <c r="E443">
        <v>35</v>
      </c>
      <c r="F443">
        <v>75</v>
      </c>
      <c r="G443">
        <v>52</v>
      </c>
      <c r="H443">
        <v>44</v>
      </c>
      <c r="J443" s="2"/>
      <c r="K443">
        <f t="shared" si="6"/>
        <v>-1.6244472629323583</v>
      </c>
      <c r="L443">
        <f>LOG10(E443/C443)-LOG10(37995/47667)</f>
        <v>-1.5577437677184092</v>
      </c>
      <c r="M443">
        <f>LOG10(F443/C443)-LOG10(35167/47667)</f>
        <v>-1.1931594212606687</v>
      </c>
      <c r="N443">
        <f>LOG10(G443/C443)-LOG10(34734/47667)</f>
        <v>-1.3468368195381035</v>
      </c>
      <c r="O443">
        <f>LOG10(H443/C443)-LOG10(33378/47667)</f>
        <v>-1.4020929970607396</v>
      </c>
      <c r="Q443">
        <f>AVERAGE(K443:O443)</f>
        <v>-1.4248560537020558</v>
      </c>
      <c r="R443">
        <f>STDEV(K443:O443)</f>
        <v>0.17159857405466161</v>
      </c>
    </row>
    <row r="444" spans="1:18">
      <c r="A444">
        <v>442</v>
      </c>
      <c r="C444">
        <v>1419</v>
      </c>
      <c r="D444">
        <v>95</v>
      </c>
      <c r="E444">
        <v>89</v>
      </c>
      <c r="F444">
        <v>94</v>
      </c>
      <c r="G444">
        <v>79</v>
      </c>
      <c r="H444">
        <v>59</v>
      </c>
      <c r="J444" s="2"/>
      <c r="K444">
        <f t="shared" si="6"/>
        <v>-1.2318713256989859</v>
      </c>
      <c r="L444">
        <f>LOG10(E444/C444)-LOG10(37995/47667)</f>
        <v>-1.1041010178996609</v>
      </c>
      <c r="M444">
        <f>LOG10(F444/C444)-LOG10(35167/47667)</f>
        <v>-1.046772043528559</v>
      </c>
      <c r="N444">
        <f>LOG10(G444/C444)-LOG10(34734/47667)</f>
        <v>-1.1168922843583502</v>
      </c>
      <c r="O444">
        <f>LOG10(H444/C444)-LOG10(33378/47667)</f>
        <v>-1.2263728743806719</v>
      </c>
      <c r="Q444">
        <f>AVERAGE(K444:O444)</f>
        <v>-1.1452019091732457</v>
      </c>
      <c r="R444">
        <f>STDEV(K444:O444)</f>
        <v>8.1054719056159394E-2</v>
      </c>
    </row>
    <row r="445" spans="1:18">
      <c r="A445">
        <v>443</v>
      </c>
      <c r="C445">
        <v>1808</v>
      </c>
      <c r="D445">
        <v>38</v>
      </c>
      <c r="E445">
        <v>53</v>
      </c>
      <c r="F445">
        <v>29</v>
      </c>
      <c r="G445">
        <v>49</v>
      </c>
      <c r="H445">
        <v>94</v>
      </c>
      <c r="J445" s="2"/>
      <c r="K445">
        <f t="shared" si="6"/>
        <v>-1.7350273650528942</v>
      </c>
      <c r="L445">
        <f>LOG10(E445/C445)-LOG10(37995/47667)</f>
        <v>-1.4344311856256551</v>
      </c>
      <c r="M445">
        <f>LOG10(F445/C445)-LOG10(35167/47667)</f>
        <v>-1.6627179299111721</v>
      </c>
      <c r="N445">
        <f>LOG10(G445/C445)-LOG10(34734/47667)</f>
        <v>-1.4295393263021485</v>
      </c>
      <c r="O445">
        <f>LOG10(H445/C445)-LOG10(33378/47667)</f>
        <v>-1.1293130631049881</v>
      </c>
      <c r="Q445">
        <f>AVERAGE(K445:O445)</f>
        <v>-1.4782057739993715</v>
      </c>
      <c r="R445">
        <f>STDEV(K445:O445)</f>
        <v>0.23770403169933443</v>
      </c>
    </row>
    <row r="446" spans="1:18">
      <c r="A446">
        <v>444</v>
      </c>
      <c r="C446">
        <v>720</v>
      </c>
      <c r="D446">
        <v>27</v>
      </c>
      <c r="E446">
        <v>24</v>
      </c>
      <c r="F446">
        <v>22</v>
      </c>
      <c r="G446">
        <v>13</v>
      </c>
      <c r="H446">
        <v>7</v>
      </c>
      <c r="J446" s="2"/>
      <c r="K446">
        <f t="shared" si="6"/>
        <v>-1.483581267802641</v>
      </c>
      <c r="L446">
        <f>LOG10(E446/C446)-LOG10(37995/47667)</f>
        <v>-1.3786298838067621</v>
      </c>
      <c r="M446">
        <f>LOG10(F446/C446)-LOG10(35167/47667)</f>
        <v>-1.382827317279846</v>
      </c>
      <c r="N446">
        <f>LOG10(G446/C446)-LOG10(34734/47667)</f>
        <v>-1.6059261243157494</v>
      </c>
      <c r="O446">
        <f>LOG10(H446/C446)-LOG10(33378/47667)</f>
        <v>-1.8574769469823538</v>
      </c>
      <c r="Q446">
        <f>AVERAGE(K446:O446)</f>
        <v>-1.5416883080374706</v>
      </c>
      <c r="R446">
        <f>STDEV(K446:O446)</f>
        <v>0.19940552509196505</v>
      </c>
    </row>
    <row r="447" spans="1:18">
      <c r="A447">
        <v>445</v>
      </c>
      <c r="C447">
        <v>895</v>
      </c>
      <c r="D447">
        <v>32</v>
      </c>
      <c r="E447">
        <v>18</v>
      </c>
      <c r="F447">
        <v>33</v>
      </c>
      <c r="G447">
        <v>18</v>
      </c>
      <c r="H447">
        <v>25</v>
      </c>
      <c r="J447" s="2"/>
      <c r="K447">
        <f t="shared" si="6"/>
        <v>-1.5042855925263658</v>
      </c>
      <c r="L447">
        <f>LOG10(E447/C447)-LOG10(37995/47667)</f>
        <v>-1.5980591592997055</v>
      </c>
      <c r="M447">
        <f>LOG10(F447/C447)-LOG10(35167/47667)</f>
        <v>-1.3012265971088082</v>
      </c>
      <c r="N447">
        <f>LOG10(G447/C447)-LOG10(34734/47667)</f>
        <v>-1.5590875104039235</v>
      </c>
      <c r="O447">
        <f>LOG10(H447/C447)-LOG10(33378/47667)</f>
        <v>-1.3991255172092165</v>
      </c>
      <c r="Q447">
        <f>AVERAGE(K447:O447)</f>
        <v>-1.4723568753096039</v>
      </c>
      <c r="R447">
        <f>STDEV(K447:O447)</f>
        <v>0.12144043207845674</v>
      </c>
    </row>
    <row r="448" spans="1:18">
      <c r="A448">
        <v>446</v>
      </c>
      <c r="C448">
        <v>777</v>
      </c>
      <c r="D448">
        <v>25</v>
      </c>
      <c r="E448">
        <v>19</v>
      </c>
      <c r="F448">
        <v>17</v>
      </c>
      <c r="G448">
        <v>31</v>
      </c>
      <c r="H448">
        <v>27</v>
      </c>
      <c r="J448" s="2"/>
      <c r="K448">
        <f t="shared" si="6"/>
        <v>-1.5500935456592364</v>
      </c>
      <c r="L448">
        <f>LOG10(E448/C448)-LOG10(37995/47667)</f>
        <v>-1.5131760469351851</v>
      </c>
      <c r="M448">
        <f>LOG10(F448/C448)-LOG10(35167/47667)</f>
        <v>-1.527889599093424</v>
      </c>
      <c r="N448">
        <f>LOG10(G448/C448)-LOG10(34734/47667)</f>
        <v>-1.2615963051579593</v>
      </c>
      <c r="O448">
        <f>LOG10(H448/C448)-LOG10(33378/47667)</f>
        <v>-1.3042997452072691</v>
      </c>
      <c r="Q448">
        <f>AVERAGE(K448:O448)</f>
        <v>-1.4314110484106148</v>
      </c>
      <c r="R448">
        <f>STDEV(K448:O448)</f>
        <v>0.13699771102719716</v>
      </c>
    </row>
    <row r="449" spans="1:18">
      <c r="A449">
        <v>447</v>
      </c>
      <c r="C449">
        <v>1678</v>
      </c>
      <c r="D449">
        <v>57</v>
      </c>
      <c r="E449">
        <v>85</v>
      </c>
      <c r="F449">
        <v>20</v>
      </c>
      <c r="G449">
        <v>51</v>
      </c>
      <c r="H449">
        <v>90</v>
      </c>
      <c r="J449" s="2"/>
      <c r="K449">
        <f t="shared" si="6"/>
        <v>-1.5265296363505498</v>
      </c>
      <c r="L449">
        <f>LOG10(E449/C449)-LOG10(37995/47667)</f>
        <v>-1.1968816598654883</v>
      </c>
      <c r="M449">
        <f>LOG10(F449/C449)-LOG10(35167/47667)</f>
        <v>-1.7916794624994838</v>
      </c>
      <c r="N449">
        <f>LOG10(G449/C449)-LOG10(34734/47667)</f>
        <v>-1.3797587605860628</v>
      </c>
      <c r="O449">
        <f>LOG10(H449/C449)-LOG10(33378/47667)</f>
        <v>-1.1157919376186989</v>
      </c>
      <c r="Q449">
        <f>AVERAGE(K449:O449)</f>
        <v>-1.4021282913840565</v>
      </c>
      <c r="R449">
        <f>STDEV(K449:O449)</f>
        <v>0.27011150137135864</v>
      </c>
    </row>
    <row r="450" spans="1:18">
      <c r="A450">
        <v>448</v>
      </c>
      <c r="C450">
        <v>460</v>
      </c>
      <c r="D450">
        <v>3</v>
      </c>
      <c r="E450">
        <v>21</v>
      </c>
      <c r="F450">
        <v>4</v>
      </c>
      <c r="G450">
        <v>6</v>
      </c>
      <c r="H450">
        <v>20</v>
      </c>
      <c r="J450" s="2"/>
      <c r="K450">
        <f t="shared" si="6"/>
        <v>-2.2432491124922715</v>
      </c>
      <c r="L450">
        <f>LOG10(E450/C450)-LOG10(37995/47667)</f>
        <v>-1.2420471660347545</v>
      </c>
      <c r="M450">
        <f>LOG10(F450/C450)-LOG10(35167/47667)</f>
        <v>-1.9286153420243954</v>
      </c>
      <c r="N450">
        <f>LOG10(G450/C450)-LOG10(34734/47667)</f>
        <v>-1.7471435614892481</v>
      </c>
      <c r="O450">
        <f>LOG10(H450/C450)-LOG10(33378/47667)</f>
        <v>-1.206970326582935</v>
      </c>
      <c r="Q450">
        <f>AVERAGE(K450:O450)</f>
        <v>-1.6736051017247209</v>
      </c>
      <c r="R450">
        <f>STDEV(K450:O450)</f>
        <v>0.44691237730515682</v>
      </c>
    </row>
    <row r="451" spans="1:18">
      <c r="A451">
        <v>449</v>
      </c>
      <c r="C451">
        <v>1524</v>
      </c>
      <c r="D451">
        <v>71</v>
      </c>
      <c r="E451">
        <v>107</v>
      </c>
      <c r="F451">
        <v>48</v>
      </c>
      <c r="G451">
        <v>35</v>
      </c>
      <c r="H451">
        <v>98</v>
      </c>
      <c r="J451" s="2"/>
      <c r="K451">
        <f t="shared" ref="K451:K514" si="7">LOG10(D451/C451)-LOG10(54429/47667)</f>
        <v>-1.3893391538148663</v>
      </c>
      <c r="L451">
        <f>LOG10(E451/C451)-LOG10(37995/47667)</f>
        <v>-1.0551098184054719</v>
      </c>
      <c r="M451">
        <f>LOG10(F451/C451)-LOG10(35167/47667)</f>
        <v>-1.3696612312987781</v>
      </c>
      <c r="N451">
        <f>LOG10(G451/C451)-LOG10(34734/47667)</f>
        <v>-1.5014539028446237</v>
      </c>
      <c r="O451">
        <f>LOG10(H451/C451)-LOG10(33378/47667)</f>
        <v>-1.037001381876429</v>
      </c>
      <c r="Q451">
        <f>AVERAGE(K451:O451)</f>
        <v>-1.2705130976480339</v>
      </c>
      <c r="R451">
        <f>STDEV(K451:O451)</f>
        <v>0.21107459205603435</v>
      </c>
    </row>
    <row r="452" spans="1:18">
      <c r="A452">
        <v>450</v>
      </c>
      <c r="C452">
        <v>2104</v>
      </c>
      <c r="D452">
        <v>69</v>
      </c>
      <c r="E452">
        <v>78</v>
      </c>
      <c r="F452">
        <v>49</v>
      </c>
      <c r="G452">
        <v>93</v>
      </c>
      <c r="H452">
        <v>63</v>
      </c>
      <c r="J452" s="2"/>
      <c r="K452">
        <f t="shared" si="7"/>
        <v>-1.541809180274806</v>
      </c>
      <c r="L452">
        <f>LOG10(E452/C452)-LOG10(37995/47667)</f>
        <v>-1.3324597618783207</v>
      </c>
      <c r="M452">
        <f>LOG10(F452/C452)-LOG10(35167/47667)</f>
        <v>-1.5007671571239714</v>
      </c>
      <c r="N452">
        <f>LOG10(G452/C452)-LOG10(34734/47667)</f>
        <v>-1.217099767119084</v>
      </c>
      <c r="O452">
        <f>LOG10(H452/C452)-LOG10(33378/47667)</f>
        <v>-1.3689476765934618</v>
      </c>
      <c r="Q452">
        <f>AVERAGE(K452:O452)</f>
        <v>-1.3922167085979287</v>
      </c>
      <c r="R452">
        <f>STDEV(K452:O452)</f>
        <v>0.13128155923641985</v>
      </c>
    </row>
    <row r="453" spans="1:18">
      <c r="A453">
        <v>451</v>
      </c>
      <c r="C453">
        <v>1152</v>
      </c>
      <c r="D453">
        <v>24</v>
      </c>
      <c r="E453">
        <v>32</v>
      </c>
      <c r="F453">
        <v>35</v>
      </c>
      <c r="G453">
        <v>43</v>
      </c>
      <c r="H453">
        <v>38</v>
      </c>
      <c r="J453" s="2"/>
      <c r="K453">
        <f t="shared" si="7"/>
        <v>-1.738853772905947</v>
      </c>
      <c r="L453">
        <f>LOG10(E453/C453)-LOG10(37995/47667)</f>
        <v>-1.457811129854387</v>
      </c>
      <c r="M453">
        <f>LOG10(F453/C453)-LOG10(35167/47667)</f>
        <v>-1.3853019364077013</v>
      </c>
      <c r="N453">
        <f>LOG10(G453/C453)-LOG10(34734/47667)</f>
        <v>-1.2905210036989243</v>
      </c>
      <c r="O453">
        <f>LOG10(H453/C453)-LOG10(33378/47667)</f>
        <v>-1.3269113730357252</v>
      </c>
      <c r="Q453">
        <f>AVERAGE(K453:O453)</f>
        <v>-1.4398798431805369</v>
      </c>
      <c r="R453">
        <f>STDEV(K453:O453)</f>
        <v>0.17871459634224887</v>
      </c>
    </row>
    <row r="454" spans="1:18">
      <c r="A454">
        <v>452</v>
      </c>
      <c r="C454">
        <v>1062</v>
      </c>
      <c r="D454">
        <v>24</v>
      </c>
      <c r="E454">
        <v>21</v>
      </c>
      <c r="F454">
        <v>20</v>
      </c>
      <c r="G454">
        <v>63</v>
      </c>
      <c r="H454">
        <v>27</v>
      </c>
      <c r="J454" s="2"/>
      <c r="K454">
        <f t="shared" si="7"/>
        <v>-1.7035258105642042</v>
      </c>
      <c r="L454">
        <f>LOG10(E454/C454)-LOG10(37995/47667)</f>
        <v>-1.6054138510986307</v>
      </c>
      <c r="M454">
        <f>LOG10(F454/C454)-LOG10(35167/47667)</f>
        <v>-1.5930120227522526</v>
      </c>
      <c r="N454">
        <f>LOG10(G454/C454)-LOG10(34734/47667)</f>
        <v>-1.0893209474831862</v>
      </c>
      <c r="O454">
        <f>LOG10(H454/C454)-LOG10(33378/47667)</f>
        <v>-1.4400032431518051</v>
      </c>
      <c r="Q454">
        <f>AVERAGE(K454:O454)</f>
        <v>-1.4862551750100157</v>
      </c>
      <c r="R454">
        <f>STDEV(K454:O454)</f>
        <v>0.24109042177371359</v>
      </c>
    </row>
    <row r="455" spans="1:18">
      <c r="A455">
        <v>453</v>
      </c>
      <c r="C455">
        <v>1126</v>
      </c>
      <c r="D455">
        <v>50</v>
      </c>
      <c r="E455">
        <v>46</v>
      </c>
      <c r="F455">
        <v>68</v>
      </c>
      <c r="G455">
        <v>18</v>
      </c>
      <c r="H455">
        <v>62</v>
      </c>
      <c r="J455" s="2"/>
      <c r="K455">
        <f t="shared" si="7"/>
        <v>-1.4101809217096684</v>
      </c>
      <c r="L455">
        <f>LOG10(E455/C455)-LOG10(37995/47667)</f>
        <v>-1.2902891879208531</v>
      </c>
      <c r="M455">
        <f>LOG10(F455/C455)-LOG10(35167/47667)</f>
        <v>-1.0869469794798747</v>
      </c>
      <c r="N455">
        <f>LOG10(G455/C455)-LOG10(34734/47667)</f>
        <v>-1.6588028656033389</v>
      </c>
      <c r="O455">
        <f>LOG10(H455/C455)-LOG10(33378/47667)</f>
        <v>-1.1043891915824158</v>
      </c>
      <c r="Q455">
        <f>AVERAGE(K455:O455)</f>
        <v>-1.3101218292592303</v>
      </c>
      <c r="R455">
        <f>STDEV(K455:O455)</f>
        <v>0.23670474885918627</v>
      </c>
    </row>
    <row r="456" spans="1:18">
      <c r="A456">
        <v>454</v>
      </c>
      <c r="C456">
        <v>2363</v>
      </c>
      <c r="D456">
        <v>194</v>
      </c>
      <c r="E456">
        <v>135</v>
      </c>
      <c r="F456">
        <v>169</v>
      </c>
      <c r="G456">
        <v>137</v>
      </c>
      <c r="H456">
        <v>173</v>
      </c>
      <c r="J456" s="2"/>
      <c r="K456">
        <f t="shared" si="7"/>
        <v>-1.1432745272325029</v>
      </c>
      <c r="L456">
        <f>LOG10(E456/C456)-LOG10(37995/47667)</f>
        <v>-1.1446385822244627</v>
      </c>
      <c r="M456">
        <f>LOG10(F456/C456)-LOG10(35167/47667)</f>
        <v>-1.013494518689479</v>
      </c>
      <c r="N456">
        <f>LOG10(G456/C456)-LOG10(34734/47667)</f>
        <v>-1.0992801346672798</v>
      </c>
      <c r="O456">
        <f>LOG10(H456/C456)-LOG10(33378/47667)</f>
        <v>-0.98066010906891576</v>
      </c>
      <c r="Q456">
        <f>AVERAGE(K456:O456)</f>
        <v>-1.076269574376528</v>
      </c>
      <c r="R456">
        <f>STDEV(K456:O456)</f>
        <v>7.5457518345020305E-2</v>
      </c>
    </row>
    <row r="457" spans="1:18">
      <c r="A457">
        <v>455</v>
      </c>
      <c r="C457">
        <v>2005</v>
      </c>
      <c r="D457">
        <v>101</v>
      </c>
      <c r="E457">
        <v>55</v>
      </c>
      <c r="F457">
        <v>33</v>
      </c>
      <c r="G457">
        <v>104</v>
      </c>
      <c r="H457">
        <v>64</v>
      </c>
      <c r="J457" s="2"/>
      <c r="K457">
        <f t="shared" si="7"/>
        <v>-1.3554055387039183</v>
      </c>
      <c r="L457">
        <f>LOG10(E457/C457)-LOG10(37995/47667)</f>
        <v>-1.463260316549057</v>
      </c>
      <c r="M457">
        <f>LOG10(F457/C457)-LOG10(35167/47667)</f>
        <v>-1.6515179387490972</v>
      </c>
      <c r="N457">
        <f>LOG10(G457/C457)-LOG10(34734/47667)</f>
        <v>-1.1476180178487385</v>
      </c>
      <c r="O457">
        <f>LOG10(H457/C457)-LOG10(33378/47667)</f>
        <v>-1.3411768935376562</v>
      </c>
      <c r="Q457">
        <f>AVERAGE(K457:O457)</f>
        <v>-1.3917957410776933</v>
      </c>
      <c r="R457">
        <f>STDEV(K457:O457)</f>
        <v>0.18443974665654891</v>
      </c>
    </row>
    <row r="458" spans="1:18">
      <c r="A458">
        <v>456</v>
      </c>
      <c r="C458">
        <v>2503</v>
      </c>
      <c r="D458">
        <v>54</v>
      </c>
      <c r="E458">
        <v>83</v>
      </c>
      <c r="F458">
        <v>34</v>
      </c>
      <c r="G458">
        <v>47</v>
      </c>
      <c r="H458">
        <v>51</v>
      </c>
      <c r="J458" s="2"/>
      <c r="K458">
        <f t="shared" si="7"/>
        <v>-1.7236796253156146</v>
      </c>
      <c r="L458">
        <f>LOG10(E458/C458)-LOG10(37995/47667)</f>
        <v>-1.3808913863192491</v>
      </c>
      <c r="M458">
        <f>LOG10(F458/C458)-LOG10(35167/47667)</f>
        <v>-1.7348994342367519</v>
      </c>
      <c r="N458">
        <f>LOG10(G458/C458)-LOG10(34734/47667)</f>
        <v>-1.5888999718638235</v>
      </c>
      <c r="O458">
        <f>LOG10(H458/C458)-LOG10(33378/47667)</f>
        <v>-1.5361331640756291</v>
      </c>
      <c r="Q458">
        <f>AVERAGE(K458:O458)</f>
        <v>-1.5929007163622138</v>
      </c>
      <c r="R458">
        <f>STDEV(K458:O458)</f>
        <v>0.14616196143274832</v>
      </c>
    </row>
    <row r="459" spans="1:18">
      <c r="A459">
        <v>457</v>
      </c>
      <c r="C459">
        <v>1380</v>
      </c>
      <c r="D459">
        <v>108</v>
      </c>
      <c r="E459">
        <v>127</v>
      </c>
      <c r="F459">
        <v>53</v>
      </c>
      <c r="G459">
        <v>87</v>
      </c>
      <c r="H459">
        <v>74</v>
      </c>
      <c r="J459" s="2"/>
      <c r="K459">
        <f t="shared" si="7"/>
        <v>-1.1640678664446467</v>
      </c>
      <c r="L459">
        <f>LOG10(E459/C459)-LOG10(37995/47667)</f>
        <v>-0.93758399453237939</v>
      </c>
      <c r="M459">
        <f>LOG10(F459/C459)-LOG10(35167/47667)</f>
        <v>-1.2835207184712312</v>
      </c>
      <c r="N459">
        <f>LOG10(G459/C459)-LOG10(34734/47667)</f>
        <v>-1.0628968139739357</v>
      </c>
      <c r="O459">
        <f>LOG10(H459/C459)-LOG10(33378/47667)</f>
        <v>-1.1158898572356024</v>
      </c>
      <c r="Q459">
        <f>AVERAGE(K459:O459)</f>
        <v>-1.112791850131559</v>
      </c>
      <c r="R459">
        <f>STDEV(K459:O459)</f>
        <v>0.12745046221800818</v>
      </c>
    </row>
    <row r="460" spans="1:18">
      <c r="A460">
        <v>458</v>
      </c>
      <c r="C460">
        <v>1644</v>
      </c>
      <c r="D460">
        <v>86</v>
      </c>
      <c r="E460">
        <v>21</v>
      </c>
      <c r="F460">
        <v>35</v>
      </c>
      <c r="G460">
        <v>61</v>
      </c>
      <c r="H460">
        <v>29</v>
      </c>
      <c r="J460" s="2"/>
      <c r="K460">
        <f t="shared" si="7"/>
        <v>-1.3390158974908237</v>
      </c>
      <c r="L460">
        <f>LOG10(E460/C460)-LOG10(37995/47667)</f>
        <v>-1.795191147557212</v>
      </c>
      <c r="M460">
        <f>LOG10(F460/C460)-LOG10(35167/47667)</f>
        <v>-1.5397512705245395</v>
      </c>
      <c r="N460">
        <f>LOG10(G460/C460)-LOG10(34734/47667)</f>
        <v>-1.2931089583845821</v>
      </c>
      <c r="O460">
        <f>LOG10(H460/C460)-LOG10(33378/47667)</f>
        <v>-1.5987463058704177</v>
      </c>
      <c r="Q460">
        <f>AVERAGE(K460:O460)</f>
        <v>-1.513162715965515</v>
      </c>
      <c r="R460">
        <f>STDEV(K460:O460)</f>
        <v>0.20391316100914569</v>
      </c>
    </row>
    <row r="461" spans="1:18">
      <c r="A461">
        <v>459</v>
      </c>
      <c r="C461">
        <v>943</v>
      </c>
      <c r="D461">
        <v>17</v>
      </c>
      <c r="E461">
        <v>34</v>
      </c>
      <c r="F461">
        <v>11</v>
      </c>
      <c r="G461">
        <v>12</v>
      </c>
      <c r="H461">
        <v>53</v>
      </c>
      <c r="J461" s="2"/>
      <c r="K461">
        <f t="shared" si="7"/>
        <v>-1.8016753068894142</v>
      </c>
      <c r="L461">
        <f>LOG10(E461/C461)-LOG10(37995/47667)</f>
        <v>-1.3445414047821729</v>
      </c>
      <c r="M461">
        <f>LOG10(F461/C461)-LOG10(35167/47667)</f>
        <v>-1.801036509249887</v>
      </c>
      <c r="N461">
        <f>LOG10(G461/C461)-LOG10(34734/47667)</f>
        <v>-1.7578674268810213</v>
      </c>
      <c r="O461">
        <f>LOG10(H461/C461)-LOG10(33378/47667)</f>
        <v>-1.0954783137018815</v>
      </c>
      <c r="Q461">
        <f>AVERAGE(K461:O461)</f>
        <v>-1.5601197923008754</v>
      </c>
      <c r="R461">
        <f>STDEV(K461:O461)</f>
        <v>0.32321038153016091</v>
      </c>
    </row>
    <row r="462" spans="1:18">
      <c r="A462">
        <v>460</v>
      </c>
      <c r="C462">
        <v>711</v>
      </c>
      <c r="D462">
        <v>15</v>
      </c>
      <c r="E462">
        <v>35</v>
      </c>
      <c r="F462">
        <v>33</v>
      </c>
      <c r="G462">
        <v>22</v>
      </c>
      <c r="H462">
        <v>31</v>
      </c>
      <c r="J462" s="2"/>
      <c r="K462">
        <f t="shared" si="7"/>
        <v>-1.7333908772044448</v>
      </c>
      <c r="L462">
        <f>LOG10(E462/C462)-LOG10(37995/47667)</f>
        <v>-1.2093101854665904</v>
      </c>
      <c r="M462">
        <f>LOG10(F462/C462)-LOG10(35167/47667)</f>
        <v>-1.2012731625226625</v>
      </c>
      <c r="N462">
        <f>LOG10(G462/C462)-LOG10(34734/47667)</f>
        <v>-1.3719839000988776</v>
      </c>
      <c r="O462">
        <f>LOG10(H462/C462)-LOG10(33378/47667)</f>
        <v>-1.2057503974608359</v>
      </c>
      <c r="Q462">
        <f>AVERAGE(K462:O462)</f>
        <v>-1.3443417045506822</v>
      </c>
      <c r="R462">
        <f>STDEV(K462:O462)</f>
        <v>0.22914679737144281</v>
      </c>
    </row>
    <row r="463" spans="1:18">
      <c r="A463">
        <v>461</v>
      </c>
      <c r="C463">
        <v>1310</v>
      </c>
      <c r="D463">
        <v>87</v>
      </c>
      <c r="E463">
        <v>74</v>
      </c>
      <c r="F463">
        <v>29</v>
      </c>
      <c r="G463">
        <v>67</v>
      </c>
      <c r="H463">
        <v>77</v>
      </c>
      <c r="J463" s="2"/>
      <c r="K463">
        <f t="shared" si="7"/>
        <v>-1.2353645785675056</v>
      </c>
      <c r="L463">
        <f>LOG10(E463/C463)-LOG10(37995/47667)</f>
        <v>-1.1495482050118877</v>
      </c>
      <c r="M463">
        <f>LOG10(F463/C463)-LOG10(35167/47667)</f>
        <v>-1.5227907994275918</v>
      </c>
      <c r="N463">
        <f>LOG10(G463/C463)-LOG10(34734/47667)</f>
        <v>-1.1537334731462554</v>
      </c>
      <c r="O463">
        <f>LOG10(H463/C463)-LOG10(33378/47667)</f>
        <v>-1.0760230610486246</v>
      </c>
      <c r="Q463">
        <f>AVERAGE(K463:O463)</f>
        <v>-1.227492023440373</v>
      </c>
      <c r="R463">
        <f>STDEV(K463:O463)</f>
        <v>0.17444322383265123</v>
      </c>
    </row>
    <row r="464" spans="1:18">
      <c r="A464">
        <v>462</v>
      </c>
      <c r="C464">
        <v>2439</v>
      </c>
      <c r="D464">
        <v>62</v>
      </c>
      <c r="E464">
        <v>111</v>
      </c>
      <c r="F464">
        <v>41</v>
      </c>
      <c r="G464">
        <v>94</v>
      </c>
      <c r="H464">
        <v>79</v>
      </c>
      <c r="J464" s="2"/>
      <c r="K464">
        <f t="shared" si="7"/>
        <v>-1.6524326463458365</v>
      </c>
      <c r="L464">
        <f>LOG10(E464/C464)-LOG10(37995/47667)</f>
        <v>-1.2433974506141729</v>
      </c>
      <c r="M464">
        <f>LOG10(F464/C464)-LOG10(35167/47667)</f>
        <v>-1.6423454452647788</v>
      </c>
      <c r="N464">
        <f>LOG10(G464/C464)-LOG10(34734/47667)</f>
        <v>-1.2766209269053497</v>
      </c>
      <c r="O464">
        <f>LOG10(H464/C464)-LOG10(33378/47667)</f>
        <v>-1.3348271995886314</v>
      </c>
      <c r="Q464">
        <f>AVERAGE(K464:O464)</f>
        <v>-1.429924733743754</v>
      </c>
      <c r="R464">
        <f>STDEV(K464:O464)</f>
        <v>0.20122770398162504</v>
      </c>
    </row>
    <row r="465" spans="1:18">
      <c r="A465">
        <v>463</v>
      </c>
      <c r="C465">
        <v>950</v>
      </c>
      <c r="D465">
        <v>21</v>
      </c>
      <c r="E465">
        <v>57</v>
      </c>
      <c r="F465">
        <v>35</v>
      </c>
      <c r="G465">
        <v>27</v>
      </c>
      <c r="H465">
        <v>21</v>
      </c>
      <c r="J465" s="2"/>
      <c r="K465">
        <f t="shared" si="7"/>
        <v>-1.7131168460852884</v>
      </c>
      <c r="L465">
        <f>LOG10(E465/C465)-LOG10(37995/47667)</f>
        <v>-1.1233573787034561</v>
      </c>
      <c r="M465">
        <f>LOG10(F465/C465)-LOG10(35167/47667)</f>
        <v>-1.3015730626093558</v>
      </c>
      <c r="N465">
        <f>LOG10(G465/C465)-LOG10(34734/47667)</f>
        <v>-1.4088968213211781</v>
      </c>
      <c r="O465">
        <f>LOG10(H465/C465)-LOG10(33378/47667)</f>
        <v>-1.5007468011202707</v>
      </c>
      <c r="Q465">
        <f>AVERAGE(K465:O465)</f>
        <v>-1.40953818196791</v>
      </c>
      <c r="R465">
        <f>STDEV(K465:O465)</f>
        <v>0.22024721792433843</v>
      </c>
    </row>
    <row r="466" spans="1:18">
      <c r="A466">
        <v>464</v>
      </c>
      <c r="C466">
        <v>1111</v>
      </c>
      <c r="D466">
        <v>18</v>
      </c>
      <c r="E466">
        <v>23</v>
      </c>
      <c r="F466">
        <v>45</v>
      </c>
      <c r="G466">
        <v>42</v>
      </c>
      <c r="H466">
        <v>11</v>
      </c>
      <c r="J466" s="2"/>
      <c r="K466">
        <f t="shared" si="7"/>
        <v>-1.8480540893679214</v>
      </c>
      <c r="L466">
        <f>LOG10(E466/C466)-LOG10(37995/47667)</f>
        <v>-1.5854948520103744</v>
      </c>
      <c r="M466">
        <f>LOG10(F466/C466)-LOG10(35167/47667)</f>
        <v>-1.2604190468363077</v>
      </c>
      <c r="N466">
        <f>LOG10(G466/C466)-LOG10(34734/47667)</f>
        <v>-1.2850017487342849</v>
      </c>
      <c r="O466">
        <f>LOG10(H466/C466)-LOG10(33378/47667)</f>
        <v>-1.8495638643479848</v>
      </c>
      <c r="Q466">
        <f>AVERAGE(K466:O466)</f>
        <v>-1.5657067202593746</v>
      </c>
      <c r="R466">
        <f>STDEV(K466:O466)</f>
        <v>0.28839310404109197</v>
      </c>
    </row>
    <row r="467" spans="1:18">
      <c r="A467">
        <v>465</v>
      </c>
      <c r="C467">
        <v>1410</v>
      </c>
      <c r="D467">
        <v>21</v>
      </c>
      <c r="E467">
        <v>72</v>
      </c>
      <c r="F467">
        <v>30</v>
      </c>
      <c r="G467">
        <v>45</v>
      </c>
      <c r="H467">
        <v>35</v>
      </c>
      <c r="J467" s="2"/>
      <c r="K467">
        <f t="shared" si="7"/>
        <v>-1.8846123534518204</v>
      </c>
      <c r="L467">
        <f>LOG10(E467/C467)-LOG10(37995/47667)</f>
        <v>-1.1933952453112111</v>
      </c>
      <c r="M467">
        <f>LOG10(F467/C467)-LOG10(35167/47667)</f>
        <v>-1.5400153596065012</v>
      </c>
      <c r="N467">
        <f>LOG10(G467/C467)-LOG10(34734/47667)</f>
        <v>-1.3585435790713538</v>
      </c>
      <c r="O467">
        <f>LOG10(H467/C467)-LOG10(33378/47667)</f>
        <v>-1.4503935588704464</v>
      </c>
      <c r="Q467">
        <f>AVERAGE(K467:O467)</f>
        <v>-1.4853920192622667</v>
      </c>
      <c r="R467">
        <f>STDEV(K467:O467)</f>
        <v>0.25736069996566446</v>
      </c>
    </row>
    <row r="468" spans="1:18">
      <c r="A468">
        <v>466</v>
      </c>
      <c r="C468">
        <v>3142</v>
      </c>
      <c r="D468">
        <v>137</v>
      </c>
      <c r="E468">
        <v>141</v>
      </c>
      <c r="F468">
        <v>97</v>
      </c>
      <c r="G468">
        <v>141</v>
      </c>
      <c r="H468">
        <v>92</v>
      </c>
      <c r="J468" s="2"/>
      <c r="K468">
        <f t="shared" si="7"/>
        <v>-1.4180981490779077</v>
      </c>
      <c r="L468">
        <f>LOG10(E468/C468)-LOG10(37995/47667)</f>
        <v>-1.2494956971356743</v>
      </c>
      <c r="M468">
        <f>LOG10(F468/C468)-LOG10(35167/47667)</f>
        <v>-1.3783519481084934</v>
      </c>
      <c r="N468">
        <f>LOG10(G468/C468)-LOG10(34734/47667)</f>
        <v>-1.2105240482398922</v>
      </c>
      <c r="O468">
        <f>LOG10(H468/C468)-LOG10(33378/47667)</f>
        <v>-1.3786608439237413</v>
      </c>
      <c r="Q468">
        <f>AVERAGE(K468:O468)</f>
        <v>-1.3270261372971419</v>
      </c>
      <c r="R468">
        <f>STDEV(K468:O468)</f>
        <v>9.1074556024155012E-2</v>
      </c>
    </row>
    <row r="469" spans="1:18">
      <c r="A469">
        <v>467</v>
      </c>
      <c r="C469">
        <v>985</v>
      </c>
      <c r="D469">
        <v>64</v>
      </c>
      <c r="E469">
        <v>60</v>
      </c>
      <c r="F469">
        <v>28</v>
      </c>
      <c r="G469">
        <v>29</v>
      </c>
      <c r="H469">
        <v>28</v>
      </c>
      <c r="J469" s="2"/>
      <c r="K469">
        <f t="shared" si="7"/>
        <v>-1.2448687920440844</v>
      </c>
      <c r="L469">
        <f>LOG10(E469/C469)-LOG10(37995/47667)</f>
        <v>-1.1167936092010677</v>
      </c>
      <c r="M469">
        <f>LOG10(F469/C469)-LOG10(35167/47667)</f>
        <v>-1.4141957008261761</v>
      </c>
      <c r="N469">
        <f>LOG10(G469/C469)-LOG10(34734/47667)</f>
        <v>-1.3935752127899732</v>
      </c>
      <c r="O469">
        <f>LOG10(H469/C469)-LOG10(33378/47667)</f>
        <v>-1.3915206897207346</v>
      </c>
      <c r="Q469">
        <f>AVERAGE(K469:O469)</f>
        <v>-1.3121908009164072</v>
      </c>
      <c r="R469">
        <f>STDEV(K469:O469)</f>
        <v>0.12848537734715321</v>
      </c>
    </row>
    <row r="470" spans="1:18">
      <c r="A470">
        <v>468</v>
      </c>
      <c r="C470">
        <v>1379</v>
      </c>
      <c r="D470">
        <v>23</v>
      </c>
      <c r="E470">
        <v>32</v>
      </c>
      <c r="F470">
        <v>44</v>
      </c>
      <c r="G470">
        <v>12</v>
      </c>
      <c r="H470">
        <v>22</v>
      </c>
      <c r="J470" s="2"/>
      <c r="K470">
        <f t="shared" si="7"/>
        <v>-1.8354489656886168</v>
      </c>
      <c r="L470">
        <f>LOG10(E470/C470)-LOG10(37995/47667)</f>
        <v>-1.5359229169430435</v>
      </c>
      <c r="M470">
        <f>LOG10(F470/C470)-LOG10(35167/47667)</f>
        <v>-1.364029091360446</v>
      </c>
      <c r="N470">
        <f>LOG10(G470/C470)-LOG10(34734/47667)</f>
        <v>-1.9229200003195424</v>
      </c>
      <c r="O470">
        <f>LOG10(H470/C470)-LOG10(33378/47667)</f>
        <v>-1.6423840759189856</v>
      </c>
      <c r="Q470">
        <f>AVERAGE(K470:O470)</f>
        <v>-1.6601410100461265</v>
      </c>
      <c r="R470">
        <f>STDEV(K470:O470)</f>
        <v>0.22539597866429803</v>
      </c>
    </row>
    <row r="471" spans="1:18">
      <c r="A471">
        <v>469</v>
      </c>
      <c r="C471">
        <v>1056</v>
      </c>
      <c r="D471">
        <v>49</v>
      </c>
      <c r="E471">
        <v>51</v>
      </c>
      <c r="F471">
        <v>36</v>
      </c>
      <c r="G471">
        <v>53</v>
      </c>
      <c r="H471">
        <v>40</v>
      </c>
      <c r="J471" s="2"/>
      <c r="K471">
        <f t="shared" si="7"/>
        <v>-1.3910803736996395</v>
      </c>
      <c r="L471">
        <f>LOG10(E471/C471)-LOG10(37995/47667)</f>
        <v>-1.2176023711869568</v>
      </c>
      <c r="M471">
        <f>LOG10(F471/C471)-LOG10(35167/47667)</f>
        <v>-1.3352789191012899</v>
      </c>
      <c r="N471">
        <f>LOG10(G471/C471)-LOG10(34734/47667)</f>
        <v>-1.161925028788322</v>
      </c>
      <c r="O471">
        <f>LOG10(H471/C471)-LOG10(33378/47667)</f>
        <v>-1.2668464174351732</v>
      </c>
      <c r="Q471">
        <f>AVERAGE(K471:O471)</f>
        <v>-1.2745466220422763</v>
      </c>
      <c r="R471">
        <f>STDEV(K471:O471)</f>
        <v>9.1178521737479659E-2</v>
      </c>
    </row>
    <row r="472" spans="1:18">
      <c r="A472">
        <v>470</v>
      </c>
      <c r="C472">
        <v>991</v>
      </c>
      <c r="D472">
        <v>175</v>
      </c>
      <c r="E472">
        <v>138</v>
      </c>
      <c r="F472">
        <v>103</v>
      </c>
      <c r="G472">
        <v>179</v>
      </c>
      <c r="H472">
        <v>106</v>
      </c>
      <c r="J472" s="2"/>
      <c r="K472">
        <f t="shared" si="7"/>
        <v>-0.8106481413293406</v>
      </c>
      <c r="L472">
        <f>LOG10(E472/C472)-LOG10(37995/47667)</f>
        <v>-0.75770319717113854</v>
      </c>
      <c r="M472">
        <f>LOG10(F472/C472)-LOG10(35167/47667)</f>
        <v>-0.85115393145088669</v>
      </c>
      <c r="N472">
        <f>LOG10(G472/C472)-LOG10(34734/47667)</f>
        <v>-0.60575760369669995</v>
      </c>
      <c r="O472">
        <f>LOG10(H472/C472)-LOG10(33378/47667)</f>
        <v>-0.81601027978584728</v>
      </c>
      <c r="Q472">
        <f>AVERAGE(K472:O472)</f>
        <v>-0.76825463068678257</v>
      </c>
      <c r="R472">
        <f>STDEV(K472:O472)</f>
        <v>9.6781612874686174E-2</v>
      </c>
    </row>
    <row r="473" spans="1:18">
      <c r="A473">
        <v>471</v>
      </c>
      <c r="C473">
        <v>883</v>
      </c>
      <c r="D473">
        <v>13</v>
      </c>
      <c r="E473">
        <v>12</v>
      </c>
      <c r="F473">
        <v>9</v>
      </c>
      <c r="G473">
        <v>18</v>
      </c>
      <c r="H473">
        <v>11</v>
      </c>
      <c r="J473" s="2"/>
      <c r="K473">
        <f t="shared" si="7"/>
        <v>-1.8896298868010917</v>
      </c>
      <c r="L473">
        <f>LOG10(E473/C473)-LOG10(37995/47667)</f>
        <v>-1.7682880866170434</v>
      </c>
      <c r="M473">
        <f>LOG10(F473/C473)-LOG10(35167/47667)</f>
        <v>-1.8596356958090274</v>
      </c>
      <c r="N473">
        <f>LOG10(G473/C473)-LOG10(34734/47667)</f>
        <v>-1.5532251786655802</v>
      </c>
      <c r="O473">
        <f>LOG10(H473/C473)-LOG10(33378/47667)</f>
        <v>-1.7498105089846856</v>
      </c>
      <c r="Q473">
        <f>AVERAGE(K473:O473)</f>
        <v>-1.7641178713754855</v>
      </c>
      <c r="R473">
        <f>STDEV(K473:O473)</f>
        <v>0.13188512042009487</v>
      </c>
    </row>
    <row r="474" spans="1:18">
      <c r="A474">
        <v>472</v>
      </c>
      <c r="C474">
        <v>1656</v>
      </c>
      <c r="D474">
        <v>30</v>
      </c>
      <c r="E474">
        <v>50</v>
      </c>
      <c r="F474">
        <v>62</v>
      </c>
      <c r="G474">
        <v>46</v>
      </c>
      <c r="H474">
        <v>36</v>
      </c>
      <c r="J474" s="2"/>
      <c r="K474">
        <f t="shared" si="7"/>
        <v>-1.7995516132595588</v>
      </c>
      <c r="L474">
        <f>LOG10(E474/C474)-LOG10(37995/47667)</f>
        <v>-1.4215989571999423</v>
      </c>
      <c r="M474">
        <f>LOG10(F474/C474)-LOG10(35167/47667)</f>
        <v>-1.2945861446213911</v>
      </c>
      <c r="N474">
        <f>LOG10(G474/C474)-LOG10(34734/47667)</f>
        <v>-1.4188394809586049</v>
      </c>
      <c r="O474">
        <f>LOG10(H474/C474)-LOG10(33378/47667)</f>
        <v>-1.5080003222469163</v>
      </c>
      <c r="Q474">
        <f>AVERAGE(K474:O474)</f>
        <v>-1.4885153036572827</v>
      </c>
      <c r="R474">
        <f>STDEV(K474:O474)</f>
        <v>0.18977900849194745</v>
      </c>
    </row>
    <row r="475" spans="1:18">
      <c r="A475">
        <v>473</v>
      </c>
      <c r="C475">
        <v>892</v>
      </c>
      <c r="D475">
        <v>20</v>
      </c>
      <c r="E475">
        <v>23</v>
      </c>
      <c r="F475">
        <v>29</v>
      </c>
      <c r="G475">
        <v>87</v>
      </c>
      <c r="H475">
        <v>20</v>
      </c>
      <c r="J475" s="2"/>
      <c r="K475">
        <f t="shared" si="7"/>
        <v>-1.7069473942425017</v>
      </c>
      <c r="L475">
        <f>LOG10(E475/C475)-LOG10(37995/47667)</f>
        <v>-1.4901456474456298</v>
      </c>
      <c r="M475">
        <f>LOG10(F475/C475)-LOG10(35167/47667)</f>
        <v>-1.3558843581479507</v>
      </c>
      <c r="N475">
        <f>LOG10(G475/C475)-LOG10(34734/47667)</f>
        <v>-0.87338258194882223</v>
      </c>
      <c r="O475">
        <f>LOG10(H475/C475)-LOG10(33378/47667)</f>
        <v>-1.4945773492774841</v>
      </c>
      <c r="Q475">
        <f>AVERAGE(K475:O475)</f>
        <v>-1.3841874662124778</v>
      </c>
      <c r="R475">
        <f>STDEV(K475:O475)</f>
        <v>0.31197344811257849</v>
      </c>
    </row>
    <row r="476" spans="1:18">
      <c r="A476">
        <v>474</v>
      </c>
      <c r="C476">
        <v>2037</v>
      </c>
      <c r="D476">
        <v>191</v>
      </c>
      <c r="E476">
        <v>94</v>
      </c>
      <c r="F476">
        <v>114</v>
      </c>
      <c r="G476">
        <v>71</v>
      </c>
      <c r="H476">
        <v>139</v>
      </c>
      <c r="J476" s="2"/>
      <c r="K476">
        <f t="shared" si="7"/>
        <v>-1.0855701972827965</v>
      </c>
      <c r="L476">
        <f>LOG10(E476/C476)-LOG10(37995/47667)</f>
        <v>-1.2373718044875652</v>
      </c>
      <c r="M476">
        <f>LOG10(F476/C476)-LOG10(35167/47667)</f>
        <v>-1.1200036793344752</v>
      </c>
      <c r="N476">
        <f>LOG10(G476/C476)-LOG10(34734/47667)</f>
        <v>-1.3202696604724065</v>
      </c>
      <c r="O476">
        <f>LOG10(H476/C476)-LOG10(33378/47667)</f>
        <v>-1.0112187193114113</v>
      </c>
      <c r="Q476">
        <f>AVERAGE(K476:O476)</f>
        <v>-1.1548868121777311</v>
      </c>
      <c r="R476">
        <f>STDEV(K476:O476)</f>
        <v>0.12330592791073693</v>
      </c>
    </row>
    <row r="477" spans="1:18">
      <c r="A477">
        <v>475</v>
      </c>
      <c r="C477">
        <v>2218</v>
      </c>
      <c r="D477">
        <v>47</v>
      </c>
      <c r="E477">
        <v>56</v>
      </c>
      <c r="F477">
        <v>79</v>
      </c>
      <c r="G477">
        <v>95</v>
      </c>
      <c r="H477">
        <v>77</v>
      </c>
      <c r="J477" s="2"/>
      <c r="K477">
        <f t="shared" si="7"/>
        <v>-1.7314762194077835</v>
      </c>
      <c r="L477">
        <f>LOG10(E477/C477)-LOG10(37995/47667)</f>
        <v>-1.4992821438940405</v>
      </c>
      <c r="M477">
        <f>LOG10(F477/C477)-LOG10(35167/47667)</f>
        <v>-1.3162519521934835</v>
      </c>
      <c r="N477">
        <f>LOG10(G477/C477)-LOG10(34734/47667)</f>
        <v>-1.2307749167156112</v>
      </c>
      <c r="O477">
        <f>LOG10(H477/C477)-LOG10(33378/47667)</f>
        <v>-1.3047133072060015</v>
      </c>
      <c r="Q477">
        <f>AVERAGE(K477:O477)</f>
        <v>-1.4164997078833841</v>
      </c>
      <c r="R477">
        <f>STDEV(K477:O477)</f>
        <v>0.20192984207114906</v>
      </c>
    </row>
    <row r="478" spans="1:18">
      <c r="A478">
        <v>476</v>
      </c>
      <c r="C478">
        <v>2185</v>
      </c>
      <c r="D478">
        <v>89</v>
      </c>
      <c r="E478">
        <v>115</v>
      </c>
      <c r="F478">
        <v>85</v>
      </c>
      <c r="G478">
        <v>131</v>
      </c>
      <c r="H478">
        <v>75</v>
      </c>
      <c r="J478" s="2"/>
      <c r="K478">
        <f t="shared" si="7"/>
        <v>-1.4476739701918877</v>
      </c>
      <c r="L478">
        <f>LOG10(E478/C478)-LOG10(37995/47667)</f>
        <v>-1.1802622300399288</v>
      </c>
      <c r="M478">
        <f>LOG10(F478/C478)-LOG10(35167/47667)</f>
        <v>-1.2779500172629314</v>
      </c>
      <c r="N478">
        <f>LOG10(G478/C478)-LOG10(34734/47667)</f>
        <v>-1.0847171258419941</v>
      </c>
      <c r="O478">
        <f>LOG10(H478/C478)-LOG10(33378/47667)</f>
        <v>-1.3096326684800828</v>
      </c>
      <c r="Q478">
        <f>AVERAGE(K478:O478)</f>
        <v>-1.2600472023633649</v>
      </c>
      <c r="R478">
        <f>STDEV(K478:O478)</f>
        <v>0.13701214433286554</v>
      </c>
    </row>
    <row r="479" spans="1:18">
      <c r="A479">
        <v>477</v>
      </c>
      <c r="C479">
        <v>3607</v>
      </c>
      <c r="D479">
        <v>78</v>
      </c>
      <c r="E479">
        <v>105</v>
      </c>
      <c r="F479">
        <v>95</v>
      </c>
      <c r="G479">
        <v>79</v>
      </c>
      <c r="H479">
        <v>89</v>
      </c>
      <c r="J479" s="2"/>
      <c r="K479">
        <f t="shared" si="7"/>
        <v>-1.7226640751582425</v>
      </c>
      <c r="L479">
        <f>LOG10(E479/C479)-LOG10(37995/47667)</f>
        <v>-1.4374654723355247</v>
      </c>
      <c r="M479">
        <f>LOG10(F479/C479)-LOG10(35167/47667)</f>
        <v>-1.447340038700299</v>
      </c>
      <c r="N479">
        <f>LOG10(G479/C479)-LOG10(34734/47667)</f>
        <v>-1.5220560312192393</v>
      </c>
      <c r="O479">
        <f>LOG10(H479/C479)-LOG10(33378/47667)</f>
        <v>-1.4529986262387926</v>
      </c>
      <c r="Q479">
        <f>AVERAGE(K479:O479)</f>
        <v>-1.5165048487304196</v>
      </c>
      <c r="R479">
        <f>STDEV(K479:O479)</f>
        <v>0.11999632966355168</v>
      </c>
    </row>
    <row r="480" spans="1:18">
      <c r="A480">
        <v>478</v>
      </c>
      <c r="C480">
        <v>2279</v>
      </c>
      <c r="D480">
        <v>55</v>
      </c>
      <c r="E480">
        <v>81</v>
      </c>
      <c r="F480">
        <v>49</v>
      </c>
      <c r="G480">
        <v>34</v>
      </c>
      <c r="H480">
        <v>36</v>
      </c>
      <c r="J480" s="2"/>
      <c r="K480">
        <f t="shared" si="7"/>
        <v>-1.6749941712164915</v>
      </c>
      <c r="L480">
        <f>LOG10(E480/C480)-LOG10(37995/47667)</f>
        <v>-1.3507679353888256</v>
      </c>
      <c r="M480">
        <f>LOG10(F480/C480)-LOG10(35167/47667)</f>
        <v>-1.5354657468226456</v>
      </c>
      <c r="N480">
        <f>LOG10(G480/C480)-LOG10(34734/47667)</f>
        <v>-1.6888023883294381</v>
      </c>
      <c r="O480">
        <f>LOG10(H480/C480)-LOG10(33378/47667)</f>
        <v>-1.6466843149784305</v>
      </c>
      <c r="Q480">
        <f>AVERAGE(K480:O480)</f>
        <v>-1.5793429113471662</v>
      </c>
      <c r="R480">
        <f>STDEV(K480:O480)</f>
        <v>0.1412773251975688</v>
      </c>
    </row>
    <row r="481" spans="1:18">
      <c r="A481">
        <v>479</v>
      </c>
      <c r="C481">
        <v>1411</v>
      </c>
      <c r="D481">
        <v>37</v>
      </c>
      <c r="E481">
        <v>59</v>
      </c>
      <c r="F481">
        <v>15</v>
      </c>
      <c r="G481">
        <v>43</v>
      </c>
      <c r="H481">
        <v>37</v>
      </c>
      <c r="J481" s="2"/>
      <c r="K481">
        <f t="shared" si="7"/>
        <v>-1.6389378252177127</v>
      </c>
      <c r="L481">
        <f>LOG10(E481/C481)-LOG10(37995/47667)</f>
        <v>-1.2801836311993033</v>
      </c>
      <c r="M481">
        <f>LOG10(F481/C481)-LOG10(35167/47667)</f>
        <v>-1.8413532563694501</v>
      </c>
      <c r="N481">
        <f>LOG10(G481/C481)-LOG10(34734/47667)</f>
        <v>-1.3785955383660788</v>
      </c>
      <c r="O481">
        <f>LOG10(H481/C481)-LOG10(33378/47667)</f>
        <v>-1.426567780252695</v>
      </c>
      <c r="Q481">
        <f>AVERAGE(K481:O481)</f>
        <v>-1.5131276062810479</v>
      </c>
      <c r="R481">
        <f>STDEV(K481:O481)</f>
        <v>0.22550757463512802</v>
      </c>
    </row>
    <row r="482" spans="1:18">
      <c r="A482">
        <v>480</v>
      </c>
      <c r="C482">
        <v>1759</v>
      </c>
      <c r="D482">
        <v>46</v>
      </c>
      <c r="E482">
        <v>74</v>
      </c>
      <c r="F482">
        <v>40</v>
      </c>
      <c r="G482">
        <v>60</v>
      </c>
      <c r="H482">
        <v>20</v>
      </c>
      <c r="J482" s="2"/>
      <c r="K482">
        <f t="shared" si="7"/>
        <v>-1.6401205433062471</v>
      </c>
      <c r="L482">
        <f>LOG10(E482/C482)-LOG10(37995/47667)</f>
        <v>-1.2775427488135849</v>
      </c>
      <c r="M482">
        <f>LOG10(F482/C482)-LOG10(35167/47667)</f>
        <v>-1.5111233498002825</v>
      </c>
      <c r="N482">
        <f>LOG10(G482/C482)-LOG10(34734/47667)</f>
        <v>-1.3296515692651352</v>
      </c>
      <c r="O482">
        <f>LOG10(H482/C482)-LOG10(33378/47667)</f>
        <v>-1.7894783343588223</v>
      </c>
      <c r="Q482">
        <f>AVERAGE(K482:O482)</f>
        <v>-1.5095833091088142</v>
      </c>
      <c r="R482">
        <f>STDEV(K482:O482)</f>
        <v>0.21307382466075561</v>
      </c>
    </row>
    <row r="483" spans="1:18">
      <c r="A483">
        <v>481</v>
      </c>
      <c r="C483">
        <v>745</v>
      </c>
      <c r="D483">
        <v>12</v>
      </c>
      <c r="E483">
        <v>30</v>
      </c>
      <c r="F483">
        <v>12</v>
      </c>
      <c r="G483">
        <v>20</v>
      </c>
      <c r="H483">
        <v>7</v>
      </c>
      <c r="J483" s="2"/>
      <c r="K483">
        <f t="shared" si="7"/>
        <v>-1.8505875622310277</v>
      </c>
      <c r="L483">
        <f>LOG10(E483/C483)-LOG10(37995/47667)</f>
        <v>-1.2965436471157301</v>
      </c>
      <c r="M483">
        <f>LOG10(F483/C483)-LOG10(35167/47667)</f>
        <v>-1.6608925283714515</v>
      </c>
      <c r="N483">
        <f>LOG10(G483/C483)-LOG10(34734/47667)</f>
        <v>-1.4336632572756294</v>
      </c>
      <c r="O483">
        <f>LOG10(H483/C483)-LOG10(33378/47667)</f>
        <v>-1.872300723299378</v>
      </c>
      <c r="Q483">
        <f>AVERAGE(K483:O483)</f>
        <v>-1.6227975436586433</v>
      </c>
      <c r="R483">
        <f>STDEV(K483:O483)</f>
        <v>0.25387237953712033</v>
      </c>
    </row>
    <row r="484" spans="1:18">
      <c r="A484">
        <v>482</v>
      </c>
      <c r="C484">
        <v>1493</v>
      </c>
      <c r="D484">
        <v>99</v>
      </c>
      <c r="E484">
        <v>141</v>
      </c>
      <c r="F484">
        <v>68</v>
      </c>
      <c r="G484">
        <v>87</v>
      </c>
      <c r="H484">
        <v>142</v>
      </c>
      <c r="J484" s="2"/>
      <c r="K484">
        <f t="shared" si="7"/>
        <v>-1.2360371486578354</v>
      </c>
      <c r="L484">
        <f>LOG10(E484/C484)-LOG10(37995/47667)</f>
        <v>-0.92634932415674531</v>
      </c>
      <c r="M484">
        <f>LOG10(F484/C484)-LOG10(35167/47667)</f>
        <v>-1.2094683966895727</v>
      </c>
      <c r="N484">
        <f>LOG10(G484/C484)-LOG10(34734/47667)</f>
        <v>-1.0970775352977244</v>
      </c>
      <c r="O484">
        <f>LOG10(H484/C484)-LOG10(33378/47667)</f>
        <v>-0.86701395390731117</v>
      </c>
      <c r="Q484">
        <f>AVERAGE(K484:O484)</f>
        <v>-1.0671892717418379</v>
      </c>
      <c r="R484">
        <f>STDEV(K484:O484)</f>
        <v>0.1654934378904826</v>
      </c>
    </row>
    <row r="485" spans="1:18">
      <c r="A485">
        <v>483</v>
      </c>
      <c r="C485">
        <v>700</v>
      </c>
      <c r="D485">
        <v>10</v>
      </c>
      <c r="E485">
        <v>11</v>
      </c>
      <c r="F485">
        <v>21</v>
      </c>
      <c r="G485">
        <v>18</v>
      </c>
      <c r="H485">
        <v>17</v>
      </c>
      <c r="J485" s="2"/>
      <c r="K485">
        <f t="shared" si="7"/>
        <v>-1.9027105755446168</v>
      </c>
      <c r="L485">
        <f>LOG10(E485/C485)-LOG10(37995/47667)</f>
        <v>-1.7052139839431315</v>
      </c>
      <c r="M485">
        <f>LOG10(F485/C485)-LOG10(35167/47667)</f>
        <v>-1.3907962469511213</v>
      </c>
      <c r="N485">
        <f>LOG10(G485/C485)-LOG10(34734/47667)</f>
        <v>-1.4523625151022683</v>
      </c>
      <c r="O485">
        <f>LOG10(H485/C485)-LOG10(33378/47667)</f>
        <v>-1.459891609201325</v>
      </c>
      <c r="Q485">
        <f>AVERAGE(K485:O485)</f>
        <v>-1.5821949861484925</v>
      </c>
      <c r="R485">
        <f>STDEV(K485:O485)</f>
        <v>0.21581935778640024</v>
      </c>
    </row>
    <row r="486" spans="1:18">
      <c r="A486">
        <v>484</v>
      </c>
      <c r="C486">
        <v>559</v>
      </c>
      <c r="D486">
        <v>10</v>
      </c>
      <c r="E486">
        <v>28</v>
      </c>
      <c r="F486">
        <v>35</v>
      </c>
      <c r="G486">
        <v>37</v>
      </c>
      <c r="H486">
        <v>14</v>
      </c>
      <c r="J486" s="2"/>
      <c r="K486">
        <f t="shared" si="7"/>
        <v>-1.8050243434167832</v>
      </c>
      <c r="L486">
        <f>LOG10(E486/C486)-LOG10(37995/47667)</f>
        <v>-1.2017624056313039</v>
      </c>
      <c r="M486">
        <f>LOG10(F486/C486)-LOG10(35167/47667)</f>
        <v>-1.0712612652069313</v>
      </c>
      <c r="N486">
        <f>LOG10(G486/C486)-LOG10(34734/47667)</f>
        <v>-1.041747064010746</v>
      </c>
      <c r="O486">
        <f>LOG10(H486/C486)-LOG10(33378/47667)</f>
        <v>-1.4465262627735274</v>
      </c>
      <c r="Q486">
        <f>AVERAGE(K486:O486)</f>
        <v>-1.3132642682078584</v>
      </c>
      <c r="R486">
        <f>STDEV(K486:O486)</f>
        <v>0.31792547938142413</v>
      </c>
    </row>
    <row r="487" spans="1:18">
      <c r="A487">
        <v>485</v>
      </c>
      <c r="C487">
        <v>1652</v>
      </c>
      <c r="D487">
        <v>85</v>
      </c>
      <c r="E487">
        <v>75</v>
      </c>
      <c r="F487">
        <v>63</v>
      </c>
      <c r="G487">
        <v>59</v>
      </c>
      <c r="H487">
        <v>36</v>
      </c>
      <c r="J487" s="2"/>
      <c r="K487">
        <f t="shared" si="7"/>
        <v>-1.3462036528004304</v>
      </c>
      <c r="L487">
        <f>LOG10(E487/C487)-LOG10(37995/47667)</f>
        <v>-1.2444574086797631</v>
      </c>
      <c r="M487">
        <f>LOG10(F487/C487)-LOG10(35167/47667)</f>
        <v>-1.2865869952015654</v>
      </c>
      <c r="N487">
        <f>LOG10(G487/C487)-LOG10(34734/47667)</f>
        <v>-1.3096950115335368</v>
      </c>
      <c r="O487">
        <f>LOG10(H487/C487)-LOG10(33378/47667)</f>
        <v>-1.5069500327824183</v>
      </c>
      <c r="Q487">
        <f>AVERAGE(K487:O487)</f>
        <v>-1.3387786201995429</v>
      </c>
      <c r="R487">
        <f>STDEV(K487:O487)</f>
        <v>0.1009988466206049</v>
      </c>
    </row>
    <row r="488" spans="1:18">
      <c r="A488">
        <v>486</v>
      </c>
      <c r="C488">
        <v>2652</v>
      </c>
      <c r="D488">
        <v>89</v>
      </c>
      <c r="E488">
        <v>112</v>
      </c>
      <c r="F488">
        <v>112</v>
      </c>
      <c r="G488">
        <v>103</v>
      </c>
      <c r="H488">
        <v>106</v>
      </c>
      <c r="J488" s="2"/>
      <c r="K488">
        <f t="shared" si="7"/>
        <v>-1.5317960486181825</v>
      </c>
      <c r="L488">
        <f>LOG10(E488/C488)-LOG10(37995/47667)</f>
        <v>-1.2758641261496535</v>
      </c>
      <c r="M488">
        <f>LOG10(F488/C488)-LOG10(35167/47667)</f>
        <v>-1.2422729987333374</v>
      </c>
      <c r="N488">
        <f>LOG10(G488/C488)-LOG10(34734/47667)</f>
        <v>-1.2732732752188809</v>
      </c>
      <c r="O488">
        <f>LOG10(H488/C488)-LOG10(33378/47667)</f>
        <v>-1.2435101450333075</v>
      </c>
      <c r="Q488">
        <f>AVERAGE(K488:O488)</f>
        <v>-1.3133433187506725</v>
      </c>
      <c r="R488">
        <f>STDEV(K488:O488)</f>
        <v>0.12314580381811367</v>
      </c>
    </row>
    <row r="489" spans="1:18">
      <c r="A489">
        <v>487</v>
      </c>
      <c r="C489">
        <v>2763</v>
      </c>
      <c r="D489">
        <v>61</v>
      </c>
      <c r="E489">
        <v>50</v>
      </c>
      <c r="F489">
        <v>64</v>
      </c>
      <c r="G489">
        <v>51</v>
      </c>
      <c r="H489">
        <v>69</v>
      </c>
      <c r="J489" s="2"/>
      <c r="K489">
        <f t="shared" si="7"/>
        <v>-1.7136635854361042</v>
      </c>
      <c r="L489">
        <f>LOG10(E489/C489)-LOG10(37995/47667)</f>
        <v>-1.6439195096675923</v>
      </c>
      <c r="M489">
        <f>LOG10(F489/C489)-LOG10(35167/47667)</f>
        <v>-1.5031184126034078</v>
      </c>
      <c r="N489">
        <f>LOG10(G489/C489)-LOG10(34734/47667)</f>
        <v>-1.5963476890098927</v>
      </c>
      <c r="O489">
        <f>LOG10(H489/C489)-LOG10(33378/47667)</f>
        <v>-1.4477742847445982</v>
      </c>
      <c r="Q489">
        <f>AVERAGE(K489:O489)</f>
        <v>-1.5809646962923192</v>
      </c>
      <c r="R489">
        <f>STDEV(K489:O489)</f>
        <v>0.1067809320343345</v>
      </c>
    </row>
    <row r="490" spans="1:18">
      <c r="A490">
        <v>488</v>
      </c>
      <c r="C490">
        <v>1055</v>
      </c>
      <c r="D490">
        <v>21</v>
      </c>
      <c r="E490">
        <v>65</v>
      </c>
      <c r="F490">
        <v>32</v>
      </c>
      <c r="G490">
        <v>69</v>
      </c>
      <c r="H490">
        <v>39</v>
      </c>
      <c r="J490" s="2"/>
      <c r="K490">
        <f t="shared" si="7"/>
        <v>-1.7586457004301521</v>
      </c>
      <c r="L490">
        <f>LOG10(E490/C490)-LOG10(37995/47667)</f>
        <v>-1.1118477320779556</v>
      </c>
      <c r="M490">
        <f>LOG10(F490/C490)-LOG10(35167/47667)</f>
        <v>-1.3860199829845892</v>
      </c>
      <c r="N490">
        <f>LOG10(G490/C490)-LOG10(34734/47667)</f>
        <v>-1.0469403490877738</v>
      </c>
      <c r="O490">
        <f>LOG10(H490/C490)-LOG10(33378/47667)</f>
        <v>-1.2774303431725544</v>
      </c>
      <c r="Q490">
        <f>AVERAGE(K490:O490)</f>
        <v>-1.3161768215506051</v>
      </c>
      <c r="R490">
        <f>STDEV(K490:O490)</f>
        <v>0.28124576462218465</v>
      </c>
    </row>
    <row r="491" spans="1:18">
      <c r="A491">
        <v>489</v>
      </c>
      <c r="C491">
        <v>1002</v>
      </c>
      <c r="D491">
        <v>47</v>
      </c>
      <c r="E491">
        <v>24</v>
      </c>
      <c r="F491">
        <v>17</v>
      </c>
      <c r="G491">
        <v>23</v>
      </c>
      <c r="H491">
        <v>12</v>
      </c>
      <c r="J491" s="2"/>
      <c r="K491">
        <f t="shared" si="7"/>
        <v>-1.3863823991258692</v>
      </c>
      <c r="L491">
        <f>LOG10(E491/C491)-LOG10(37995/47667)</f>
        <v>-1.5221651089067205</v>
      </c>
      <c r="M491">
        <f>LOG10(F491/C491)-LOG10(35167/47667)</f>
        <v>-1.6383363018237367</v>
      </c>
      <c r="N491">
        <f>LOG10(G491/C491)-LOG10(34734/47667)</f>
        <v>-1.5016768657049517</v>
      </c>
      <c r="O491">
        <f>LOG10(H491/C491)-LOG10(33378/47667)</f>
        <v>-1.7669289660489442</v>
      </c>
      <c r="Q491">
        <f>AVERAGE(K491:O491)</f>
        <v>-1.5630979283220445</v>
      </c>
      <c r="R491">
        <f>STDEV(K491:O491)</f>
        <v>0.14481395451180593</v>
      </c>
    </row>
    <row r="492" spans="1:18">
      <c r="A492">
        <v>490</v>
      </c>
      <c r="C492">
        <v>1223</v>
      </c>
      <c r="D492">
        <v>15</v>
      </c>
      <c r="E492">
        <v>13</v>
      </c>
      <c r="F492">
        <v>28</v>
      </c>
      <c r="G492">
        <v>13</v>
      </c>
      <c r="H492">
        <v>19</v>
      </c>
      <c r="J492" s="2"/>
      <c r="K492">
        <f t="shared" si="7"/>
        <v>-1.968947733510964</v>
      </c>
      <c r="L492">
        <f>LOG10(E492/C492)-LOG10(37995/47667)</f>
        <v>-1.8749917338165485</v>
      </c>
      <c r="M492">
        <f>LOG10(F492/C492)-LOG10(35167/47667)</f>
        <v>-1.5081859273648499</v>
      </c>
      <c r="N492">
        <f>LOG10(G492/C492)-LOG10(34734/47667)</f>
        <v>-1.8360200849207664</v>
      </c>
      <c r="O492">
        <f>LOG10(H492/C492)-LOG10(33378/47667)</f>
        <v>-1.6539153466487988</v>
      </c>
      <c r="Q492">
        <f>AVERAGE(K492:O492)</f>
        <v>-1.7684121652523852</v>
      </c>
      <c r="R492">
        <f>STDEV(K492:O492)</f>
        <v>0.18504848400449223</v>
      </c>
    </row>
    <row r="493" spans="1:18">
      <c r="A493">
        <v>491</v>
      </c>
      <c r="C493">
        <v>594</v>
      </c>
      <c r="D493">
        <v>40</v>
      </c>
      <c r="E493">
        <v>39</v>
      </c>
      <c r="F493">
        <v>19</v>
      </c>
      <c r="G493">
        <v>39</v>
      </c>
      <c r="H493">
        <v>32</v>
      </c>
      <c r="J493" s="2"/>
      <c r="K493">
        <f t="shared" si="7"/>
        <v>-1.2293389891835911</v>
      </c>
      <c r="L493">
        <f>LOG10(E493/C493)-LOG10(37995/47667)</f>
        <v>-1.0842304670417939</v>
      </c>
      <c r="M493">
        <f>LOG10(F493/C493)-LOG10(35167/47667)</f>
        <v>-1.3629503456991483</v>
      </c>
      <c r="N493">
        <f>LOG10(G493/C493)-LOG10(34734/47667)</f>
        <v>-1.0452588181460118</v>
      </c>
      <c r="O493">
        <f>LOG10(H493/C493)-LOG10(33378/47667)</f>
        <v>-1.1138789572266297</v>
      </c>
      <c r="Q493">
        <f>AVERAGE(K493:O493)</f>
        <v>-1.1671315154594351</v>
      </c>
      <c r="R493">
        <f>STDEV(K493:O493)</f>
        <v>0.12920541513528264</v>
      </c>
    </row>
    <row r="494" spans="1:18">
      <c r="A494">
        <v>492</v>
      </c>
      <c r="C494">
        <v>2156</v>
      </c>
      <c r="D494">
        <v>253</v>
      </c>
      <c r="E494">
        <v>316</v>
      </c>
      <c r="F494">
        <v>225</v>
      </c>
      <c r="G494">
        <v>202</v>
      </c>
      <c r="H494">
        <v>220</v>
      </c>
      <c r="J494" s="2"/>
      <c r="K494">
        <f t="shared" si="7"/>
        <v>-0.9881407708692429</v>
      </c>
      <c r="L494">
        <f>LOG10(E494/C494)-LOG10(37995/47667)</f>
        <v>-0.735470302983397</v>
      </c>
      <c r="M494">
        <f>LOG10(F494/C494)-LOG10(35167/47667)</f>
        <v>-0.8493837400741221</v>
      </c>
      <c r="N494">
        <f>LOG10(G494/C494)-LOG10(34734/47667)</f>
        <v>-0.89083436725939513</v>
      </c>
      <c r="O494">
        <f>LOG10(H494/C494)-LOG10(33378/47667)</f>
        <v>-0.83646856625783705</v>
      </c>
      <c r="Q494">
        <f>AVERAGE(K494:O494)</f>
        <v>-0.86005954948879881</v>
      </c>
      <c r="R494">
        <f>STDEV(K494:O494)</f>
        <v>9.1576302093343914E-2</v>
      </c>
    </row>
    <row r="495" spans="1:18">
      <c r="A495">
        <v>493</v>
      </c>
      <c r="C495">
        <v>2377</v>
      </c>
      <c r="D495">
        <v>46</v>
      </c>
      <c r="E495">
        <v>105</v>
      </c>
      <c r="F495">
        <v>111</v>
      </c>
      <c r="G495">
        <v>96</v>
      </c>
      <c r="H495">
        <v>57</v>
      </c>
      <c r="J495" s="2"/>
      <c r="K495">
        <f t="shared" si="7"/>
        <v>-1.770883885576966</v>
      </c>
      <c r="L495">
        <f>LOG10(E495/C495)-LOG10(37995/47667)</f>
        <v>-1.2563485117453419</v>
      </c>
      <c r="M495">
        <f>LOG10(F495/C495)-LOG10(35167/47667)</f>
        <v>-1.1986237046123065</v>
      </c>
      <c r="N495">
        <f>LOG10(G495/C495)-LOG10(34734/47667)</f>
        <v>-1.2562949288799294</v>
      </c>
      <c r="O495">
        <f>LOG10(H495/C495)-LOG10(33378/47667)</f>
        <v>-1.4653968166210309</v>
      </c>
      <c r="Q495">
        <f>AVERAGE(K495:O495)</f>
        <v>-1.3895095694871149</v>
      </c>
      <c r="R495">
        <f>STDEV(K495:O495)</f>
        <v>0.23617825070832604</v>
      </c>
    </row>
    <row r="496" spans="1:18">
      <c r="A496">
        <v>494</v>
      </c>
      <c r="C496">
        <v>750</v>
      </c>
      <c r="D496">
        <v>5</v>
      </c>
      <c r="E496">
        <v>10</v>
      </c>
      <c r="F496">
        <v>10</v>
      </c>
      <c r="G496">
        <v>25</v>
      </c>
      <c r="H496">
        <v>14</v>
      </c>
      <c r="J496" s="2"/>
      <c r="K496">
        <f t="shared" si="7"/>
        <v>-2.2337037945860412</v>
      </c>
      <c r="L496">
        <f>LOG10(E496/C496)-LOG10(37995/47667)</f>
        <v>-1.7765698924787998</v>
      </c>
      <c r="M496">
        <f>LOG10(F496/C496)-LOG10(35167/47667)</f>
        <v>-1.7429787650624837</v>
      </c>
      <c r="N496">
        <f>LOG10(G496/C496)-LOG10(34734/47667)</f>
        <v>-1.33965823491098</v>
      </c>
      <c r="O496">
        <f>LOG10(H496/C496)-LOG10(33378/47667)</f>
        <v>-1.5741757182788041</v>
      </c>
      <c r="Q496">
        <f>AVERAGE(K496:O496)</f>
        <v>-1.7334172810634219</v>
      </c>
      <c r="R496">
        <f>STDEV(K496:O496)</f>
        <v>0.32887848333610115</v>
      </c>
    </row>
    <row r="497" spans="1:18">
      <c r="A497">
        <v>495</v>
      </c>
      <c r="C497">
        <v>1253</v>
      </c>
      <c r="D497">
        <v>22</v>
      </c>
      <c r="E497">
        <v>204</v>
      </c>
      <c r="F497">
        <v>34</v>
      </c>
      <c r="G497">
        <v>154</v>
      </c>
      <c r="H497">
        <v>19</v>
      </c>
      <c r="J497" s="2"/>
      <c r="K497">
        <f t="shared" si="7"/>
        <v>-1.8131409257023037</v>
      </c>
      <c r="L497">
        <f>LOG10(E497/C497)-LOG10(37995/47667)</f>
        <v>-0.68982953265535096</v>
      </c>
      <c r="M497">
        <f>LOG10(F497/C497)-LOG10(35167/47667)</f>
        <v>-1.4343896556226785</v>
      </c>
      <c r="N497">
        <f>LOG10(G497/C497)-LOG10(34734/47667)</f>
        <v>-0.77296733034900467</v>
      </c>
      <c r="O497">
        <f>LOG10(H497/C497)-LOG10(33378/47667)</f>
        <v>-1.6644399606066633</v>
      </c>
      <c r="Q497">
        <f>AVERAGE(K497:O497)</f>
        <v>-1.2749534809872001</v>
      </c>
      <c r="R497">
        <f>STDEV(K497:O497)</f>
        <v>0.51505472223389459</v>
      </c>
    </row>
    <row r="498" spans="1:18">
      <c r="A498">
        <v>496</v>
      </c>
      <c r="C498">
        <v>1455</v>
      </c>
      <c r="D498">
        <v>31</v>
      </c>
      <c r="E498">
        <v>24</v>
      </c>
      <c r="F498">
        <v>28</v>
      </c>
      <c r="G498">
        <v>44</v>
      </c>
      <c r="H498">
        <v>39</v>
      </c>
      <c r="J498" s="2"/>
      <c r="K498">
        <f t="shared" si="7"/>
        <v>-1.7291138350180133</v>
      </c>
      <c r="L498">
        <f>LOG10(E498/C498)-LOG10(37995/47667)</f>
        <v>-1.6841603806974197</v>
      </c>
      <c r="M498">
        <f>LOG10(F498/C498)-LOG10(35167/47667)</f>
        <v>-1.5836224636504905</v>
      </c>
      <c r="N498">
        <f>LOG10(G498/C498)-LOG10(34734/47667)</f>
        <v>-1.3819472970270563</v>
      </c>
      <c r="O498">
        <f>LOG10(H498/C498)-LOG10(33378/47667)</f>
        <v>-1.4170408768607692</v>
      </c>
      <c r="Q498">
        <f>AVERAGE(K498:O498)</f>
        <v>-1.5591769706507497</v>
      </c>
      <c r="R498">
        <f>STDEV(K498:O498)</f>
        <v>0.15549115662675739</v>
      </c>
    </row>
    <row r="499" spans="1:18">
      <c r="A499">
        <v>497</v>
      </c>
      <c r="C499">
        <v>1470</v>
      </c>
      <c r="D499">
        <v>191</v>
      </c>
      <c r="E499">
        <v>324</v>
      </c>
      <c r="F499">
        <v>175</v>
      </c>
      <c r="G499">
        <v>201</v>
      </c>
      <c r="H499">
        <v>173</v>
      </c>
      <c r="J499" s="2"/>
      <c r="K499">
        <f t="shared" si="7"/>
        <v>-0.9438965030308083</v>
      </c>
      <c r="L499">
        <f>LOG10(E499/C499)-LOG10(37995/47667)</f>
        <v>-0.5582809536286637</v>
      </c>
      <c r="M499">
        <f>LOG10(F499/C499)-LOG10(35167/47667)</f>
        <v>-0.79219678773266522</v>
      </c>
      <c r="N499">
        <f>LOG10(G499/C499)-LOG10(34734/47667)</f>
        <v>-0.72665825751900492</v>
      </c>
      <c r="O499">
        <f>LOG10(H499/C499)-LOG10(33378/47667)</f>
        <v>-0.77451372218472281</v>
      </c>
      <c r="Q499">
        <f>AVERAGE(K499:O499)</f>
        <v>-0.75910924481917297</v>
      </c>
      <c r="R499">
        <f>STDEV(K499:O499)</f>
        <v>0.13862132171457919</v>
      </c>
    </row>
    <row r="500" spans="1:18">
      <c r="A500">
        <v>498</v>
      </c>
      <c r="C500">
        <v>728</v>
      </c>
      <c r="D500">
        <v>27</v>
      </c>
      <c r="E500">
        <v>22</v>
      </c>
      <c r="F500">
        <v>17</v>
      </c>
      <c r="G500">
        <v>54</v>
      </c>
      <c r="H500">
        <v>161</v>
      </c>
      <c r="J500" s="2"/>
      <c r="K500">
        <f t="shared" si="7"/>
        <v>-1.4883801506844097</v>
      </c>
      <c r="L500">
        <f>LOG10(E500/C500)-LOG10(37995/47667)</f>
        <v>-1.4212173275779307</v>
      </c>
      <c r="M500">
        <f>LOG10(F500/C500)-LOG10(35167/47667)</f>
        <v>-1.4995999596055469</v>
      </c>
      <c r="N500">
        <f>LOG10(G500/C500)-LOG10(34734/47667)</f>
        <v>-0.99227459968138632</v>
      </c>
      <c r="O500">
        <f>LOG10(H500/C500)-LOG10(33378/47667)</f>
        <v>-0.5005479938465297</v>
      </c>
      <c r="Q500">
        <f>AVERAGE(K500:O500)</f>
        <v>-1.1804040062791608</v>
      </c>
      <c r="R500">
        <f>STDEV(K500:O500)</f>
        <v>0.43368285910479454</v>
      </c>
    </row>
    <row r="501" spans="1:18">
      <c r="A501">
        <v>499</v>
      </c>
      <c r="C501">
        <v>1321</v>
      </c>
      <c r="D501">
        <v>57</v>
      </c>
      <c r="E501">
        <v>87</v>
      </c>
      <c r="F501">
        <v>168</v>
      </c>
      <c r="G501">
        <v>52</v>
      </c>
      <c r="H501">
        <v>110</v>
      </c>
      <c r="J501" s="2"/>
      <c r="K501">
        <f t="shared" si="7"/>
        <v>-1.4226404974723956</v>
      </c>
      <c r="L501">
        <f>LOG10(E501/C501)-LOG10(37995/47667)</f>
        <v>-1.0828921940830083</v>
      </c>
      <c r="M501">
        <f>LOG10(F501/C501)-LOG10(35167/47667)</f>
        <v>-0.76351103755944782</v>
      </c>
      <c r="N501">
        <f>LOG10(G501/C501)-LOG10(34734/47667)</f>
        <v>-1.2674364541710457</v>
      </c>
      <c r="O501">
        <f>LOG10(H501/C501)-LOG10(33378/47667)</f>
        <v>-0.92475262302164429</v>
      </c>
      <c r="Q501">
        <f>AVERAGE(K501:O501)</f>
        <v>-1.0922465612615084</v>
      </c>
      <c r="R501">
        <f>STDEV(K501:O501)</f>
        <v>0.26270726090967428</v>
      </c>
    </row>
    <row r="502" spans="1:18">
      <c r="A502">
        <v>500</v>
      </c>
      <c r="C502">
        <v>2558</v>
      </c>
      <c r="D502">
        <v>57</v>
      </c>
      <c r="E502">
        <v>85</v>
      </c>
      <c r="F502">
        <v>136</v>
      </c>
      <c r="G502">
        <v>64</v>
      </c>
      <c r="H502">
        <v>40</v>
      </c>
      <c r="J502" s="2"/>
      <c r="K502">
        <f t="shared" si="7"/>
        <v>-1.7096382200005036</v>
      </c>
      <c r="L502">
        <f>LOG10(E502/C502)-LOG10(37995/47667)</f>
        <v>-1.3799902435154421</v>
      </c>
      <c r="M502">
        <f>LOG10(F502/C502)-LOG10(35167/47667)</f>
        <v>-1.1422791334432012</v>
      </c>
      <c r="N502">
        <f>LOG10(G502/C502)-LOG10(34734/47667)</f>
        <v>-1.4642575463500656</v>
      </c>
      <c r="O502">
        <f>LOG10(H502/C502)-LOG10(33378/47667)</f>
        <v>-1.6510830393800149</v>
      </c>
      <c r="Q502">
        <f>AVERAGE(K502:O502)</f>
        <v>-1.4694496365378453</v>
      </c>
      <c r="R502">
        <f>STDEV(K502:O502)</f>
        <v>0.22679932073833736</v>
      </c>
    </row>
    <row r="503" spans="1:18">
      <c r="A503">
        <v>501</v>
      </c>
      <c r="C503">
        <v>1374</v>
      </c>
      <c r="D503">
        <v>110</v>
      </c>
      <c r="E503">
        <v>167</v>
      </c>
      <c r="F503">
        <v>30</v>
      </c>
      <c r="G503">
        <v>61</v>
      </c>
      <c r="H503">
        <v>51</v>
      </c>
      <c r="J503" s="2"/>
      <c r="K503">
        <f t="shared" si="7"/>
        <v>-1.1542065830956665</v>
      </c>
      <c r="L503">
        <f>LOG10(E503/C503)-LOG10(37995/47667)</f>
        <v>-0.8167788906630481</v>
      </c>
      <c r="M503">
        <f>LOG10(F503/C503)-LOG10(35167/47667)</f>
        <v>-1.5287829796746528</v>
      </c>
      <c r="N503">
        <f>LOG10(G503/C503)-LOG10(34734/47667)</f>
        <v>-1.2151938779040823</v>
      </c>
      <c r="O503">
        <f>LOG10(H503/C503)-LOG10(33378/47667)</f>
        <v>-1.2756590471909375</v>
      </c>
      <c r="Q503">
        <f>AVERAGE(K503:O503)</f>
        <v>-1.1981242757056774</v>
      </c>
      <c r="R503">
        <f>STDEV(K503:O503)</f>
        <v>0.25641336599152925</v>
      </c>
    </row>
    <row r="504" spans="1:18">
      <c r="A504">
        <v>502</v>
      </c>
      <c r="C504">
        <v>1225</v>
      </c>
      <c r="D504">
        <v>24</v>
      </c>
      <c r="E504">
        <v>20</v>
      </c>
      <c r="F504">
        <v>20</v>
      </c>
      <c r="G504">
        <v>13</v>
      </c>
      <c r="H504">
        <v>29</v>
      </c>
      <c r="J504" s="2"/>
      <c r="K504">
        <f t="shared" si="7"/>
        <v>-1.765537382519305</v>
      </c>
      <c r="L504">
        <f>LOG10(E504/C504)-LOG10(37995/47667)</f>
        <v>-1.6886147221236698</v>
      </c>
      <c r="M504">
        <f>LOG10(F504/C504)-LOG10(35167/47667)</f>
        <v>-1.6550235947073537</v>
      </c>
      <c r="N504">
        <f>LOG10(G504/C504)-LOG10(34734/47667)</f>
        <v>-1.836729716585032</v>
      </c>
      <c r="O504">
        <f>LOG10(H504/C504)-LOG10(33378/47667)</f>
        <v>-1.4709805813669374</v>
      </c>
      <c r="Q504">
        <f>AVERAGE(K504:O504)</f>
        <v>-1.6833771994604596</v>
      </c>
      <c r="R504">
        <f>STDEV(K504:O504)</f>
        <v>0.13803167400311947</v>
      </c>
    </row>
    <row r="505" spans="1:18">
      <c r="A505">
        <v>503</v>
      </c>
      <c r="C505">
        <v>3133</v>
      </c>
      <c r="D505">
        <v>214</v>
      </c>
      <c r="E505">
        <v>201</v>
      </c>
      <c r="F505">
        <v>106</v>
      </c>
      <c r="G505">
        <v>143</v>
      </c>
      <c r="H505">
        <v>176</v>
      </c>
      <c r="J505" s="2"/>
      <c r="K505">
        <f t="shared" si="7"/>
        <v>-1.2231591570628741</v>
      </c>
      <c r="L505">
        <f>LOG10(E505/C505)-LOG10(37995/47667)</f>
        <v>-1.094272966548316</v>
      </c>
      <c r="M505">
        <f>LOG10(F505/C505)-LOG10(35167/47667)</f>
        <v>-1.3385720312877185</v>
      </c>
      <c r="N505">
        <f>LOG10(G505/C505)-LOG10(34734/47667)</f>
        <v>-1.2031613376079611</v>
      </c>
      <c r="O505">
        <f>LOG10(H505/C505)-LOG10(33378/47667)</f>
        <v>-1.0956902176328975</v>
      </c>
      <c r="Q505">
        <f>AVERAGE(K505:O505)</f>
        <v>-1.1909711420279534</v>
      </c>
      <c r="R505">
        <f>STDEV(K505:O505)</f>
        <v>0.10173456072680963</v>
      </c>
    </row>
    <row r="506" spans="1:18">
      <c r="A506">
        <v>504</v>
      </c>
      <c r="C506">
        <v>1108</v>
      </c>
      <c r="D506">
        <v>76</v>
      </c>
      <c r="E506">
        <v>64</v>
      </c>
      <c r="F506">
        <v>80</v>
      </c>
      <c r="G506">
        <v>45</v>
      </c>
      <c r="H506">
        <v>124</v>
      </c>
      <c r="J506" s="2"/>
      <c r="K506">
        <f t="shared" si="7"/>
        <v>-1.2213387036419794</v>
      </c>
      <c r="L506">
        <f>LOG10(E506/C506)-LOG10(37995/47667)</f>
        <v>-1.1398684154956236</v>
      </c>
      <c r="M506">
        <f>LOG10(F506/C506)-LOG10(35167/47667)</f>
        <v>-1.009367275071251</v>
      </c>
      <c r="N506">
        <f>LOG10(G506/C506)-LOG10(34734/47667)</f>
        <v>-1.2538642268083848</v>
      </c>
      <c r="O506">
        <f>LOG10(H506/C506)-LOG10(33378/47667)</f>
        <v>-0.79636056579551806</v>
      </c>
      <c r="Q506">
        <f>AVERAGE(K506:O506)</f>
        <v>-1.0841598373625514</v>
      </c>
      <c r="R506">
        <f>STDEV(K506:O506)</f>
        <v>0.18650966122235779</v>
      </c>
    </row>
    <row r="507" spans="1:18">
      <c r="A507">
        <v>505</v>
      </c>
      <c r="C507">
        <v>1282</v>
      </c>
      <c r="D507">
        <v>38</v>
      </c>
      <c r="E507">
        <v>73</v>
      </c>
      <c r="F507">
        <v>34</v>
      </c>
      <c r="G507">
        <v>54</v>
      </c>
      <c r="H507">
        <v>135</v>
      </c>
      <c r="J507" s="2"/>
      <c r="K507">
        <f t="shared" si="7"/>
        <v>-1.5857169640963482</v>
      </c>
      <c r="L507">
        <f>LOG10(E507/C507)-LOG10(37995/47667)</f>
        <v>-1.1460737941494425</v>
      </c>
      <c r="M507">
        <f>LOG10(F507/C507)-LOG10(35167/47667)</f>
        <v>-1.4443266098113272</v>
      </c>
      <c r="N507">
        <f>LOG10(G507/C507)-LOG10(34734/47667)</f>
        <v>-1.2380312455511477</v>
      </c>
      <c r="O507">
        <f>LOG10(H507/C507)-LOG10(33378/47667)</f>
        <v>-0.82279674725313467</v>
      </c>
      <c r="Q507">
        <f>AVERAGE(K507:O507)</f>
        <v>-1.24738907217228</v>
      </c>
      <c r="R507">
        <f>STDEV(K507:O507)</f>
        <v>0.29320690350215045</v>
      </c>
    </row>
    <row r="508" spans="1:18">
      <c r="A508">
        <v>506</v>
      </c>
      <c r="C508">
        <v>2127</v>
      </c>
      <c r="D508">
        <v>40</v>
      </c>
      <c r="E508">
        <v>38</v>
      </c>
      <c r="F508">
        <v>42</v>
      </c>
      <c r="G508">
        <v>29</v>
      </c>
      <c r="H508">
        <v>46</v>
      </c>
      <c r="J508" s="2"/>
      <c r="K508">
        <f t="shared" si="7"/>
        <v>-1.7833200341051265</v>
      </c>
      <c r="L508">
        <f>LOG10(E508/C508)-LOG10(37995/47667)</f>
        <v>-1.6494925223730186</v>
      </c>
      <c r="M508">
        <f>LOG10(F508/C508)-LOG10(35167/47667)</f>
        <v>-1.572435701175612</v>
      </c>
      <c r="N508">
        <f>LOG10(G508/C508)-LOG10(34734/47667)</f>
        <v>-1.7279064721950905</v>
      </c>
      <c r="O508">
        <f>LOG10(H508/C508)-LOG10(33378/47667)</f>
        <v>-1.5102521487864971</v>
      </c>
      <c r="Q508">
        <f>AVERAGE(K508:O508)</f>
        <v>-1.6486813757270689</v>
      </c>
      <c r="R508">
        <f>STDEV(K508:O508)</f>
        <v>0.11110906348973393</v>
      </c>
    </row>
    <row r="509" spans="1:18">
      <c r="A509">
        <v>507</v>
      </c>
      <c r="C509">
        <v>3047</v>
      </c>
      <c r="D509">
        <v>88</v>
      </c>
      <c r="E509">
        <v>112</v>
      </c>
      <c r="F509">
        <v>97</v>
      </c>
      <c r="G509">
        <v>127</v>
      </c>
      <c r="H509">
        <v>136</v>
      </c>
      <c r="J509" s="2"/>
      <c r="K509">
        <f t="shared" si="7"/>
        <v>-1.5970023176028647</v>
      </c>
      <c r="L509">
        <f>LOG10(E509/C509)-LOG10(37995/47667)</f>
        <v>-1.3361630606395916</v>
      </c>
      <c r="M509">
        <f>LOG10(F509/C509)-LOG10(35167/47667)</f>
        <v>-1.3650182216272124</v>
      </c>
      <c r="N509">
        <f>LOG10(G509/C509)-LOG10(34734/47667)</f>
        <v>-1.2426057134580344</v>
      </c>
      <c r="O509">
        <f>LOG10(H509/C509)-LOG10(33378/47667)</f>
        <v>-1.1955760364177983</v>
      </c>
      <c r="Q509">
        <f>AVERAGE(K509:O509)</f>
        <v>-1.3472730699491002</v>
      </c>
      <c r="R509">
        <f>STDEV(K509:O509)</f>
        <v>0.15553959732627351</v>
      </c>
    </row>
    <row r="510" spans="1:18">
      <c r="A510">
        <v>508</v>
      </c>
      <c r="C510">
        <v>851</v>
      </c>
      <c r="D510">
        <v>21</v>
      </c>
      <c r="E510">
        <v>36</v>
      </c>
      <c r="F510">
        <v>28</v>
      </c>
      <c r="G510">
        <v>24</v>
      </c>
      <c r="H510">
        <v>31</v>
      </c>
      <c r="J510" s="2"/>
      <c r="K510">
        <f t="shared" si="7"/>
        <v>-1.6653228008810284</v>
      </c>
      <c r="L510">
        <f>LOG10(E510/C510)-LOG10(37995/47667)</f>
        <v>-1.2751356884044003</v>
      </c>
      <c r="M510">
        <f>LOG10(F510/C510)-LOG10(35167/47667)</f>
        <v>-1.3506890304131522</v>
      </c>
      <c r="N510">
        <f>LOG10(G510/C510)-LOG10(34734/47667)</f>
        <v>-1.4122552985642995</v>
      </c>
      <c r="O510">
        <f>LOG10(H510/C510)-LOG10(33378/47667)</f>
        <v>-1.2838103568156574</v>
      </c>
      <c r="Q510">
        <f>AVERAGE(K510:O510)</f>
        <v>-1.3974426350157074</v>
      </c>
      <c r="R510">
        <f>STDEV(K510:O510)</f>
        <v>0.1597156705266283</v>
      </c>
    </row>
    <row r="511" spans="1:18">
      <c r="A511">
        <v>509</v>
      </c>
      <c r="C511">
        <v>1809</v>
      </c>
      <c r="D511">
        <v>36</v>
      </c>
      <c r="E511">
        <v>71</v>
      </c>
      <c r="F511">
        <v>52</v>
      </c>
      <c r="G511">
        <v>74</v>
      </c>
      <c r="H511">
        <v>21</v>
      </c>
      <c r="J511" s="2"/>
      <c r="K511">
        <f t="shared" si="7"/>
        <v>-1.7587486016228864</v>
      </c>
      <c r="L511">
        <f>LOG10(E511/C511)-LOG10(37995/47667)</f>
        <v>-1.3076888472278381</v>
      </c>
      <c r="M511">
        <f>LOG10(F511/C511)-LOG10(35167/47667)</f>
        <v>-1.4093527248957982</v>
      </c>
      <c r="N511">
        <f>LOG10(G511/C511)-LOG10(34734/47667)</f>
        <v>-1.2507438273201552</v>
      </c>
      <c r="O511">
        <f>LOG10(H511/C511)-LOG10(33378/47667)</f>
        <v>-1.7804617626912367</v>
      </c>
      <c r="Q511">
        <f>AVERAGE(K511:O511)</f>
        <v>-1.5013991527515831</v>
      </c>
      <c r="R511">
        <f>STDEV(K511:O511)</f>
        <v>0.25146023473649814</v>
      </c>
    </row>
    <row r="512" spans="1:18">
      <c r="A512">
        <v>510</v>
      </c>
      <c r="C512">
        <v>526</v>
      </c>
      <c r="D512">
        <v>18</v>
      </c>
      <c r="E512">
        <v>11</v>
      </c>
      <c r="F512">
        <v>19</v>
      </c>
      <c r="G512">
        <v>35</v>
      </c>
      <c r="H512">
        <v>22</v>
      </c>
      <c r="J512" s="2"/>
      <c r="K512">
        <f t="shared" si="7"/>
        <v>-1.5233257745807929</v>
      </c>
      <c r="L512">
        <f>LOG10(E512/C512)-LOG10(37995/47667)</f>
        <v>-1.5811016880826139</v>
      </c>
      <c r="M512">
        <f>LOG10(F512/C512)-LOG10(35167/47667)</f>
        <v>-1.3101496448716938</v>
      </c>
      <c r="N512">
        <f>LOG10(G512/C512)-LOG10(34734/47667)</f>
        <v>-1.039454679994781</v>
      </c>
      <c r="O512">
        <f>LOG10(H512/C512)-LOG10(33378/47667)</f>
        <v>-1.2238055538968751</v>
      </c>
      <c r="Q512">
        <f>AVERAGE(K512:O512)</f>
        <v>-1.3355674682853516</v>
      </c>
      <c r="R512">
        <f>STDEV(K512:O512)</f>
        <v>0.22156252465075305</v>
      </c>
    </row>
    <row r="513" spans="1:18">
      <c r="A513">
        <v>511</v>
      </c>
      <c r="C513">
        <v>2445</v>
      </c>
      <c r="D513">
        <v>100</v>
      </c>
      <c r="E513">
        <v>98</v>
      </c>
      <c r="F513">
        <v>90</v>
      </c>
      <c r="G513">
        <v>75</v>
      </c>
      <c r="H513">
        <v>103</v>
      </c>
      <c r="J513" s="2"/>
      <c r="K513">
        <f t="shared" si="7"/>
        <v>-1.4458913989899989</v>
      </c>
      <c r="L513">
        <f>LOG10(E513/C513)-LOG10(37995/47667)</f>
        <v>-1.2985614168542439</v>
      </c>
      <c r="M513">
        <f>LOG10(F513/C513)-LOG10(35167/47667)</f>
        <v>-1.3019538556910977</v>
      </c>
      <c r="N513">
        <f>LOG10(G513/C513)-LOG10(34734/47667)</f>
        <v>-1.3757545802592566</v>
      </c>
      <c r="O513">
        <f>LOG10(H513/C513)-LOG10(33378/47667)</f>
        <v>-1.220684129319809</v>
      </c>
      <c r="Q513">
        <f>AVERAGE(K513:O513)</f>
        <v>-1.328569076222881</v>
      </c>
      <c r="R513">
        <f>STDEV(K513:O513)</f>
        <v>8.5497062177096003E-2</v>
      </c>
    </row>
    <row r="514" spans="1:18">
      <c r="A514">
        <v>512</v>
      </c>
      <c r="C514">
        <v>1562</v>
      </c>
      <c r="D514">
        <v>22</v>
      </c>
      <c r="E514">
        <v>25</v>
      </c>
      <c r="F514">
        <v>34</v>
      </c>
      <c r="G514">
        <v>21</v>
      </c>
      <c r="H514">
        <v>23</v>
      </c>
      <c r="J514" s="2"/>
      <c r="K514">
        <f t="shared" si="7"/>
        <v>-1.9088708842494351</v>
      </c>
      <c r="L514">
        <f>LOG10(E514/C514)-LOG10(37995/47667)</f>
        <v>-1.6972496499563436</v>
      </c>
      <c r="M514">
        <f>LOG10(F514/C514)-LOG10(35167/47667)</f>
        <v>-1.5301196141698101</v>
      </c>
      <c r="N514">
        <f>LOG10(G514/C514)-LOG10(34734/47667)</f>
        <v>-1.73399871499868</v>
      </c>
      <c r="O514">
        <f>LOG10(H514/C514)-LOG10(33378/47667)</f>
        <v>-1.6771956840890307</v>
      </c>
      <c r="Q514">
        <f>AVERAGE(K514:O514)</f>
        <v>-1.7094869094926597</v>
      </c>
      <c r="R514">
        <f>STDEV(K514:O514)</f>
        <v>0.13575704253319318</v>
      </c>
    </row>
    <row r="515" spans="1:18">
      <c r="A515">
        <v>513</v>
      </c>
      <c r="C515">
        <v>1541</v>
      </c>
      <c r="D515">
        <v>126</v>
      </c>
      <c r="E515">
        <v>236</v>
      </c>
      <c r="F515">
        <v>153</v>
      </c>
      <c r="G515">
        <v>228</v>
      </c>
      <c r="H515">
        <v>164</v>
      </c>
      <c r="J515" s="2"/>
      <c r="K515">
        <f t="shared" ref="K515:K578" si="8">LOG10(D515/C515)-LOG10(54429/47667)</f>
        <v>-1.1450446291312162</v>
      </c>
      <c r="L515">
        <f>LOG10(E515/C515)-LOG10(37995/47667)</f>
        <v>-0.7163992648354125</v>
      </c>
      <c r="M515">
        <f>LOG10(F515/C515)-LOG10(35167/47667)</f>
        <v>-0.87102870957160394</v>
      </c>
      <c r="N515">
        <f>LOG10(G515/C515)-LOG10(34734/47667)</f>
        <v>-0.69240477190928329</v>
      </c>
      <c r="O515">
        <f>LOG10(H515/C515)-LOG10(33378/47667)</f>
        <v>-0.81820128123606362</v>
      </c>
      <c r="Q515">
        <f>AVERAGE(K515:O515)</f>
        <v>-0.84861573133671597</v>
      </c>
      <c r="R515">
        <f>STDEV(K515:O515)</f>
        <v>0.18109426390368707</v>
      </c>
    </row>
    <row r="516" spans="1:18">
      <c r="A516">
        <v>514</v>
      </c>
      <c r="C516">
        <v>2779</v>
      </c>
      <c r="D516">
        <v>109</v>
      </c>
      <c r="E516">
        <v>103</v>
      </c>
      <c r="F516">
        <v>75</v>
      </c>
      <c r="G516">
        <v>94</v>
      </c>
      <c r="H516">
        <v>114</v>
      </c>
      <c r="J516" s="2"/>
      <c r="K516">
        <f t="shared" si="8"/>
        <v>-1.4640745843671081</v>
      </c>
      <c r="L516">
        <f>LOG10(E516/C516)-LOG10(37995/47667)</f>
        <v>-1.3325599511592994</v>
      </c>
      <c r="M516">
        <f>LOG10(F516/C516)-LOG10(35167/47667)</f>
        <v>-1.4367447850564554</v>
      </c>
      <c r="N516">
        <f>LOG10(G516/C516)-LOG10(34734/47667)</f>
        <v>-1.333297673368991</v>
      </c>
      <c r="O516">
        <f>LOG10(H516/C516)-LOG10(33378/47667)</f>
        <v>-1.2322261860062416</v>
      </c>
      <c r="Q516">
        <f>AVERAGE(K516:O516)</f>
        <v>-1.3597806359916189</v>
      </c>
      <c r="R516">
        <f>STDEV(K516:O516)</f>
        <v>9.2888587313118956E-2</v>
      </c>
    </row>
    <row r="517" spans="1:18">
      <c r="A517">
        <v>515</v>
      </c>
      <c r="C517">
        <v>749</v>
      </c>
      <c r="D517">
        <v>44</v>
      </c>
      <c r="E517">
        <v>56</v>
      </c>
      <c r="F517">
        <v>11</v>
      </c>
      <c r="G517">
        <v>12</v>
      </c>
      <c r="H517">
        <v>24</v>
      </c>
      <c r="J517" s="2"/>
      <c r="K517">
        <f t="shared" si="8"/>
        <v>-1.2886416767436388</v>
      </c>
      <c r="L517">
        <f>LOG10(E517/C517)-LOG10(37995/47667)</f>
        <v>-1.0278024197803659</v>
      </c>
      <c r="M517">
        <f>LOG10(F517/C517)-LOG10(35167/47667)</f>
        <v>-1.7010066342120251</v>
      </c>
      <c r="N517">
        <f>LOG10(G517/C517)-LOG10(34734/47667)</f>
        <v>-1.6578375518431592</v>
      </c>
      <c r="O517">
        <f>LOG10(H517/C517)-LOG10(33378/47667)</f>
        <v>-1.3395130665532027</v>
      </c>
      <c r="Q517">
        <f>AVERAGE(K517:O517)</f>
        <v>-1.4029602698264785</v>
      </c>
      <c r="R517">
        <f>STDEV(K517:O517)</f>
        <v>0.2791199406126828</v>
      </c>
    </row>
    <row r="518" spans="1:18">
      <c r="A518">
        <v>516</v>
      </c>
      <c r="C518">
        <v>1166</v>
      </c>
      <c r="D518">
        <v>56</v>
      </c>
      <c r="E518">
        <v>91</v>
      </c>
      <c r="F518">
        <v>102</v>
      </c>
      <c r="G518">
        <v>109</v>
      </c>
      <c r="H518">
        <v>64</v>
      </c>
      <c r="J518" s="2"/>
      <c r="K518">
        <f t="shared" si="8"/>
        <v>-1.3761230589471547</v>
      </c>
      <c r="L518">
        <f>LOG10(E518/C518)-LOG10(37995/47667)</f>
        <v>-1.0091657871890014</v>
      </c>
      <c r="M518">
        <f>LOG10(F518/C518)-LOG10(35167/47667)</f>
        <v>-0.92601588033186133</v>
      </c>
      <c r="N518">
        <f>LOG10(G518/C518)-LOG10(34734/47667)</f>
        <v>-0.89180903267368927</v>
      </c>
      <c r="O518">
        <f>LOG10(H518/C518)-LOG10(33378/47667)</f>
        <v>-1.1057610670044502</v>
      </c>
      <c r="Q518">
        <f>AVERAGE(K518:O518)</f>
        <v>-1.0617749652292312</v>
      </c>
      <c r="R518">
        <f>STDEV(K518:O518)</f>
        <v>0.19418816528639657</v>
      </c>
    </row>
    <row r="519" spans="1:18">
      <c r="A519">
        <v>517</v>
      </c>
      <c r="C519">
        <v>1265</v>
      </c>
      <c r="D519">
        <v>66</v>
      </c>
      <c r="E519">
        <v>47</v>
      </c>
      <c r="F519">
        <v>65</v>
      </c>
      <c r="G519">
        <v>55</v>
      </c>
      <c r="H519">
        <v>56</v>
      </c>
      <c r="J519" s="2"/>
      <c r="K519">
        <f t="shared" si="8"/>
        <v>-1.340159125500328</v>
      </c>
      <c r="L519">
        <f>LOG10(E519/C519)-LOG10(37995/47667)</f>
        <v>-1.3315012966632189</v>
      </c>
      <c r="M519">
        <f>LOG10(F519/C519)-LOG10(35167/47667)</f>
        <v>-1.1570946705397647</v>
      </c>
      <c r="N519">
        <f>LOG10(G519/C519)-LOG10(34734/47667)</f>
        <v>-1.2242648162089105</v>
      </c>
      <c r="O519">
        <f>LOG10(H519/C519)-LOG10(33378/47667)</f>
        <v>-1.1991449890709784</v>
      </c>
      <c r="Q519">
        <f>AVERAGE(K519:O519)</f>
        <v>-1.2504329795966402</v>
      </c>
      <c r="R519">
        <f>STDEV(K519:O519)</f>
        <v>8.1624328443763203E-2</v>
      </c>
    </row>
    <row r="520" spans="1:18">
      <c r="A520">
        <v>518</v>
      </c>
      <c r="C520">
        <v>2708</v>
      </c>
      <c r="D520">
        <v>52</v>
      </c>
      <c r="E520">
        <v>74</v>
      </c>
      <c r="F520">
        <v>35</v>
      </c>
      <c r="G520">
        <v>84</v>
      </c>
      <c r="H520">
        <v>41</v>
      </c>
      <c r="J520" s="2"/>
      <c r="K520">
        <f t="shared" si="8"/>
        <v>-1.7742578519086674</v>
      </c>
      <c r="L520">
        <f>LOG10(E520/C520)-LOG10(37995/47667)</f>
        <v>-1.4649255693692302</v>
      </c>
      <c r="M520">
        <f>LOG10(F520/C520)-LOG10(35167/47667)</f>
        <v>-1.7564981173336147</v>
      </c>
      <c r="N520">
        <f>LOG10(G520/C520)-LOG10(34734/47667)</f>
        <v>-1.3709063541425426</v>
      </c>
      <c r="O520">
        <f>LOG10(H520/C520)-LOG10(33378/47667)</f>
        <v>-1.6651072938587133</v>
      </c>
      <c r="Q520">
        <f>AVERAGE(K520:O520)</f>
        <v>-1.6063390373225537</v>
      </c>
      <c r="R520">
        <f>STDEV(K520:O520)</f>
        <v>0.18001701503330098</v>
      </c>
    </row>
    <row r="521" spans="1:18">
      <c r="A521">
        <v>519</v>
      </c>
      <c r="C521">
        <v>1067</v>
      </c>
      <c r="D521">
        <v>18</v>
      </c>
      <c r="E521">
        <v>11</v>
      </c>
      <c r="F521">
        <v>32</v>
      </c>
      <c r="G521">
        <v>12</v>
      </c>
      <c r="H521">
        <v>5</v>
      </c>
      <c r="J521" s="2"/>
      <c r="K521">
        <f t="shared" si="8"/>
        <v>-1.8305044498515237</v>
      </c>
      <c r="L521">
        <f>LOG10(E521/C521)-LOG10(37995/47667)</f>
        <v>-1.8882803633533445</v>
      </c>
      <c r="M521">
        <f>LOG10(F521/C521)-LOG10(35167/47667)</f>
        <v>-1.3909319427753475</v>
      </c>
      <c r="N521">
        <f>LOG10(G521/C521)-LOG10(34734/47667)</f>
        <v>-1.8115201535681626</v>
      </c>
      <c r="O521">
        <f>LOG10(H521/C521)-LOG10(33378/47667)</f>
        <v>-2.1744369056537933</v>
      </c>
      <c r="Q521">
        <f>AVERAGE(K521:O521)</f>
        <v>-1.8191347630404344</v>
      </c>
      <c r="R521">
        <f>STDEV(K521:O521)</f>
        <v>0.28043075523507</v>
      </c>
    </row>
    <row r="522" spans="1:18">
      <c r="A522">
        <v>520</v>
      </c>
      <c r="C522">
        <v>1341</v>
      </c>
      <c r="D522">
        <v>52</v>
      </c>
      <c r="E522">
        <v>48</v>
      </c>
      <c r="F522">
        <v>40</v>
      </c>
      <c r="G522">
        <v>46</v>
      </c>
      <c r="H522">
        <v>40</v>
      </c>
      <c r="J522" s="2"/>
      <c r="K522">
        <f t="shared" si="8"/>
        <v>-1.4690379697471596</v>
      </c>
      <c r="L522">
        <f>LOG10(E522/C522)-LOG10(37995/47667)</f>
        <v>-1.3476961695631113</v>
      </c>
      <c r="M522">
        <f>LOG10(F522/C522)-LOG10(35167/47667)</f>
        <v>-1.3932862881944201</v>
      </c>
      <c r="N522">
        <f>LOG10(G522/C522)-LOG10(34734/47667)</f>
        <v>-1.3272079263613425</v>
      </c>
      <c r="O522">
        <f>LOG10(H522/C522)-LOG10(33378/47667)</f>
        <v>-1.3706112770889787</v>
      </c>
      <c r="Q522">
        <f>AVERAGE(K522:O522)</f>
        <v>-1.3815679261910025</v>
      </c>
      <c r="R522">
        <f>STDEV(K522:O522)</f>
        <v>5.4796628924240774E-2</v>
      </c>
    </row>
    <row r="523" spans="1:18">
      <c r="A523">
        <v>521</v>
      </c>
      <c r="C523">
        <v>1614</v>
      </c>
      <c r="D523">
        <v>42</v>
      </c>
      <c r="E523">
        <v>91</v>
      </c>
      <c r="F523">
        <v>38</v>
      </c>
      <c r="G523">
        <v>89</v>
      </c>
      <c r="H523">
        <v>63</v>
      </c>
      <c r="J523" s="2"/>
      <c r="K523">
        <f t="shared" si="8"/>
        <v>-1.642266775518511</v>
      </c>
      <c r="L523">
        <f>LOG10(E523/C523)-LOG10(37995/47667)</f>
        <v>-1.1503707671520578</v>
      </c>
      <c r="M523">
        <f>LOG10(F523/C523)-LOG10(35167/47667)</f>
        <v>-1.4960374354400252</v>
      </c>
      <c r="N523">
        <f>LOG10(G523/C523)-LOG10(34734/47667)</f>
        <v>-1.1210505039324565</v>
      </c>
      <c r="O523">
        <f>LOG10(H523/C523)-LOG10(33378/47667)</f>
        <v>-1.253805471497812</v>
      </c>
      <c r="Q523">
        <f>AVERAGE(K523:O523)</f>
        <v>-1.3327061907081725</v>
      </c>
      <c r="R523">
        <f>STDEV(K523:O523)</f>
        <v>0.22736232707595486</v>
      </c>
    </row>
    <row r="524" spans="1:18">
      <c r="A524">
        <v>522</v>
      </c>
      <c r="C524">
        <v>1208</v>
      </c>
      <c r="D524">
        <v>51</v>
      </c>
      <c r="E524">
        <v>52</v>
      </c>
      <c r="F524">
        <v>43</v>
      </c>
      <c r="G524">
        <v>62</v>
      </c>
      <c r="H524">
        <v>56</v>
      </c>
      <c r="J524" s="2"/>
      <c r="K524">
        <f t="shared" si="8"/>
        <v>-1.4321092937175366</v>
      </c>
      <c r="L524">
        <f>LOG10(E524/C524)-LOG10(37995/47667)</f>
        <v>-1.2675722197374135</v>
      </c>
      <c r="M524">
        <f>LOG10(F524/C524)-LOG10(35167/47667)</f>
        <v>-1.31651598037631</v>
      </c>
      <c r="N524">
        <f>LOG10(G524/C524)-LOG10(34734/47667)</f>
        <v>-1.1522122249781768</v>
      </c>
      <c r="O524">
        <f>LOG10(H524/C524)-LOG10(33378/47667)</f>
        <v>-1.1791213978442547</v>
      </c>
      <c r="Q524">
        <f>AVERAGE(K524:O524)</f>
        <v>-1.2695062233307384</v>
      </c>
      <c r="R524">
        <f>STDEV(K524:O524)</f>
        <v>0.11245078351700084</v>
      </c>
    </row>
    <row r="525" spans="1:18">
      <c r="A525">
        <v>523</v>
      </c>
      <c r="C525">
        <v>918</v>
      </c>
      <c r="D525">
        <v>21</v>
      </c>
      <c r="E525">
        <v>12</v>
      </c>
      <c r="F525">
        <v>17</v>
      </c>
      <c r="G525">
        <v>21</v>
      </c>
      <c r="H525">
        <v>19</v>
      </c>
      <c r="J525" s="2"/>
      <c r="K525">
        <f t="shared" si="8"/>
        <v>-1.698235921997683</v>
      </c>
      <c r="L525">
        <f>LOG10(E525/C525)-LOG10(37995/47667)</f>
        <v>-1.7851700642407173</v>
      </c>
      <c r="M525">
        <f>LOG10(F525/C525)-LOG10(35167/47667)</f>
        <v>-1.6003112614937522</v>
      </c>
      <c r="N525">
        <f>LOG10(G525/C525)-LOG10(34734/47667)</f>
        <v>-1.5031603666586408</v>
      </c>
      <c r="O525">
        <f>LOG10(H525/C525)-LOG10(33378/47667)</f>
        <v>-1.5293315708137556</v>
      </c>
      <c r="Q525">
        <f>AVERAGE(K525:O525)</f>
        <v>-1.6232418370409101</v>
      </c>
      <c r="R525">
        <f>STDEV(K525:O525)</f>
        <v>0.11790819783789722</v>
      </c>
    </row>
    <row r="526" spans="1:18">
      <c r="A526">
        <v>524</v>
      </c>
      <c r="C526">
        <v>901</v>
      </c>
      <c r="D526">
        <v>11</v>
      </c>
      <c r="E526">
        <v>27</v>
      </c>
      <c r="F526">
        <v>44</v>
      </c>
      <c r="G526">
        <v>44</v>
      </c>
      <c r="H526">
        <v>14</v>
      </c>
      <c r="J526" s="2"/>
      <c r="K526">
        <f t="shared" si="8"/>
        <v>-1.9709446413511977</v>
      </c>
      <c r="L526">
        <f>LOG10(E526/C526)-LOG10(37995/47667)</f>
        <v>-1.4248696559071754</v>
      </c>
      <c r="M526">
        <f>LOG10(F526/C526)-LOG10(35167/47667)</f>
        <v>-1.1791896161636592</v>
      </c>
      <c r="N526">
        <f>LOG10(G526/C526)-LOG10(34734/47667)</f>
        <v>-1.1738090946841933</v>
      </c>
      <c r="O526">
        <f>LOG10(H526/C526)-LOG10(33378/47667)</f>
        <v>-1.653839245866167</v>
      </c>
      <c r="Q526">
        <f>AVERAGE(K526:O526)</f>
        <v>-1.4805304507944785</v>
      </c>
      <c r="R526">
        <f>STDEV(K526:O526)</f>
        <v>0.33857215986633604</v>
      </c>
    </row>
    <row r="527" spans="1:18">
      <c r="A527">
        <v>525</v>
      </c>
      <c r="C527">
        <v>944</v>
      </c>
      <c r="D527">
        <v>13</v>
      </c>
      <c r="E527">
        <v>17</v>
      </c>
      <c r="F527">
        <v>13</v>
      </c>
      <c r="G527">
        <v>16</v>
      </c>
      <c r="H527">
        <v>20</v>
      </c>
      <c r="J527" s="2"/>
      <c r="K527">
        <f t="shared" si="8"/>
        <v>-1.9186411775215921</v>
      </c>
      <c r="L527">
        <f>LOG10(E527/C527)-LOG10(37995/47667)</f>
        <v>-1.6460317020068949</v>
      </c>
      <c r="M527">
        <f>LOG10(F527/C527)-LOG10(35167/47667)</f>
        <v>-1.7289461436620159</v>
      </c>
      <c r="N527">
        <f>LOG10(G527/C527)-LOG10(34734/47667)</f>
        <v>-1.6333889918334619</v>
      </c>
      <c r="O527">
        <f>LOG10(H527/C527)-LOG10(33378/47667)</f>
        <v>-1.5191844891994299</v>
      </c>
      <c r="Q527">
        <f>AVERAGE(K527:O527)</f>
        <v>-1.6892385008446791</v>
      </c>
      <c r="R527">
        <f>STDEV(K527:O527)</f>
        <v>0.14841381923854566</v>
      </c>
    </row>
    <row r="528" spans="1:18">
      <c r="A528">
        <v>526</v>
      </c>
      <c r="C528">
        <v>810</v>
      </c>
      <c r="D528">
        <v>18</v>
      </c>
      <c r="E528">
        <v>24</v>
      </c>
      <c r="F528">
        <v>20</v>
      </c>
      <c r="G528">
        <v>8</v>
      </c>
      <c r="H528">
        <v>24</v>
      </c>
      <c r="J528" s="2"/>
      <c r="K528">
        <f t="shared" si="8"/>
        <v>-1.7108250493057036</v>
      </c>
      <c r="L528">
        <f>LOG10(E528/C528)-LOG10(37995/47667)</f>
        <v>-1.4297824062541433</v>
      </c>
      <c r="M528">
        <f>LOG10(F528/C528)-LOG10(35167/47667)</f>
        <v>-1.4753725248854521</v>
      </c>
      <c r="N528">
        <f>LOG10(G528/C528)-LOG10(34734/47667)</f>
        <v>-1.8679320120780238</v>
      </c>
      <c r="O528">
        <f>LOG10(H528/C528)-LOG10(33378/47667)</f>
        <v>-1.3735162677323858</v>
      </c>
      <c r="Q528">
        <f>AVERAGE(K528:O528)</f>
        <v>-1.5714856520511418</v>
      </c>
      <c r="R528">
        <f>STDEV(K528:O528)</f>
        <v>0.2096457322550177</v>
      </c>
    </row>
    <row r="529" spans="1:18">
      <c r="A529">
        <v>527</v>
      </c>
      <c r="C529">
        <v>1567</v>
      </c>
      <c r="D529">
        <v>41</v>
      </c>
      <c r="E529">
        <v>25</v>
      </c>
      <c r="F529">
        <v>36</v>
      </c>
      <c r="G529">
        <v>38</v>
      </c>
      <c r="H529">
        <v>33</v>
      </c>
      <c r="J529" s="2"/>
      <c r="K529">
        <f t="shared" si="8"/>
        <v>-1.6398976752792145</v>
      </c>
      <c r="L529">
        <f>LOG10(E529/C529)-LOG10(37995/47667)</f>
        <v>-1.6986376168836523</v>
      </c>
      <c r="M529">
        <f>LOG10(F529/C529)-LOG10(35167/47667)</f>
        <v>-1.5066839973720865</v>
      </c>
      <c r="N529">
        <f>LOG10(G529/C529)-LOG10(34734/47667)</f>
        <v>-1.4778223800430976</v>
      </c>
      <c r="O529">
        <f>LOG10(H529/C529)-LOG10(33378/47667)</f>
        <v>-1.5217975471560448</v>
      </c>
      <c r="Q529">
        <f>AVERAGE(K529:O529)</f>
        <v>-1.5689678433468188</v>
      </c>
      <c r="R529">
        <f>STDEV(K529:O529)</f>
        <v>9.520648746281829E-2</v>
      </c>
    </row>
    <row r="530" spans="1:18">
      <c r="A530">
        <v>528</v>
      </c>
      <c r="C530">
        <v>587</v>
      </c>
      <c r="D530">
        <v>18</v>
      </c>
      <c r="E530">
        <v>18</v>
      </c>
      <c r="F530">
        <v>6</v>
      </c>
      <c r="G530">
        <v>16</v>
      </c>
      <c r="H530">
        <v>15</v>
      </c>
      <c r="J530" s="2"/>
      <c r="K530">
        <f t="shared" si="8"/>
        <v>-1.5709781316746683</v>
      </c>
      <c r="L530">
        <f>LOG10(E530/C530)-LOG10(37995/47667)</f>
        <v>-1.4148742252314082</v>
      </c>
      <c r="M530">
        <f>LOG10(F530/C530)-LOG10(35167/47667)</f>
        <v>-1.8584043525347544</v>
      </c>
      <c r="N530">
        <f>LOG10(G530/C530)-LOG10(34734/47667)</f>
        <v>-1.4270550987830073</v>
      </c>
      <c r="O530">
        <f>LOG10(H530/C530)-LOG10(33378/47667)</f>
        <v>-1.4377893327572755</v>
      </c>
      <c r="Q530">
        <f>AVERAGE(K530:O530)</f>
        <v>-1.5418202281962228</v>
      </c>
      <c r="R530">
        <f>STDEV(K530:O530)</f>
        <v>0.18787259041851623</v>
      </c>
    </row>
    <row r="531" spans="1:18">
      <c r="A531">
        <v>529</v>
      </c>
      <c r="C531">
        <v>892</v>
      </c>
      <c r="D531">
        <v>75</v>
      </c>
      <c r="E531">
        <v>84</v>
      </c>
      <c r="F531">
        <v>91</v>
      </c>
      <c r="G531">
        <v>61</v>
      </c>
      <c r="H531">
        <v>61</v>
      </c>
      <c r="J531" s="2"/>
      <c r="K531">
        <f t="shared" si="8"/>
        <v>-1.1329161265147829</v>
      </c>
      <c r="L531">
        <f>LOG10(E531/C531)-LOG10(37995/47667)</f>
        <v>-0.92759419740134108</v>
      </c>
      <c r="M531">
        <f>LOG10(F531/C531)-LOG10(35167/47667)</f>
        <v>-0.85924096372581293</v>
      </c>
      <c r="N531">
        <f>LOG10(G531/C531)-LOG10(34734/47667)</f>
        <v>-1.0275719995566737</v>
      </c>
      <c r="O531">
        <f>LOG10(H531/C531)-LOG10(33378/47667)</f>
        <v>-1.0102775099306982</v>
      </c>
      <c r="Q531">
        <f>AVERAGE(K531:O531)</f>
        <v>-0.99152015942586169</v>
      </c>
      <c r="R531">
        <f>STDEV(K531:O531)</f>
        <v>0.10395757201811041</v>
      </c>
    </row>
    <row r="532" spans="1:18">
      <c r="A532">
        <v>530</v>
      </c>
      <c r="C532">
        <v>1539</v>
      </c>
      <c r="D532">
        <v>30</v>
      </c>
      <c r="E532">
        <v>50</v>
      </c>
      <c r="F532">
        <v>50</v>
      </c>
      <c r="G532">
        <v>26</v>
      </c>
      <c r="H532">
        <v>31</v>
      </c>
      <c r="J532" s="2"/>
      <c r="K532">
        <f t="shared" si="8"/>
        <v>-1.7677299006421761</v>
      </c>
      <c r="L532">
        <f>LOG10(E532/C532)-LOG10(37995/47667)</f>
        <v>-1.3897772445825596</v>
      </c>
      <c r="M532">
        <f>LOG10(F532/C532)-LOG10(35167/47667)</f>
        <v>-1.3561861171662435</v>
      </c>
      <c r="N532">
        <f>LOG10(G532/C532)-LOG10(34734/47667)</f>
        <v>-1.6348022520519785</v>
      </c>
      <c r="O532">
        <f>LOG10(H532/C532)-LOG10(33378/47667)</f>
        <v>-1.5411194165625481</v>
      </c>
      <c r="Q532">
        <f>AVERAGE(K532:O532)</f>
        <v>-1.5379229862011012</v>
      </c>
      <c r="R532">
        <f>STDEV(K532:O532)</f>
        <v>0.17115963131685635</v>
      </c>
    </row>
    <row r="533" spans="1:18">
      <c r="A533">
        <v>531</v>
      </c>
      <c r="C533">
        <v>1917</v>
      </c>
      <c r="D533">
        <v>1572</v>
      </c>
      <c r="E533">
        <v>248</v>
      </c>
      <c r="F533">
        <v>383</v>
      </c>
      <c r="G533">
        <v>194</v>
      </c>
      <c r="H533">
        <v>214</v>
      </c>
      <c r="J533" s="2"/>
      <c r="K533">
        <f t="shared" si="8"/>
        <v>-0.14378210670503327</v>
      </c>
      <c r="L533">
        <f>LOG10(E533/C533)-LOG10(37995/47667)</f>
        <v>-0.78967906113894604</v>
      </c>
      <c r="M533">
        <f>LOG10(F533/C533)-LOG10(35167/47667)</f>
        <v>-0.56734084058022338</v>
      </c>
      <c r="N533">
        <f>LOG10(G533/C533)-LOG10(34734/47667)</f>
        <v>-0.85735736313915434</v>
      </c>
      <c r="O533">
        <f>LOG10(H533/C533)-LOG10(33378/47667)</f>
        <v>-0.79745083009421391</v>
      </c>
      <c r="Q533">
        <f>AVERAGE(K533:O533)</f>
        <v>-0.6311220403315142</v>
      </c>
      <c r="R533">
        <f>STDEV(K533:O533)</f>
        <v>0.29392017146918781</v>
      </c>
    </row>
    <row r="534" spans="1:18">
      <c r="A534">
        <v>532</v>
      </c>
      <c r="C534">
        <v>1768</v>
      </c>
      <c r="D534">
        <v>34</v>
      </c>
      <c r="E534">
        <v>35</v>
      </c>
      <c r="F534">
        <v>50</v>
      </c>
      <c r="G534">
        <v>27</v>
      </c>
      <c r="H534">
        <v>57</v>
      </c>
      <c r="J534" s="2"/>
      <c r="K534">
        <f t="shared" si="8"/>
        <v>-1.7736158791651591</v>
      </c>
      <c r="L534">
        <f>LOG10(E534/C534)-LOG10(37995/47667)</f>
        <v>-1.6049228454138784</v>
      </c>
      <c r="M534">
        <f>LOG10(F534/C534)-LOG10(35167/47667)</f>
        <v>-1.416429758011819</v>
      </c>
      <c r="N534">
        <f>LOG10(G534/C534)-LOG10(34734/47667)</f>
        <v>-1.6786554767093846</v>
      </c>
      <c r="O534">
        <f>LOG10(H534/C534)-LOG10(33378/47667)</f>
        <v>-1.3368498955699051</v>
      </c>
      <c r="Q534">
        <f>AVERAGE(K534:O534)</f>
        <v>-1.5620947709740294</v>
      </c>
      <c r="R534">
        <f>STDEV(K534:O534)</f>
        <v>0.18173839109366149</v>
      </c>
    </row>
    <row r="535" spans="1:18">
      <c r="A535">
        <v>533</v>
      </c>
      <c r="C535">
        <v>836</v>
      </c>
      <c r="D535">
        <v>69</v>
      </c>
      <c r="E535">
        <v>70</v>
      </c>
      <c r="F535">
        <v>22</v>
      </c>
      <c r="G535">
        <v>65</v>
      </c>
      <c r="H535">
        <v>57</v>
      </c>
      <c r="J535" s="2"/>
      <c r="K535">
        <f t="shared" si="8"/>
        <v>-1.1409697222321209</v>
      </c>
      <c r="L535">
        <f>LOG10(E535/C535)-LOG10(37995/47667)</f>
        <v>-0.97861686651185931</v>
      </c>
      <c r="M535">
        <f>LOG10(F535/C535)-LOG10(35167/47667)</f>
        <v>-1.4477010982875937</v>
      </c>
      <c r="N535">
        <f>LOG10(G535/C535)-LOG10(34734/47667)</f>
        <v>-0.97182990098747857</v>
      </c>
      <c r="O535">
        <f>LOG10(H535/C535)-LOG10(33378/47667)</f>
        <v>-1.0115739123318672</v>
      </c>
      <c r="Q535">
        <f>AVERAGE(K535:O535)</f>
        <v>-1.1101383000701841</v>
      </c>
      <c r="R535">
        <f>STDEV(K535:O535)</f>
        <v>0.20064973125148955</v>
      </c>
    </row>
    <row r="536" spans="1:18">
      <c r="A536">
        <v>534</v>
      </c>
      <c r="C536">
        <v>1970</v>
      </c>
      <c r="D536">
        <v>78</v>
      </c>
      <c r="E536">
        <v>80</v>
      </c>
      <c r="F536">
        <v>50</v>
      </c>
      <c r="G536">
        <v>36</v>
      </c>
      <c r="H536">
        <v>152</v>
      </c>
      <c r="J536" s="2"/>
      <c r="K536">
        <f t="shared" si="8"/>
        <v>-1.4599841590014724</v>
      </c>
      <c r="L536">
        <f>LOG10(E536/C536)-LOG10(37995/47667)</f>
        <v>-1.2928848682567491</v>
      </c>
      <c r="M536">
        <f>LOG10(F536/C536)-LOG10(35167/47667)</f>
        <v>-1.4634137234963578</v>
      </c>
      <c r="N536">
        <f>LOG10(G536/C536)-LOG10(34734/47667)</f>
        <v>-1.6007007055856233</v>
      </c>
      <c r="O536">
        <f>LOG10(H536/C536)-LOG10(33378/47667)</f>
        <v>-0.95786512878216246</v>
      </c>
      <c r="Q536">
        <f>AVERAGE(K536:O536)</f>
        <v>-1.354969717024473</v>
      </c>
      <c r="R536">
        <f>STDEV(K536:O536)</f>
        <v>0.24734512161768102</v>
      </c>
    </row>
    <row r="537" spans="1:18">
      <c r="A537">
        <v>535</v>
      </c>
      <c r="C537">
        <v>1146</v>
      </c>
      <c r="D537">
        <v>40</v>
      </c>
      <c r="E537">
        <v>26</v>
      </c>
      <c r="F537">
        <v>35</v>
      </c>
      <c r="G537">
        <v>38</v>
      </c>
      <c r="H537">
        <v>47</v>
      </c>
      <c r="J537" s="2"/>
      <c r="K537">
        <f t="shared" si="8"/>
        <v>-1.5147371618337686</v>
      </c>
      <c r="L537">
        <f>LOG10(E537/C537)-LOG10(37995/47667)</f>
        <v>-1.545719898747653</v>
      </c>
      <c r="M537">
        <f>LOG10(F537/C537)-LOG10(35167/47667)</f>
        <v>-1.3830340749518792</v>
      </c>
      <c r="N537">
        <f>LOG10(G537/C537)-LOG10(34734/47667)</f>
        <v>-1.3419380012058786</v>
      </c>
      <c r="O537">
        <f>LOG10(H537/C537)-LOG10(33378/47667)</f>
        <v>-1.2323292502609959</v>
      </c>
      <c r="Q537">
        <f>AVERAGE(K537:O537)</f>
        <v>-1.4035516774000352</v>
      </c>
      <c r="R537">
        <f>STDEV(K537:O537)</f>
        <v>0.12855772222009049</v>
      </c>
    </row>
    <row r="538" spans="1:18">
      <c r="A538">
        <v>536</v>
      </c>
      <c r="C538">
        <v>1047</v>
      </c>
      <c r="D538">
        <v>50</v>
      </c>
      <c r="E538">
        <v>32</v>
      </c>
      <c r="F538">
        <v>29</v>
      </c>
      <c r="G538">
        <v>41</v>
      </c>
      <c r="H538">
        <v>39</v>
      </c>
      <c r="J538" s="2"/>
      <c r="K538">
        <f t="shared" si="8"/>
        <v>-1.3785892128731834</v>
      </c>
      <c r="L538">
        <f>LOG10(E538/C538)-LOG10(37995/47667)</f>
        <v>-1.4163053324460362</v>
      </c>
      <c r="M538">
        <f>LOG10(F538/C538)-LOG10(35167/47667)</f>
        <v>-1.4254661854506698</v>
      </c>
      <c r="N538">
        <f>LOG10(G538/C538)-LOG10(34734/47667)</f>
        <v>-1.2696998051504245</v>
      </c>
      <c r="O538">
        <f>LOG10(H538/C538)-LOG10(33378/47667)</f>
        <v>-1.2741245652176854</v>
      </c>
      <c r="Q538">
        <f>AVERAGE(K538:O538)</f>
        <v>-1.3528370202275999</v>
      </c>
      <c r="R538">
        <f>STDEV(K538:O538)</f>
        <v>7.5950386482539531E-2</v>
      </c>
    </row>
    <row r="539" spans="1:18">
      <c r="A539">
        <v>537</v>
      </c>
      <c r="C539">
        <v>1185</v>
      </c>
      <c r="D539">
        <v>58</v>
      </c>
      <c r="E539">
        <v>48</v>
      </c>
      <c r="F539">
        <v>27</v>
      </c>
      <c r="G539">
        <v>28</v>
      </c>
      <c r="H539">
        <v>57</v>
      </c>
      <c r="J539" s="2"/>
      <c r="K539">
        <f t="shared" si="8"/>
        <v>-1.3679028923135452</v>
      </c>
      <c r="L539">
        <f>LOG10(E539/C539)-LOG10(37995/47667)</f>
        <v>-1.2939857420576351</v>
      </c>
      <c r="M539">
        <f>LOG10(F539/C539)-LOG10(35167/47667)</f>
        <v>-1.510272087857919</v>
      </c>
      <c r="N539">
        <f>LOG10(G539/C539)-LOG10(34734/47667)</f>
        <v>-1.4890972991952212</v>
      </c>
      <c r="O539">
        <f>LOG10(H539/C539)-LOG10(33378/47667)</f>
        <v>-1.1630859852389734</v>
      </c>
      <c r="Q539">
        <f>AVERAGE(K539:O539)</f>
        <v>-1.3648688013326589</v>
      </c>
      <c r="R539">
        <f>STDEV(K539:O539)</f>
        <v>0.14346145308453107</v>
      </c>
    </row>
    <row r="540" spans="1:18">
      <c r="A540">
        <v>538</v>
      </c>
      <c r="C540">
        <v>3981</v>
      </c>
      <c r="D540">
        <v>271</v>
      </c>
      <c r="E540">
        <v>291</v>
      </c>
      <c r="F540">
        <v>232</v>
      </c>
      <c r="G540">
        <v>203</v>
      </c>
      <c r="H540">
        <v>267</v>
      </c>
      <c r="J540" s="2"/>
      <c r="K540">
        <f t="shared" si="8"/>
        <v>-1.224635422240052</v>
      </c>
      <c r="L540">
        <f>LOG10(E540/C540)-LOG10(37995/47667)</f>
        <v>-1.0376078176852903</v>
      </c>
      <c r="M540">
        <f>LOG10(F540/C540)-LOG10(35167/47667)</f>
        <v>-1.102421694363982</v>
      </c>
      <c r="N540">
        <f>LOG10(G540/C540)-LOG10(34734/47667)</f>
        <v>-1.1550331198622026</v>
      </c>
      <c r="O540">
        <f>LOG10(H540/C540)-LOG10(33378/47667)</f>
        <v>-1.0187234067848649</v>
      </c>
      <c r="Q540">
        <f>AVERAGE(K540:O540)</f>
        <v>-1.1076842921872783</v>
      </c>
      <c r="R540">
        <f>STDEV(K540:O540)</f>
        <v>8.4811444759639171E-2</v>
      </c>
    </row>
    <row r="541" spans="1:18">
      <c r="A541">
        <v>539</v>
      </c>
      <c r="C541">
        <v>1921</v>
      </c>
      <c r="D541">
        <v>105</v>
      </c>
      <c r="E541">
        <v>155</v>
      </c>
      <c r="F541">
        <v>211</v>
      </c>
      <c r="G541">
        <v>132</v>
      </c>
      <c r="H541">
        <v>152</v>
      </c>
      <c r="J541" s="2"/>
      <c r="K541">
        <f t="shared" si="8"/>
        <v>-1.3199506013221154</v>
      </c>
      <c r="L541">
        <f>LOG10(E541/C541)-LOG10(37995/47667)</f>
        <v>-0.99470429577850195</v>
      </c>
      <c r="M541">
        <f>LOG10(F541/C541)-LOG10(35167/47667)</f>
        <v>-0.82716241123478451</v>
      </c>
      <c r="N541">
        <f>LOG10(G541/C541)-LOG10(34734/47667)</f>
        <v>-1.0254904138471614</v>
      </c>
      <c r="O541">
        <f>LOG10(H541/C541)-LOG10(33378/47667)</f>
        <v>-0.94692626748226338</v>
      </c>
      <c r="Q541">
        <f>AVERAGE(K541:O541)</f>
        <v>-1.0228467979329654</v>
      </c>
      <c r="R541">
        <f>STDEV(K541:O541)</f>
        <v>0.18243215537719315</v>
      </c>
    </row>
    <row r="542" spans="1:18">
      <c r="A542">
        <v>540</v>
      </c>
      <c r="C542">
        <v>1756</v>
      </c>
      <c r="D542">
        <v>63</v>
      </c>
      <c r="E542">
        <v>124</v>
      </c>
      <c r="F542">
        <v>43</v>
      </c>
      <c r="G542">
        <v>83</v>
      </c>
      <c r="H542">
        <v>74</v>
      </c>
      <c r="J542" s="2"/>
      <c r="K542">
        <f t="shared" si="8"/>
        <v>-1.502796497646862</v>
      </c>
      <c r="L542">
        <f>LOG10(E542/C542)-LOG10(37995/47667)</f>
        <v>-1.0526114554949484</v>
      </c>
      <c r="M542">
        <f>LOG10(F542/C542)-LOG10(35167/47667)</f>
        <v>-1.4789735576612808</v>
      </c>
      <c r="N542">
        <f>LOG10(G542/C542)-LOG10(34734/47667)</f>
        <v>-1.1879833993853275</v>
      </c>
      <c r="O542">
        <f>LOG10(H542/C542)-LOG10(33378/47667)</f>
        <v>-1.2205352824044498</v>
      </c>
      <c r="Q542">
        <f>AVERAGE(K542:O542)</f>
        <v>-1.2885800385185737</v>
      </c>
      <c r="R542">
        <f>STDEV(K542:O542)</f>
        <v>0.19530061975498084</v>
      </c>
    </row>
    <row r="543" spans="1:18">
      <c r="A543">
        <v>541</v>
      </c>
      <c r="C543">
        <v>2134</v>
      </c>
      <c r="D543">
        <v>35</v>
      </c>
      <c r="E543">
        <v>49</v>
      </c>
      <c r="F543">
        <v>101</v>
      </c>
      <c r="G543">
        <v>60</v>
      </c>
      <c r="H543">
        <v>64</v>
      </c>
      <c r="J543" s="2"/>
      <c r="K543">
        <f t="shared" si="8"/>
        <v>-1.8427389062685353</v>
      </c>
      <c r="L543">
        <f>LOG10(E543/C543)-LOG10(37995/47667)</f>
        <v>-1.540506964147037</v>
      </c>
      <c r="M543">
        <f>LOG10(F543/C543)-LOG10(35167/47667)</f>
        <v>-1.1927905429765921</v>
      </c>
      <c r="N543">
        <f>LOG10(G543/C543)-LOG10(34734/47667)</f>
        <v>-1.4135801448961252</v>
      </c>
      <c r="O543">
        <f>LOG10(H543/C543)-LOG10(33378/47667)</f>
        <v>-1.368256931669906</v>
      </c>
      <c r="Q543">
        <f>AVERAGE(K543:O543)</f>
        <v>-1.4715746979916391</v>
      </c>
      <c r="R543">
        <f>STDEV(K543:O543)</f>
        <v>0.24200881230703622</v>
      </c>
    </row>
    <row r="544" spans="1:18">
      <c r="A544">
        <v>542</v>
      </c>
      <c r="C544">
        <v>1240</v>
      </c>
      <c r="D544">
        <v>25</v>
      </c>
      <c r="E544">
        <v>38</v>
      </c>
      <c r="F544">
        <v>20</v>
      </c>
      <c r="G544">
        <v>51</v>
      </c>
      <c r="H544">
        <v>22</v>
      </c>
      <c r="J544" s="2"/>
      <c r="K544">
        <f t="shared" si="8"/>
        <v>-1.7530942120205573</v>
      </c>
      <c r="L544">
        <f>LOG10(E544/C544)-LOG10(37995/47667)</f>
        <v>-1.4151467176325248</v>
      </c>
      <c r="M544">
        <f>LOG10(F544/C544)-LOG10(35167/47667)</f>
        <v>-1.6603091911690375</v>
      </c>
      <c r="N544">
        <f>LOG10(G544/C544)-LOG10(34734/47667)</f>
        <v>-1.2483884892556163</v>
      </c>
      <c r="O544">
        <f>LOG10(H544/C544)-LOG10(33378/47667)</f>
        <v>-1.5962414949053709</v>
      </c>
      <c r="Q544">
        <f>AVERAGE(K544:O544)</f>
        <v>-1.5346360209966214</v>
      </c>
      <c r="R544">
        <f>STDEV(K544:O544)</f>
        <v>0.20219316530759182</v>
      </c>
    </row>
    <row r="545" spans="1:18">
      <c r="A545">
        <v>543</v>
      </c>
      <c r="C545">
        <v>1507</v>
      </c>
      <c r="D545">
        <v>35</v>
      </c>
      <c r="E545">
        <v>52</v>
      </c>
      <c r="F545">
        <v>57</v>
      </c>
      <c r="G545">
        <v>61</v>
      </c>
      <c r="H545">
        <v>70</v>
      </c>
      <c r="J545" s="2"/>
      <c r="K545">
        <f t="shared" si="8"/>
        <v>-1.691657743494716</v>
      </c>
      <c r="L545">
        <f>LOG10(E545/C545)-LOG10(37995/47667)</f>
        <v>-1.3636185377669323</v>
      </c>
      <c r="M545">
        <f>LOG10(F545/C545)-LOG10(35167/47667)</f>
        <v>-1.290155898312924</v>
      </c>
      <c r="N545">
        <f>LOG10(G545/C545)-LOG10(34734/47667)</f>
        <v>-1.2553203974951825</v>
      </c>
      <c r="O545">
        <f>LOG10(H545/C545)-LOG10(33378/47667)</f>
        <v>-1.1782577028657171</v>
      </c>
      <c r="Q545">
        <f>AVERAGE(K545:O545)</f>
        <v>-1.3558020559870945</v>
      </c>
      <c r="R545">
        <f>STDEV(K545:O545)</f>
        <v>0.19924113484330119</v>
      </c>
    </row>
    <row r="546" spans="1:18">
      <c r="A546">
        <v>544</v>
      </c>
      <c r="C546">
        <v>1307</v>
      </c>
      <c r="D546">
        <v>54</v>
      </c>
      <c r="E546">
        <v>34</v>
      </c>
      <c r="F546">
        <v>40</v>
      </c>
      <c r="G546">
        <v>56</v>
      </c>
      <c r="H546">
        <v>38</v>
      </c>
      <c r="J546" s="2"/>
      <c r="K546">
        <f t="shared" si="8"/>
        <v>-1.4414943632879356</v>
      </c>
      <c r="L546">
        <f>LOG10(E546/C546)-LOG10(37995/47667)</f>
        <v>-1.4863052996253889</v>
      </c>
      <c r="M546">
        <f>LOG10(F546/C546)-LOG10(35167/47667)</f>
        <v>-1.3821330979233655</v>
      </c>
      <c r="N546">
        <f>LOG10(G546/C546)-LOG10(34734/47667)</f>
        <v>-1.2306245407656615</v>
      </c>
      <c r="O546">
        <f>LOG10(H546/C546)-LOG10(33378/47667)</f>
        <v>-1.3817344815290764</v>
      </c>
      <c r="Q546">
        <f>AVERAGE(K546:O546)</f>
        <v>-1.3844583566262856</v>
      </c>
      <c r="R546">
        <f>STDEV(K546:O546)</f>
        <v>9.6570667233885618E-2</v>
      </c>
    </row>
    <row r="547" spans="1:18">
      <c r="A547">
        <v>545</v>
      </c>
      <c r="C547">
        <v>1142</v>
      </c>
      <c r="D547">
        <v>37</v>
      </c>
      <c r="E547">
        <v>30</v>
      </c>
      <c r="F547">
        <v>16</v>
      </c>
      <c r="G547">
        <v>35</v>
      </c>
      <c r="H547">
        <v>12</v>
      </c>
      <c r="J547" s="2"/>
      <c r="K547">
        <f t="shared" si="8"/>
        <v>-1.547076915373194</v>
      </c>
      <c r="L547">
        <f>LOG10(E547/C547)-LOG10(37995/47667)</f>
        <v>-1.4820534782772665</v>
      </c>
      <c r="M547">
        <f>LOG10(F547/C547)-LOG10(35167/47667)</f>
        <v>-1.721463622924688</v>
      </c>
      <c r="N547">
        <f>LOG10(G547/C547)-LOG10(34734/47667)</f>
        <v>-1.3761350397508711</v>
      </c>
      <c r="O547">
        <f>LOG10(H547/C547)-LOG10(33378/47667)</f>
        <v>-1.8237273484275467</v>
      </c>
      <c r="Q547">
        <f>AVERAGE(K547:O547)</f>
        <v>-1.5900912809507133</v>
      </c>
      <c r="R547">
        <f>STDEV(K547:O547)</f>
        <v>0.18106917177053714</v>
      </c>
    </row>
    <row r="548" spans="1:18">
      <c r="A548">
        <v>546</v>
      </c>
      <c r="C548">
        <v>1678</v>
      </c>
      <c r="D548">
        <v>153</v>
      </c>
      <c r="E548">
        <v>47</v>
      </c>
      <c r="F548">
        <v>61</v>
      </c>
      <c r="G548">
        <v>73</v>
      </c>
      <c r="H548">
        <v>42</v>
      </c>
      <c r="J548" s="2"/>
      <c r="K548">
        <f t="shared" si="8"/>
        <v>-1.0977130612054424</v>
      </c>
      <c r="L548">
        <f>LOG10(E548/C548)-LOG10(37995/47667)</f>
        <v>-1.4542027276440637</v>
      </c>
      <c r="M548">
        <f>LOG10(F548/C548)-LOG10(35167/47667)</f>
        <v>-1.3073796231526982</v>
      </c>
      <c r="N548">
        <f>LOG10(G548/C548)-LOG10(34734/47667)</f>
        <v>-1.2240060765635432</v>
      </c>
      <c r="O548">
        <f>LOG10(H548/C548)-LOG10(33378/47667)</f>
        <v>-1.4467851566601231</v>
      </c>
      <c r="Q548">
        <f>AVERAGE(K548:O548)</f>
        <v>-1.3060173290451742</v>
      </c>
      <c r="R548">
        <f>STDEV(K548:O548)</f>
        <v>0.15156917812374535</v>
      </c>
    </row>
    <row r="549" spans="1:18">
      <c r="A549">
        <v>547</v>
      </c>
      <c r="C549">
        <v>1792</v>
      </c>
      <c r="D549">
        <v>29</v>
      </c>
      <c r="E549">
        <v>66</v>
      </c>
      <c r="F549">
        <v>24</v>
      </c>
      <c r="G549">
        <v>22</v>
      </c>
      <c r="H549">
        <v>40</v>
      </c>
      <c r="J549" s="2"/>
      <c r="K549">
        <f t="shared" si="8"/>
        <v>-1.84855254295751</v>
      </c>
      <c r="L549">
        <f>LOG10(E549/C549)-LOG10(37995/47667)</f>
        <v>-1.3353026988713375</v>
      </c>
      <c r="M549">
        <f>LOG10(F549/C549)-LOG10(35167/47667)</f>
        <v>-1.741044265285284</v>
      </c>
      <c r="N549">
        <f>LOG10(G549/C549)-LOG10(34734/47667)</f>
        <v>-1.7734523046952178</v>
      </c>
      <c r="O549">
        <f>LOG10(H549/C549)-LOG10(33378/47667)</f>
        <v>-1.4965205045634862</v>
      </c>
      <c r="Q549">
        <f>AVERAGE(K549:O549)</f>
        <v>-1.6389744632745671</v>
      </c>
      <c r="R549">
        <f>STDEV(K549:O549)</f>
        <v>0.21502045056661578</v>
      </c>
    </row>
    <row r="550" spans="1:18">
      <c r="A550">
        <v>548</v>
      </c>
      <c r="C550">
        <v>1572</v>
      </c>
      <c r="D550">
        <v>461</v>
      </c>
      <c r="E550">
        <v>165</v>
      </c>
      <c r="F550">
        <v>134</v>
      </c>
      <c r="G550">
        <v>89</v>
      </c>
      <c r="H550">
        <v>112</v>
      </c>
      <c r="J550" s="2"/>
      <c r="K550">
        <f t="shared" si="8"/>
        <v>-0.59036415184410063</v>
      </c>
      <c r="L550">
        <f>LOG10(E550/C550)-LOG10(37995/47667)</f>
        <v>-0.88047722657658256</v>
      </c>
      <c r="M550">
        <f>LOG10(F550/C550)-LOG10(35167/47667)</f>
        <v>-0.93726524500936492</v>
      </c>
      <c r="N550">
        <f>LOG10(G550/C550)-LOG10(34734/47667)</f>
        <v>-1.1095995152497939</v>
      </c>
      <c r="O550">
        <f>LOG10(H550/C550)-LOG10(33378/47667)</f>
        <v>-0.99247700959854956</v>
      </c>
      <c r="Q550">
        <f>AVERAGE(K550:O550)</f>
        <v>-0.90203662965567832</v>
      </c>
      <c r="R550">
        <f>STDEV(K550:O550)</f>
        <v>0.19371848803511224</v>
      </c>
    </row>
    <row r="551" spans="1:18">
      <c r="A551">
        <v>549</v>
      </c>
      <c r="C551">
        <v>712</v>
      </c>
      <c r="D551">
        <v>22</v>
      </c>
      <c r="E551">
        <v>12</v>
      </c>
      <c r="F551">
        <v>18</v>
      </c>
      <c r="G551">
        <v>27</v>
      </c>
      <c r="H551">
        <v>13</v>
      </c>
      <c r="J551" s="2"/>
      <c r="K551">
        <f t="shared" si="8"/>
        <v>-1.56766984834501</v>
      </c>
      <c r="L551">
        <f>LOG10(E551/C551)-LOG10(37995/47667)</f>
        <v>-1.6748073766763312</v>
      </c>
      <c r="M551">
        <f>LOG10(F551/C551)-LOG10(35167/47667)</f>
        <v>-1.465124990204334</v>
      </c>
      <c r="N551">
        <f>LOG10(G551/C551)-LOG10(34734/47667)</f>
        <v>-1.2836532096691866</v>
      </c>
      <c r="O551">
        <f>LOG10(H551/C551)-LOG10(33378/47667)</f>
        <v>-1.5837791318953618</v>
      </c>
      <c r="Q551">
        <f>AVERAGE(K551:O551)</f>
        <v>-1.5150069113580447</v>
      </c>
      <c r="R551">
        <f>STDEV(K551:O551)</f>
        <v>0.14920785276652623</v>
      </c>
    </row>
    <row r="552" spans="1:18">
      <c r="A552">
        <v>550</v>
      </c>
      <c r="C552">
        <v>1382</v>
      </c>
      <c r="D552">
        <v>16</v>
      </c>
      <c r="E552">
        <v>23</v>
      </c>
      <c r="F552">
        <v>18</v>
      </c>
      <c r="G552">
        <v>18</v>
      </c>
      <c r="H552">
        <v>41</v>
      </c>
      <c r="J552" s="2"/>
      <c r="K552">
        <f t="shared" si="8"/>
        <v>-1.9940005959126146</v>
      </c>
      <c r="L552">
        <f>LOG10(E552/C552)-LOG10(37995/47667)</f>
        <v>-1.6802888361076864</v>
      </c>
      <c r="M552">
        <f>LOG10(F552/C552)-LOG10(35167/47667)</f>
        <v>-1.7531530396056572</v>
      </c>
      <c r="N552">
        <f>LOG10(G552/C552)-LOG10(34734/47667)</f>
        <v>-1.7477725181261912</v>
      </c>
      <c r="O552">
        <f>LOG10(H552/C552)-LOG10(33378/47667)</f>
        <v>-1.3729666768837863</v>
      </c>
      <c r="Q552">
        <f>AVERAGE(K552:O552)</f>
        <v>-1.7096363333271873</v>
      </c>
      <c r="R552">
        <f>STDEV(K552:O552)</f>
        <v>0.22272114813981234</v>
      </c>
    </row>
    <row r="553" spans="1:18">
      <c r="A553">
        <v>551</v>
      </c>
      <c r="C553">
        <v>1409</v>
      </c>
      <c r="D553">
        <v>38</v>
      </c>
      <c r="E553">
        <v>47</v>
      </c>
      <c r="F553">
        <v>42</v>
      </c>
      <c r="G553">
        <v>62</v>
      </c>
      <c r="H553">
        <v>48</v>
      </c>
      <c r="J553" s="2"/>
      <c r="K553">
        <f t="shared" si="8"/>
        <v>-1.6267399320229061</v>
      </c>
      <c r="L553">
        <f>LOG10(E553/C553)-LOG10(37995/47667)</f>
        <v>-1.3783217642607386</v>
      </c>
      <c r="M553">
        <f>LOG10(F553/C553)-LOG10(35167/47667)</f>
        <v>-1.3935792043822397</v>
      </c>
      <c r="N553">
        <f>LOG10(G553/C553)-LOG10(34734/47667)</f>
        <v>-1.2190562838024201</v>
      </c>
      <c r="O553">
        <f>LOG10(H553/C553)-LOG10(33378/47667)</f>
        <v>-1.3129122462991114</v>
      </c>
      <c r="Q553">
        <f>AVERAGE(K553:O553)</f>
        <v>-1.3861218861534832</v>
      </c>
      <c r="R553">
        <f>STDEV(K553:O553)</f>
        <v>0.15106626389705338</v>
      </c>
    </row>
    <row r="554" spans="1:18">
      <c r="A554">
        <v>552</v>
      </c>
      <c r="C554">
        <v>1049</v>
      </c>
      <c r="D554">
        <v>20</v>
      </c>
      <c r="E554">
        <v>63</v>
      </c>
      <c r="F554">
        <v>60</v>
      </c>
      <c r="G554">
        <v>25</v>
      </c>
      <c r="H554">
        <v>26</v>
      </c>
      <c r="J554" s="2"/>
      <c r="K554">
        <f t="shared" si="8"/>
        <v>-1.7773580280599364</v>
      </c>
      <c r="L554">
        <f>LOG10(E554/C554)-LOG10(37995/47667)</f>
        <v>-1.1229435678270758</v>
      </c>
      <c r="M554">
        <f>LOG10(F554/C554)-LOG10(35167/47667)</f>
        <v>-1.1105417394806978</v>
      </c>
      <c r="N554">
        <f>LOG10(G554/C554)-LOG10(34734/47667)</f>
        <v>-1.4853724597128379</v>
      </c>
      <c r="O554">
        <f>LOG10(H554/C554)-LOG10(33378/47667)</f>
        <v>-1.451044630788082</v>
      </c>
      <c r="Q554">
        <f>AVERAGE(K554:O554)</f>
        <v>-1.389452085173726</v>
      </c>
      <c r="R554">
        <f>STDEV(K554:O554)</f>
        <v>0.27941150262933512</v>
      </c>
    </row>
    <row r="555" spans="1:18">
      <c r="A555">
        <v>553</v>
      </c>
      <c r="C555">
        <v>941</v>
      </c>
      <c r="D555">
        <v>18</v>
      </c>
      <c r="E555">
        <v>39</v>
      </c>
      <c r="F555">
        <v>22</v>
      </c>
      <c r="G555">
        <v>8</v>
      </c>
      <c r="H555">
        <v>10</v>
      </c>
      <c r="J555" s="2"/>
      <c r="K555">
        <f t="shared" si="8"/>
        <v>-1.7759296538543106</v>
      </c>
      <c r="L555">
        <f>LOG10(E555/C555)-LOG10(37995/47667)</f>
        <v>-1.2840336454878574</v>
      </c>
      <c r="M555">
        <f>LOG10(F555/C555)-LOG10(35167/47667)</f>
        <v>-1.4990844442758342</v>
      </c>
      <c r="N555">
        <f>LOG10(G555/C555)-LOG10(34734/47667)</f>
        <v>-1.9330366166266308</v>
      </c>
      <c r="O555">
        <f>LOG10(H555/C555)-LOG10(33378/47667)</f>
        <v>-1.8188321139925991</v>
      </c>
      <c r="Q555">
        <f>AVERAGE(K555:O555)</f>
        <v>-1.6621832948474466</v>
      </c>
      <c r="R555">
        <f>STDEV(K555:O555)</f>
        <v>0.2647815141839896</v>
      </c>
    </row>
    <row r="556" spans="1:18">
      <c r="A556">
        <v>554</v>
      </c>
      <c r="C556">
        <v>1598</v>
      </c>
      <c r="D556">
        <v>51</v>
      </c>
      <c r="E556">
        <v>98</v>
      </c>
      <c r="F556">
        <v>47</v>
      </c>
      <c r="G556">
        <v>55</v>
      </c>
      <c r="H556">
        <v>100</v>
      </c>
      <c r="J556" s="2"/>
      <c r="K556">
        <f t="shared" si="8"/>
        <v>-1.553619134410396</v>
      </c>
      <c r="L556">
        <f>LOG10(E556/C556)-LOG10(37995/47667)</f>
        <v>-1.1138593283725775</v>
      </c>
      <c r="M556">
        <f>LOG10(F556/C556)-LOG10(35167/47667)</f>
        <v>-1.3993964187130388</v>
      </c>
      <c r="N556">
        <f>LOG10(G556/C556)-LOG10(34734/47667)</f>
        <v>-1.3257510656750464</v>
      </c>
      <c r="O556">
        <f>LOG10(H556/C556)-LOG10(33378/47667)</f>
        <v>-1.0488192655433148</v>
      </c>
      <c r="Q556">
        <f>AVERAGE(K556:O556)</f>
        <v>-1.2882890425428748</v>
      </c>
      <c r="R556">
        <f>STDEV(K556:O556)</f>
        <v>0.20731606856967746</v>
      </c>
    </row>
    <row r="557" spans="1:18">
      <c r="A557">
        <v>555</v>
      </c>
      <c r="C557">
        <v>2154</v>
      </c>
      <c r="D557">
        <v>108</v>
      </c>
      <c r="E557">
        <v>138</v>
      </c>
      <c r="F557">
        <v>158</v>
      </c>
      <c r="G557">
        <v>55</v>
      </c>
      <c r="H557">
        <v>111</v>
      </c>
      <c r="J557" s="2"/>
      <c r="K557">
        <f t="shared" si="8"/>
        <v>-1.357434479005373</v>
      </c>
      <c r="L557">
        <f>LOG10(E557/C557)-LOG10(37995/47667)</f>
        <v>-1.094875241647826</v>
      </c>
      <c r="M557">
        <f>LOG10(F557/C557)-LOG10(35167/47667)</f>
        <v>-1.0025061136783238</v>
      </c>
      <c r="N557">
        <f>LOG10(G557/C557)-LOG10(34734/47667)</f>
        <v>-1.4554199896590365</v>
      </c>
      <c r="O557">
        <f>LOG10(H557/C557)-LOG10(33378/47667)</f>
        <v>-1.1331652107406476</v>
      </c>
      <c r="Q557">
        <f>AVERAGE(K557:O557)</f>
        <v>-1.2086802069462415</v>
      </c>
      <c r="R557">
        <f>STDEV(K557:O557)</f>
        <v>0.18984875252576133</v>
      </c>
    </row>
    <row r="558" spans="1:18">
      <c r="A558">
        <v>556</v>
      </c>
      <c r="C558">
        <v>1906</v>
      </c>
      <c r="D558">
        <v>85</v>
      </c>
      <c r="E558">
        <v>60</v>
      </c>
      <c r="F558">
        <v>74</v>
      </c>
      <c r="G558">
        <v>60</v>
      </c>
      <c r="H558">
        <v>58</v>
      </c>
      <c r="J558" s="2"/>
      <c r="K558">
        <f t="shared" si="8"/>
        <v>-1.4083165061183747</v>
      </c>
      <c r="L558">
        <f>LOG10(E558/C558)-LOG10(37995/47667)</f>
        <v>-1.4034802750057638</v>
      </c>
      <c r="M558">
        <f>LOG10(F558/C558)-LOG10(35167/47667)</f>
        <v>-1.2788086782421151</v>
      </c>
      <c r="N558">
        <f>LOG10(G558/C558)-LOG10(34734/47667)</f>
        <v>-1.3645086261099817</v>
      </c>
      <c r="O558">
        <f>LOG10(H558/C558)-LOG10(33378/47667)</f>
        <v>-1.3619373933047125</v>
      </c>
      <c r="Q558">
        <f>AVERAGE(K558:O558)</f>
        <v>-1.3634102957561895</v>
      </c>
      <c r="R558">
        <f>STDEV(K558:O558)</f>
        <v>5.1920565345895238E-2</v>
      </c>
    </row>
    <row r="559" spans="1:18">
      <c r="A559">
        <v>557</v>
      </c>
      <c r="C559">
        <v>1511</v>
      </c>
      <c r="D559">
        <v>81</v>
      </c>
      <c r="E559">
        <v>144</v>
      </c>
      <c r="F559">
        <v>52</v>
      </c>
      <c r="G559">
        <v>162</v>
      </c>
      <c r="H559">
        <v>57</v>
      </c>
      <c r="J559" s="2"/>
      <c r="K559">
        <f t="shared" si="8"/>
        <v>-1.3283919809907354</v>
      </c>
      <c r="L559">
        <f>LOG10(E559/C559)-LOG10(37995/47667)</f>
        <v>-0.92241060133087549</v>
      </c>
      <c r="M559">
        <f>LOG10(F559/C559)-LOG10(35167/47667)</f>
        <v>-1.3311786223750097</v>
      </c>
      <c r="N559">
        <f>LOG10(G559/C559)-LOG10(34734/47667)</f>
        <v>-0.83228642998771218</v>
      </c>
      <c r="O559">
        <f>LOG10(H559/C559)-LOG10(33378/47667)</f>
        <v>-1.2686320992318763</v>
      </c>
      <c r="Q559">
        <f>AVERAGE(K559:O559)</f>
        <v>-1.1365799467832418</v>
      </c>
      <c r="R559">
        <f>STDEV(K559:O559)</f>
        <v>0.24008400866701435</v>
      </c>
    </row>
    <row r="560" spans="1:18">
      <c r="A560">
        <v>558</v>
      </c>
      <c r="C560">
        <v>1614</v>
      </c>
      <c r="D560">
        <v>26</v>
      </c>
      <c r="E560">
        <v>39</v>
      </c>
      <c r="F560">
        <v>74</v>
      </c>
      <c r="G560">
        <v>36</v>
      </c>
      <c r="H560">
        <v>31</v>
      </c>
      <c r="J560" s="2"/>
      <c r="K560">
        <f t="shared" si="8"/>
        <v>-1.8505427179455936</v>
      </c>
      <c r="L560">
        <f>LOG10(E560/C560)-LOG10(37995/47667)</f>
        <v>-1.5183475524466521</v>
      </c>
      <c r="M560">
        <f>LOG10(F560/C560)-LOG10(35167/47667)</f>
        <v>-1.2065893123258591</v>
      </c>
      <c r="N560">
        <f>LOG10(G560/C560)-LOG10(34734/47667)</f>
        <v>-1.5141380098100821</v>
      </c>
      <c r="O560">
        <f>LOG10(H560/C560)-LOG10(33378/47667)</f>
        <v>-1.561784327117121</v>
      </c>
      <c r="Q560">
        <f>AVERAGE(K560:O560)</f>
        <v>-1.5302803839290617</v>
      </c>
      <c r="R560">
        <f>STDEV(K560:O560)</f>
        <v>0.22844000282958671</v>
      </c>
    </row>
    <row r="561" spans="1:18">
      <c r="A561">
        <v>559</v>
      </c>
      <c r="C561">
        <v>1484</v>
      </c>
      <c r="D561">
        <v>67</v>
      </c>
      <c r="E561">
        <v>66</v>
      </c>
      <c r="F561">
        <v>46</v>
      </c>
      <c r="G561">
        <v>77</v>
      </c>
      <c r="H561">
        <v>96</v>
      </c>
      <c r="J561" s="2"/>
      <c r="K561">
        <f t="shared" si="8"/>
        <v>-1.4029716337725415</v>
      </c>
      <c r="L561">
        <f>LOG10(E561/C561)-LOG10(37995/47667)</f>
        <v>-1.2533985944882393</v>
      </c>
      <c r="M561">
        <f>LOG10(F561/C561)-LOG10(35167/47667)</f>
        <v>-1.3765935709322179</v>
      </c>
      <c r="N561">
        <f>LOG10(G561/C561)-LOG10(34734/47667)</f>
        <v>-1.1474801559618439</v>
      </c>
      <c r="O561">
        <f>LOG10(H561/C561)-LOG10(33378/47667)</f>
        <v>-1.0344051584687821</v>
      </c>
      <c r="Q561">
        <f>AVERAGE(K561:O561)</f>
        <v>-1.242969822724725</v>
      </c>
      <c r="R561">
        <f>STDEV(K561:O561)</f>
        <v>0.15506622822102026</v>
      </c>
    </row>
    <row r="562" spans="1:18">
      <c r="A562">
        <v>560</v>
      </c>
      <c r="C562">
        <v>1717</v>
      </c>
      <c r="D562">
        <v>24</v>
      </c>
      <c r="E562">
        <v>75</v>
      </c>
      <c r="F562">
        <v>42</v>
      </c>
      <c r="G562">
        <v>49</v>
      </c>
      <c r="H562">
        <v>27</v>
      </c>
      <c r="J562" s="2"/>
      <c r="K562">
        <f t="shared" si="8"/>
        <v>-1.9121715889796702</v>
      </c>
      <c r="L562">
        <f>LOG10(E562/C562)-LOG10(37995/47667)</f>
        <v>-1.2612176608563161</v>
      </c>
      <c r="M562">
        <f>LOG10(F562/C562)-LOG10(35167/47667)</f>
        <v>-1.4794385064337996</v>
      </c>
      <c r="N562">
        <f>LOG10(G562/C562)-LOG10(34734/47667)</f>
        <v>-1.4071111953237205</v>
      </c>
      <c r="O562">
        <f>LOG10(H562/C562)-LOG10(33378/47667)</f>
        <v>-1.6486490215672713</v>
      </c>
      <c r="Q562">
        <f>AVERAGE(K562:O562)</f>
        <v>-1.5417175946321555</v>
      </c>
      <c r="R562">
        <f>STDEV(K562:O562)</f>
        <v>0.24967392355042736</v>
      </c>
    </row>
    <row r="563" spans="1:18">
      <c r="A563">
        <v>561</v>
      </c>
      <c r="C563">
        <v>2517</v>
      </c>
      <c r="D563">
        <v>98</v>
      </c>
      <c r="E563">
        <v>49</v>
      </c>
      <c r="F563">
        <v>98</v>
      </c>
      <c r="G563">
        <v>84</v>
      </c>
      <c r="H563">
        <v>76</v>
      </c>
      <c r="J563" s="2"/>
      <c r="K563">
        <f t="shared" si="8"/>
        <v>-1.4672696753862278</v>
      </c>
      <c r="L563">
        <f>LOG10(E563/C563)-LOG10(37995/47667)</f>
        <v>-1.6121957646069487</v>
      </c>
      <c r="M563">
        <f>LOG10(F563/C563)-LOG10(35167/47667)</f>
        <v>-1.2775746415266516</v>
      </c>
      <c r="N563">
        <f>LOG10(G563/C563)-LOG10(34734/47667)</f>
        <v>-1.3391409096777986</v>
      </c>
      <c r="O563">
        <f>LOG10(H563/C563)-LOG10(33378/47667)</f>
        <v>-1.3653121138329136</v>
      </c>
      <c r="Q563">
        <f>AVERAGE(K563:O563)</f>
        <v>-1.4122986210061079</v>
      </c>
      <c r="R563">
        <f>STDEV(K563:O563)</f>
        <v>0.13104485689006562</v>
      </c>
    </row>
    <row r="564" spans="1:18">
      <c r="A564">
        <v>562</v>
      </c>
      <c r="C564">
        <v>502</v>
      </c>
      <c r="D564">
        <v>22</v>
      </c>
      <c r="E564">
        <v>28</v>
      </c>
      <c r="F564">
        <v>27</v>
      </c>
      <c r="G564">
        <v>57</v>
      </c>
      <c r="H564">
        <v>8</v>
      </c>
      <c r="J564" s="2"/>
      <c r="K564">
        <f t="shared" si="8"/>
        <v>-1.4158935718531729</v>
      </c>
      <c r="L564">
        <f>LOG10(E564/C564)-LOG10(37995/47667)</f>
        <v>-1.1550543148898997</v>
      </c>
      <c r="M564">
        <f>LOG10(F564/C564)-LOG10(35167/47667)</f>
        <v>-1.1372574546568157</v>
      </c>
      <c r="N564">
        <f>LOG10(G564/C564)-LOG10(34734/47667)</f>
        <v>-0.80736584166384573</v>
      </c>
      <c r="O564">
        <f>LOG10(H564/C564)-LOG10(33378/47667)</f>
        <v>-1.6428562207184179</v>
      </c>
      <c r="Q564">
        <f>AVERAGE(K564:O564)</f>
        <v>-1.2316854807564304</v>
      </c>
      <c r="R564">
        <f>STDEV(K564:O564)</f>
        <v>0.31536888798722224</v>
      </c>
    </row>
    <row r="565" spans="1:18">
      <c r="A565">
        <v>563</v>
      </c>
      <c r="C565">
        <v>651</v>
      </c>
      <c r="D565">
        <v>21</v>
      </c>
      <c r="E565">
        <v>14</v>
      </c>
      <c r="F565">
        <v>10</v>
      </c>
      <c r="G565">
        <v>6</v>
      </c>
      <c r="H565">
        <v>14</v>
      </c>
      <c r="J565" s="2"/>
      <c r="K565">
        <f t="shared" si="8"/>
        <v>-1.5489742293646325</v>
      </c>
      <c r="L565">
        <f>LOG10(E565/C565)-LOG10(37995/47667)</f>
        <v>-1.5689615819770537</v>
      </c>
      <c r="M565">
        <f>LOG10(F565/C565)-LOG10(35167/47667)</f>
        <v>-1.6814984902389756</v>
      </c>
      <c r="N565">
        <f>LOG10(G565/C565)-LOG10(34734/47667)</f>
        <v>-1.8979667183758659</v>
      </c>
      <c r="O565">
        <f>LOG10(H565/C565)-LOG10(33378/47667)</f>
        <v>-1.5126954434552962</v>
      </c>
      <c r="Q565">
        <f>AVERAGE(K565:O565)</f>
        <v>-1.6420192926823649</v>
      </c>
      <c r="R565">
        <f>STDEV(K565:O565)</f>
        <v>0.15635469503587951</v>
      </c>
    </row>
    <row r="566" spans="1:18">
      <c r="A566">
        <v>564</v>
      </c>
      <c r="C566">
        <v>2007</v>
      </c>
      <c r="D566">
        <v>276</v>
      </c>
      <c r="E566">
        <v>225</v>
      </c>
      <c r="F566">
        <v>236</v>
      </c>
      <c r="G566">
        <v>289</v>
      </c>
      <c r="H566">
        <v>94</v>
      </c>
      <c r="J566" s="2"/>
      <c r="K566">
        <f t="shared" si="8"/>
        <v>-0.91925082595262764</v>
      </c>
      <c r="L566">
        <f>LOG10(E566/C566)-LOG10(37995/47667)</f>
        <v>-0.85187348346322278</v>
      </c>
      <c r="M566">
        <f>LOG10(F566/C566)-LOG10(35167/47667)</f>
        <v>-0.79755287118816254</v>
      </c>
      <c r="N566">
        <f>LOG10(G566/C566)-LOG10(34734/47667)</f>
        <v>-0.7041865099222554</v>
      </c>
      <c r="O566">
        <f>LOG10(H566/C566)-LOG10(33378/47667)</f>
        <v>-1.174662009453129</v>
      </c>
      <c r="Q566">
        <f>AVERAGE(K566:O566)</f>
        <v>-0.88950513999587955</v>
      </c>
      <c r="R566">
        <f>STDEV(K566:O566)</f>
        <v>0.17777345273995387</v>
      </c>
    </row>
    <row r="567" spans="1:18">
      <c r="A567">
        <v>565</v>
      </c>
      <c r="C567">
        <v>1506</v>
      </c>
      <c r="D567">
        <v>58</v>
      </c>
      <c r="E567">
        <v>56</v>
      </c>
      <c r="F567">
        <v>30</v>
      </c>
      <c r="G567">
        <v>65</v>
      </c>
      <c r="H567">
        <v>101</v>
      </c>
      <c r="J567" s="2"/>
      <c r="K567">
        <f t="shared" si="8"/>
        <v>-1.4720095138321043</v>
      </c>
      <c r="L567">
        <f>LOG10(E567/C567)-LOG10(37995/47667)</f>
        <v>-1.3311455739455811</v>
      </c>
      <c r="M567">
        <f>LOG10(F567/C567)-LOG10(35167/47667)</f>
        <v>-1.5686212188158031</v>
      </c>
      <c r="N567">
        <f>LOG10(G567/C567)-LOG10(34734/47667)</f>
        <v>-1.2274485954131438</v>
      </c>
      <c r="O567">
        <f>LOG10(H567/C567)-LOG10(33378/47667)</f>
        <v>-1.0187460886473814</v>
      </c>
      <c r="Q567">
        <f>AVERAGE(K567:O567)</f>
        <v>-1.3235941981308028</v>
      </c>
      <c r="R567">
        <f>STDEV(K567:O567)</f>
        <v>0.21465013210730702</v>
      </c>
    </row>
    <row r="568" spans="1:18">
      <c r="A568">
        <v>566</v>
      </c>
      <c r="C568">
        <v>931</v>
      </c>
      <c r="D568">
        <v>60</v>
      </c>
      <c r="E568">
        <v>58</v>
      </c>
      <c r="F568">
        <v>79</v>
      </c>
      <c r="G568">
        <v>54</v>
      </c>
      <c r="H568">
        <v>56</v>
      </c>
      <c r="J568" s="2"/>
      <c r="K568">
        <f t="shared" si="8"/>
        <v>-1.2484109661280587</v>
      </c>
      <c r="L568">
        <f>LOG10(E568/C568)-LOG10(37995/47667)</f>
        <v>-1.1070303165055051</v>
      </c>
      <c r="M568">
        <f>LOG10(F568/C568)-LOG10(35167/47667)</f>
        <v>-0.93924009136168463</v>
      </c>
      <c r="N568">
        <f>LOG10(G568/C568)-LOG10(34734/47667)</f>
        <v>-1.0990929013496917</v>
      </c>
      <c r="O568">
        <f>LOG10(H568/C568)-LOG10(33378/47667)</f>
        <v>-1.0660041445404844</v>
      </c>
      <c r="Q568">
        <f>AVERAGE(K568:O568)</f>
        <v>-1.0919556839770848</v>
      </c>
      <c r="R568">
        <f>STDEV(K568:O568)</f>
        <v>0.11039924632627014</v>
      </c>
    </row>
    <row r="569" spans="1:18">
      <c r="A569">
        <v>567</v>
      </c>
      <c r="C569">
        <v>2058</v>
      </c>
      <c r="D569">
        <v>82</v>
      </c>
      <c r="E569">
        <v>92</v>
      </c>
      <c r="F569">
        <v>108</v>
      </c>
      <c r="G569">
        <v>132</v>
      </c>
      <c r="H569">
        <v>138</v>
      </c>
      <c r="J569" s="2"/>
      <c r="K569">
        <f t="shared" si="8"/>
        <v>-1.4572440535730573</v>
      </c>
      <c r="L569">
        <f>LOG10(E569/C569)-LOG10(37995/47667)</f>
        <v>-1.2511661721679586</v>
      </c>
      <c r="M569">
        <f>LOG10(F569/C569)-LOG10(35167/47667)</f>
        <v>-1.1479391166102479</v>
      </c>
      <c r="N569">
        <f>LOG10(G569/C569)-LOG10(34734/47667)</f>
        <v>-1.0554084194118818</v>
      </c>
      <c r="O569">
        <f>LOG10(H569/C569)-LOG10(33378/47667)</f>
        <v>-1.0188087745905199</v>
      </c>
      <c r="Q569">
        <f>AVERAGE(K569:O569)</f>
        <v>-1.1861133072707331</v>
      </c>
      <c r="R569">
        <f>STDEV(K569:O569)</f>
        <v>0.17626372288414494</v>
      </c>
    </row>
    <row r="570" spans="1:18">
      <c r="A570">
        <v>568</v>
      </c>
      <c r="C570">
        <v>1932</v>
      </c>
      <c r="D570">
        <v>62</v>
      </c>
      <c r="E570">
        <v>78</v>
      </c>
      <c r="F570">
        <v>52</v>
      </c>
      <c r="G570">
        <v>44</v>
      </c>
      <c r="H570">
        <v>61</v>
      </c>
      <c r="J570" s="2"/>
      <c r="K570">
        <f t="shared" si="8"/>
        <v>-1.5512279681115804</v>
      </c>
      <c r="L570">
        <f>LOG10(E570/C570)-LOG10(37995/47667)</f>
        <v>-1.2954211484760938</v>
      </c>
      <c r="M570">
        <f>LOG10(F570/C570)-LOG10(35167/47667)</f>
        <v>-1.4379212801154591</v>
      </c>
      <c r="N570">
        <f>LOG10(G570/C570)-LOG10(34734/47667)</f>
        <v>-1.5050914257846049</v>
      </c>
      <c r="O570">
        <f>LOG10(H570/C570)-LOG10(33378/47667)</f>
        <v>-1.3459197776340497</v>
      </c>
      <c r="Q570">
        <f>AVERAGE(K570:O570)</f>
        <v>-1.4271163200243575</v>
      </c>
      <c r="R570">
        <f>STDEV(K570:O570)</f>
        <v>0.10669707373809083</v>
      </c>
    </row>
    <row r="571" spans="1:18">
      <c r="A571">
        <v>569</v>
      </c>
      <c r="C571">
        <v>1124</v>
      </c>
      <c r="D571">
        <v>67</v>
      </c>
      <c r="E571">
        <v>38</v>
      </c>
      <c r="F571">
        <v>65</v>
      </c>
      <c r="G571">
        <v>133</v>
      </c>
      <c r="H571">
        <v>91</v>
      </c>
      <c r="J571" s="2"/>
      <c r="K571">
        <f t="shared" si="8"/>
        <v>-1.2823040440625757</v>
      </c>
      <c r="L571">
        <f>LOG10(E571/C571)-LOG10(37995/47667)</f>
        <v>-1.3724913437033319</v>
      </c>
      <c r="M571">
        <f>LOG10(F571/C571)-LOG10(35167/47667)</f>
        <v>-1.1057704562609703</v>
      </c>
      <c r="N571">
        <f>LOG10(G571/C571)-LOG10(34734/47667)</f>
        <v>-0.78945165045727428</v>
      </c>
      <c r="O571">
        <f>LOG10(H571/C571)-LOG10(33378/47667)</f>
        <v>-0.93696740947729085</v>
      </c>
      <c r="Q571">
        <f>AVERAGE(K571:O571)</f>
        <v>-1.0973969807922885</v>
      </c>
      <c r="R571">
        <f>STDEV(K571:O571)</f>
        <v>0.24005500383847275</v>
      </c>
    </row>
    <row r="572" spans="1:18">
      <c r="A572">
        <v>570</v>
      </c>
      <c r="C572">
        <v>2138</v>
      </c>
      <c r="D572">
        <v>25</v>
      </c>
      <c r="E572">
        <v>78</v>
      </c>
      <c r="F572">
        <v>39</v>
      </c>
      <c r="G572">
        <v>45</v>
      </c>
      <c r="H572">
        <v>46</v>
      </c>
      <c r="J572" s="2"/>
      <c r="K572">
        <f t="shared" si="8"/>
        <v>-1.9896802277310814</v>
      </c>
      <c r="L572">
        <f>LOG10(E572/C572)-LOG10(37995/47667)</f>
        <v>-1.3394217272693785</v>
      </c>
      <c r="M572">
        <f>LOG10(F572/C572)-LOG10(35167/47667)</f>
        <v>-1.6068605955170436</v>
      </c>
      <c r="N572">
        <f>LOG10(G572/C572)-LOG10(34734/47667)</f>
        <v>-1.5393321672887332</v>
      </c>
      <c r="O572">
        <f>LOG10(H572/C572)-LOG10(33378/47667)</f>
        <v>-1.5124923597565272</v>
      </c>
      <c r="Q572">
        <f>AVERAGE(K572:O572)</f>
        <v>-1.5975574155125529</v>
      </c>
      <c r="R572">
        <f>STDEV(K572:O572)</f>
        <v>0.24036801253839979</v>
      </c>
    </row>
    <row r="573" spans="1:18">
      <c r="A573">
        <v>571</v>
      </c>
      <c r="C573">
        <v>2885</v>
      </c>
      <c r="D573">
        <v>175</v>
      </c>
      <c r="E573">
        <v>143</v>
      </c>
      <c r="F573">
        <v>148</v>
      </c>
      <c r="G573">
        <v>116</v>
      </c>
      <c r="H573">
        <v>118</v>
      </c>
      <c r="J573" s="2"/>
      <c r="K573">
        <f t="shared" si="8"/>
        <v>-1.2747203043358155</v>
      </c>
      <c r="L573">
        <f>LOG10(E573/C573)-LOG10(37995/47667)</f>
        <v>-1.2063184091137882</v>
      </c>
      <c r="M573">
        <f>LOG10(F573/C573)-LOG10(35167/47667)</f>
        <v>-1.1578016037675765</v>
      </c>
      <c r="N573">
        <f>LOG10(G573/C573)-LOG10(34734/47667)</f>
        <v>-1.2582248084561494</v>
      </c>
      <c r="O573">
        <f>LOG10(H573/C573)-LOG10(33378/47667)</f>
        <v>-1.233506300750967</v>
      </c>
      <c r="Q573">
        <f>AVERAGE(K573:O573)</f>
        <v>-1.2261142852848592</v>
      </c>
      <c r="R573">
        <f>STDEV(K573:O573)</f>
        <v>4.6116081382824435E-2</v>
      </c>
    </row>
    <row r="574" spans="1:18">
      <c r="A574">
        <v>572</v>
      </c>
      <c r="C574">
        <v>969</v>
      </c>
      <c r="D574">
        <v>136</v>
      </c>
      <c r="E574">
        <v>65</v>
      </c>
      <c r="F574">
        <v>79</v>
      </c>
      <c r="G574">
        <v>66</v>
      </c>
      <c r="H574">
        <v>41</v>
      </c>
      <c r="J574" s="2"/>
      <c r="K574">
        <f t="shared" si="8"/>
        <v>-0.91039740421090753</v>
      </c>
      <c r="L574">
        <f>LOG10(E574/C574)-LOG10(37995/47667)</f>
        <v>-1.0749190494950094</v>
      </c>
      <c r="M574">
        <f>LOG10(F574/C574)-LOG10(35167/47667)</f>
        <v>-0.95661418743110749</v>
      </c>
      <c r="N574">
        <f>LOG10(G574/C574)-LOG10(34734/47667)</f>
        <v>-1.0293168217002142</v>
      </c>
      <c r="O574">
        <f>LOG10(H574/C574)-LOG10(33378/47667)</f>
        <v>-1.2187824108963721</v>
      </c>
      <c r="Q574">
        <f>AVERAGE(K574:O574)</f>
        <v>-1.0380059747467221</v>
      </c>
      <c r="R574">
        <f>STDEV(K574:O574)</f>
        <v>0.11940138886507</v>
      </c>
    </row>
    <row r="575" spans="1:18">
      <c r="A575">
        <v>573</v>
      </c>
      <c r="C575">
        <v>636</v>
      </c>
      <c r="D575">
        <v>14</v>
      </c>
      <c r="E575">
        <v>26</v>
      </c>
      <c r="F575">
        <v>31</v>
      </c>
      <c r="G575">
        <v>17</v>
      </c>
      <c r="H575">
        <v>16</v>
      </c>
      <c r="J575" s="2"/>
      <c r="K575">
        <f t="shared" si="8"/>
        <v>-1.7149416155005357</v>
      </c>
      <c r="L575">
        <f>LOG10(E575/C575)-LOG10(37995/47667)</f>
        <v>-1.2899923967646956</v>
      </c>
      <c r="M575">
        <f>LOG10(F575/C575)-LOG10(35167/47667)</f>
        <v>-1.1800129234849248</v>
      </c>
      <c r="N575">
        <f>LOG10(G575/C575)-LOG10(34734/47667)</f>
        <v>-1.4355451744614576</v>
      </c>
      <c r="O575">
        <f>LOG10(H575/C575)-LOG10(33378/47667)</f>
        <v>-1.4445796235578312</v>
      </c>
      <c r="Q575">
        <f>AVERAGE(K575:O575)</f>
        <v>-1.4130143467538887</v>
      </c>
      <c r="R575">
        <f>STDEV(K575:O575)</f>
        <v>0.20130085937112768</v>
      </c>
    </row>
    <row r="576" spans="1:18">
      <c r="A576">
        <v>574</v>
      </c>
      <c r="C576">
        <v>1255</v>
      </c>
      <c r="D576">
        <v>56</v>
      </c>
      <c r="E576">
        <v>50</v>
      </c>
      <c r="F576">
        <v>70</v>
      </c>
      <c r="G576">
        <v>112</v>
      </c>
      <c r="H576">
        <v>68</v>
      </c>
      <c r="J576" s="2"/>
      <c r="K576">
        <f t="shared" si="8"/>
        <v>-1.4080682343412163</v>
      </c>
      <c r="L576">
        <f>LOG10(E576/C576)-LOG10(37995/47667)</f>
        <v>-1.3011823505681379</v>
      </c>
      <c r="M576">
        <f>LOG10(F576/C576)-LOG10(35167/47667)</f>
        <v>-1.1214631874735836</v>
      </c>
      <c r="N576">
        <f>LOG10(G576/C576)-LOG10(34734/47667)</f>
        <v>-0.91196268333819297</v>
      </c>
      <c r="O576">
        <f>LOG10(H576/C576)-LOG10(33378/47667)</f>
        <v>-1.1113773036761627</v>
      </c>
      <c r="Q576">
        <f>AVERAGE(K576:O576)</f>
        <v>-1.1708107518794586</v>
      </c>
      <c r="R576">
        <f>STDEV(K576:O576)</f>
        <v>0.19121826939024661</v>
      </c>
    </row>
    <row r="577" spans="1:18">
      <c r="A577">
        <v>575</v>
      </c>
      <c r="C577">
        <v>520</v>
      </c>
      <c r="D577">
        <v>16</v>
      </c>
      <c r="E577">
        <v>9</v>
      </c>
      <c r="F577">
        <v>11</v>
      </c>
      <c r="G577">
        <v>7</v>
      </c>
      <c r="H577">
        <v>11</v>
      </c>
      <c r="J577" s="2"/>
      <c r="K577">
        <f t="shared" si="8"/>
        <v>-1.5694958965092343</v>
      </c>
      <c r="L577">
        <f>LOG10(E577/C577)-LOG10(37995/47667)</f>
        <v>-1.663269463282574</v>
      </c>
      <c r="M577">
        <f>LOG10(F577/C577)-LOG10(35167/47667)</f>
        <v>-1.5425281601473577</v>
      </c>
      <c r="N577">
        <f>LOG10(G577/C577)-LOG10(34734/47667)</f>
        <v>-1.7334422838118599</v>
      </c>
      <c r="O577">
        <f>LOG10(H577/C577)-LOG10(33378/47667)</f>
        <v>-1.5198531490419163</v>
      </c>
      <c r="Q577">
        <f>AVERAGE(K577:O577)</f>
        <v>-1.6057177905585884</v>
      </c>
      <c r="R577">
        <f>STDEV(K577:O577)</f>
        <v>8.9865778905196911E-2</v>
      </c>
    </row>
    <row r="578" spans="1:18">
      <c r="A578">
        <v>576</v>
      </c>
      <c r="C578">
        <v>2955</v>
      </c>
      <c r="D578">
        <v>53</v>
      </c>
      <c r="E578">
        <v>71</v>
      </c>
      <c r="F578">
        <v>65</v>
      </c>
      <c r="G578">
        <v>61</v>
      </c>
      <c r="H578">
        <v>57</v>
      </c>
      <c r="J578" s="2"/>
      <c r="K578">
        <f t="shared" si="8"/>
        <v>-1.8038941511468449</v>
      </c>
      <c r="L578">
        <f>LOG10(E578/C578)-LOG10(37995/47667)</f>
        <v>-1.5208077655852985</v>
      </c>
      <c r="M578">
        <f>LOG10(F578/C578)-LOG10(35167/47667)</f>
        <v>-1.5255616302452022</v>
      </c>
      <c r="N578">
        <f>LOG10(G578/C578)-LOG10(34734/47667)</f>
        <v>-1.5477646303978247</v>
      </c>
      <c r="O578">
        <f>LOG10(H578/C578)-LOG10(33378/47667)</f>
        <v>-1.559925120110125</v>
      </c>
      <c r="Q578">
        <f>AVERAGE(K578:O578)</f>
        <v>-1.5915906594970592</v>
      </c>
      <c r="R578">
        <f>STDEV(K578:O578)</f>
        <v>0.11975626346086164</v>
      </c>
    </row>
    <row r="579" spans="1:18">
      <c r="A579">
        <v>577</v>
      </c>
      <c r="C579">
        <v>976</v>
      </c>
      <c r="D579">
        <v>47</v>
      </c>
      <c r="E579">
        <v>28</v>
      </c>
      <c r="F579">
        <v>10</v>
      </c>
      <c r="G579">
        <v>23</v>
      </c>
      <c r="H579">
        <v>29</v>
      </c>
      <c r="J579" s="2"/>
      <c r="K579">
        <f t="shared" ref="K579:K642" si="9">LOG10(D579/C579)-LOG10(54429/47667)</f>
        <v>-1.3749644952613342</v>
      </c>
      <c r="L579">
        <f>LOG10(E579/C579)-LOG10(37995/47667)</f>
        <v>-1.4438004154115722</v>
      </c>
      <c r="M579">
        <f>LOG10(F579/C579)-LOG10(35167/47667)</f>
        <v>-1.8573673193374756</v>
      </c>
      <c r="N579">
        <f>LOG10(G579/C579)-LOG10(34734/47667)</f>
        <v>-1.4902589618404165</v>
      </c>
      <c r="O579">
        <f>LOG10(H579/C579)-LOG10(33378/47667)</f>
        <v>-1.372294310333078</v>
      </c>
      <c r="Q579">
        <f>AVERAGE(K579:O579)</f>
        <v>-1.5077371004367754</v>
      </c>
      <c r="R579">
        <f>STDEV(K579:O579)</f>
        <v>0.20162340456002437</v>
      </c>
    </row>
    <row r="580" spans="1:18">
      <c r="A580">
        <v>578</v>
      </c>
      <c r="C580">
        <v>1548</v>
      </c>
      <c r="D580">
        <v>50</v>
      </c>
      <c r="E580">
        <v>44</v>
      </c>
      <c r="F580">
        <v>27</v>
      </c>
      <c r="G580">
        <v>34</v>
      </c>
      <c r="H580">
        <v>22</v>
      </c>
      <c r="J580" s="2"/>
      <c r="K580">
        <f t="shared" si="9"/>
        <v>-1.5484134875412148</v>
      </c>
      <c r="L580">
        <f>LOG10(E580/C580)-LOG10(37995/47667)</f>
        <v>-1.447826908947786</v>
      </c>
      <c r="M580">
        <f>LOG10(F580/C580)-LOG10(35167/47667)</f>
        <v>-1.6263246938586702</v>
      </c>
      <c r="N580">
        <f>LOG10(G580/C580)-LOG10(34734/47667)</f>
        <v>-1.5208290194959364</v>
      </c>
      <c r="O580">
        <f>LOG10(H580/C580)-LOG10(33378/47667)</f>
        <v>-1.6925907660900097</v>
      </c>
      <c r="Q580">
        <f>AVERAGE(K580:O580)</f>
        <v>-1.5671969751867234</v>
      </c>
      <c r="R580">
        <f>STDEV(K580:O580)</f>
        <v>9.4831046273630815E-2</v>
      </c>
    </row>
    <row r="581" spans="1:18">
      <c r="A581">
        <v>579</v>
      </c>
      <c r="C581">
        <v>1333</v>
      </c>
      <c r="D581">
        <v>109</v>
      </c>
      <c r="E581">
        <v>101</v>
      </c>
      <c r="F581">
        <v>66</v>
      </c>
      <c r="G581">
        <v>72</v>
      </c>
      <c r="H581">
        <v>38</v>
      </c>
      <c r="J581" s="2"/>
      <c r="K581">
        <f t="shared" si="9"/>
        <v>-1.1450161870035953</v>
      </c>
      <c r="L581">
        <f>LOG10(E581/C581)-LOG10(37995/47667)</f>
        <v>-1.0220174047183164</v>
      </c>
      <c r="M581">
        <f>LOG10(F581/C581)-LOG10(35167/47667)</f>
        <v>-1.1732037155427741</v>
      </c>
      <c r="N581">
        <f>LOG10(G581/C581)-LOG10(34734/47667)</f>
        <v>-1.1300346331739084</v>
      </c>
      <c r="O581">
        <f>LOG10(H581/C581)-LOG10(33378/47667)</f>
        <v>-1.3902890433623911</v>
      </c>
      <c r="Q581">
        <f>AVERAGE(K581:O581)</f>
        <v>-1.1721121967601971</v>
      </c>
      <c r="R581">
        <f>STDEV(K581:O581)</f>
        <v>0.13475486030818462</v>
      </c>
    </row>
    <row r="582" spans="1:18">
      <c r="A582">
        <v>580</v>
      </c>
      <c r="C582">
        <v>1418</v>
      </c>
      <c r="D582">
        <v>48</v>
      </c>
      <c r="E582">
        <v>34</v>
      </c>
      <c r="F582">
        <v>36</v>
      </c>
      <c r="G582">
        <v>38</v>
      </c>
      <c r="H582">
        <v>59</v>
      </c>
      <c r="J582" s="2"/>
      <c r="K582">
        <f t="shared" si="9"/>
        <v>-1.5280475290018203</v>
      </c>
      <c r="L582">
        <f>LOG10(E582/C582)-LOG10(37995/47667)</f>
        <v>-1.5217059428918924</v>
      </c>
      <c r="M582">
        <f>LOG10(F582/C582)-LOG10(35167/47667)</f>
        <v>-1.4632912317505442</v>
      </c>
      <c r="N582">
        <f>LOG10(G582/C582)-LOG10(34734/47667)</f>
        <v>-1.4344296144215551</v>
      </c>
      <c r="O582">
        <f>LOG10(H582/C582)-LOG10(33378/47667)</f>
        <v>-1.2260667097702458</v>
      </c>
      <c r="Q582">
        <f>AVERAGE(K582:O582)</f>
        <v>-1.4347082055672113</v>
      </c>
      <c r="R582">
        <f>STDEV(K582:O582)</f>
        <v>0.12311496290669087</v>
      </c>
    </row>
    <row r="583" spans="1:18">
      <c r="A583">
        <v>581</v>
      </c>
      <c r="C583">
        <v>1191</v>
      </c>
      <c r="D583">
        <v>275</v>
      </c>
      <c r="E583">
        <v>153</v>
      </c>
      <c r="F583">
        <v>83</v>
      </c>
      <c r="G583">
        <v>76</v>
      </c>
      <c r="H583">
        <v>58</v>
      </c>
      <c r="J583" s="2"/>
      <c r="K583">
        <f t="shared" si="9"/>
        <v>-0.69419160318287454</v>
      </c>
      <c r="L583">
        <f>LOG10(E583/C583)-LOG10(37995/47667)</f>
        <v>-0.79272895975227842</v>
      </c>
      <c r="M583">
        <f>LOG10(F583/C583)-LOG10(35167/47667)</f>
        <v>-1.0247511707774872</v>
      </c>
      <c r="N583">
        <f>LOG10(G583/C583)-LOG10(34734/47667)</f>
        <v>-1.0576351493933038</v>
      </c>
      <c r="O583">
        <f>LOG10(H583/C583)-LOG10(33378/47667)</f>
        <v>-1.1577262584851824</v>
      </c>
      <c r="Q583">
        <f>AVERAGE(K583:O583)</f>
        <v>-0.94540662831822542</v>
      </c>
      <c r="R583">
        <f>STDEV(K583:O583)</f>
        <v>0.19390067176746051</v>
      </c>
    </row>
    <row r="584" spans="1:18">
      <c r="A584">
        <v>582</v>
      </c>
      <c r="C584">
        <v>665</v>
      </c>
      <c r="D584">
        <v>12</v>
      </c>
      <c r="E584">
        <v>58</v>
      </c>
      <c r="F584">
        <v>14</v>
      </c>
      <c r="G584">
        <v>13</v>
      </c>
      <c r="H584">
        <v>13</v>
      </c>
      <c r="J584" s="2"/>
      <c r="K584">
        <f t="shared" si="9"/>
        <v>-1.8012529347858395</v>
      </c>
      <c r="L584">
        <f>LOG10(E584/C584)-LOG10(37995/47667)</f>
        <v>-0.96090228082726692</v>
      </c>
      <c r="M584">
        <f>LOG10(F584/C584)-LOG10(35167/47667)</f>
        <v>-1.5446111112956502</v>
      </c>
      <c r="N584">
        <f>LOG10(G584/C584)-LOG10(34734/47667)</f>
        <v>-1.5714152731875854</v>
      </c>
      <c r="O584">
        <f>LOG10(H584/C584)-LOG10(33378/47667)</f>
        <v>-1.55412078356161</v>
      </c>
      <c r="Q584">
        <f>AVERAGE(K584:O584)</f>
        <v>-1.4864604767315903</v>
      </c>
      <c r="R584">
        <f>STDEV(K584:O584)</f>
        <v>0.31244297071284088</v>
      </c>
    </row>
    <row r="585" spans="1:18">
      <c r="A585">
        <v>583</v>
      </c>
      <c r="C585">
        <v>1789</v>
      </c>
      <c r="D585">
        <v>176</v>
      </c>
      <c r="E585">
        <v>117</v>
      </c>
      <c r="F585">
        <v>72</v>
      </c>
      <c r="G585">
        <v>80</v>
      </c>
      <c r="H585">
        <v>246</v>
      </c>
      <c r="J585" s="2"/>
      <c r="K585">
        <f t="shared" si="9"/>
        <v>-1.0647102082835831</v>
      </c>
      <c r="L585">
        <f>LOG10(E585/C585)-LOG10(37995/47667)</f>
        <v>-1.085933107908311</v>
      </c>
      <c r="M585">
        <f>LOG10(F585/C585)-LOG10(35167/47667)</f>
        <v>-1.2631953458068881</v>
      </c>
      <c r="N585">
        <f>LOG10(G585/C585)-LOG10(34734/47667)</f>
        <v>-1.2120573337667471</v>
      </c>
      <c r="O585">
        <f>LOG10(H585/C585)-LOG10(33378/47667)</f>
        <v>-0.70691772402933606</v>
      </c>
      <c r="Q585">
        <f>AVERAGE(K585:O585)</f>
        <v>-1.0665627439589731</v>
      </c>
      <c r="R585">
        <f>STDEV(K585:O585)</f>
        <v>0.2176902840166276</v>
      </c>
    </row>
    <row r="586" spans="1:18">
      <c r="A586">
        <v>584</v>
      </c>
      <c r="C586">
        <v>611</v>
      </c>
      <c r="D586">
        <v>17</v>
      </c>
      <c r="E586">
        <v>20</v>
      </c>
      <c r="F586">
        <v>18</v>
      </c>
      <c r="G586">
        <v>101</v>
      </c>
      <c r="H586">
        <v>13</v>
      </c>
      <c r="J586" s="2"/>
      <c r="K586">
        <f t="shared" si="9"/>
        <v>-1.6132048243946402</v>
      </c>
      <c r="L586">
        <f>LOG10(E586/C586)-LOG10(37995/47667)</f>
        <v>-1.3865198436656727</v>
      </c>
      <c r="M586">
        <f>LOG10(F586/C586)-LOG10(35167/47667)</f>
        <v>-1.3986862068100319</v>
      </c>
      <c r="N586">
        <f>LOG10(G586/C586)-LOG10(34734/47667)</f>
        <v>-0.64425681665122936</v>
      </c>
      <c r="O586">
        <f>LOG10(H586/C586)-LOG10(33378/47667)</f>
        <v>-1.5173403485010597</v>
      </c>
      <c r="Q586">
        <f>AVERAGE(K586:O586)</f>
        <v>-1.3120016080045269</v>
      </c>
      <c r="R586">
        <f>STDEV(K586:O586)</f>
        <v>0.38465493283202201</v>
      </c>
    </row>
    <row r="587" spans="1:18">
      <c r="A587">
        <v>585</v>
      </c>
      <c r="C587">
        <v>1360</v>
      </c>
      <c r="D587">
        <v>51</v>
      </c>
      <c r="E587">
        <v>47</v>
      </c>
      <c r="F587">
        <v>78</v>
      </c>
      <c r="G587">
        <v>63</v>
      </c>
      <c r="H587">
        <v>47</v>
      </c>
      <c r="J587" s="2"/>
      <c r="K587">
        <f t="shared" si="9"/>
        <v>-1.483581267802641</v>
      </c>
      <c r="L587">
        <f>LOG10(E587/C587)-LOG10(37995/47667)</f>
        <v>-1.3629496795215998</v>
      </c>
      <c r="M587">
        <f>LOG10(F587/C587)-LOG10(35167/47667)</f>
        <v>-1.1093618073505207</v>
      </c>
      <c r="N587">
        <f>LOG10(G587/C587)-LOG10(34734/47667)</f>
        <v>-1.1967353391079534</v>
      </c>
      <c r="O587">
        <f>LOG10(H587/C587)-LOG10(33378/47667)</f>
        <v>-1.3066835409998423</v>
      </c>
      <c r="Q587">
        <f>AVERAGE(K587:O587)</f>
        <v>-1.2918623269565113</v>
      </c>
      <c r="R587">
        <f>STDEV(K587:O587)</f>
        <v>0.14524532336119247</v>
      </c>
    </row>
    <row r="588" spans="1:18">
      <c r="A588">
        <v>586</v>
      </c>
      <c r="C588">
        <v>766</v>
      </c>
      <c r="D588">
        <v>6</v>
      </c>
      <c r="E588">
        <v>15</v>
      </c>
      <c r="F588">
        <v>14</v>
      </c>
      <c r="G588">
        <v>19</v>
      </c>
      <c r="H588">
        <v>24</v>
      </c>
      <c r="J588" s="2"/>
      <c r="K588">
        <f t="shared" si="9"/>
        <v>-2.1636900547793201</v>
      </c>
      <c r="L588">
        <f>LOG10(E588/C588)-LOG10(37995/47667)</f>
        <v>-1.6096461396640225</v>
      </c>
      <c r="M588">
        <f>LOG10(F588/C588)-LOG10(35167/47667)</f>
        <v>-1.6060182356251496</v>
      </c>
      <c r="N588">
        <f>LOG10(G588/C588)-LOG10(34734/47667)</f>
        <v>-1.4680121488710927</v>
      </c>
      <c r="O588">
        <f>LOG10(H588/C588)-LOG10(33378/47667)</f>
        <v>-1.3492600184863401</v>
      </c>
      <c r="Q588">
        <f>AVERAGE(K588:O588)</f>
        <v>-1.6393253194851851</v>
      </c>
      <c r="R588">
        <f>STDEV(K588:O588)</f>
        <v>0.3124238597000904</v>
      </c>
    </row>
    <row r="589" spans="1:18">
      <c r="A589">
        <v>587</v>
      </c>
      <c r="C589">
        <v>683</v>
      </c>
      <c r="D589">
        <v>26</v>
      </c>
      <c r="E589">
        <v>28</v>
      </c>
      <c r="F589">
        <v>19</v>
      </c>
      <c r="G589">
        <v>22</v>
      </c>
      <c r="H589">
        <v>23</v>
      </c>
      <c r="J589" s="2"/>
      <c r="K589">
        <f t="shared" si="9"/>
        <v>-1.4770598912410744</v>
      </c>
      <c r="L589">
        <f>LOG10(E589/C589)-LOG10(37995/47667)</f>
        <v>-1.2887713014264131</v>
      </c>
      <c r="M589">
        <f>LOG10(F589/C589)-LOG10(35167/47667)</f>
        <v>-1.4235846043994873</v>
      </c>
      <c r="N589">
        <f>LOG10(G589/C589)-LOG10(34734/47667)</f>
        <v>-1.354535003050644</v>
      </c>
      <c r="O589">
        <f>LOG10(H589/C589)-LOG10(33378/47667)</f>
        <v>-1.3179353582292819</v>
      </c>
      <c r="Q589">
        <f>AVERAGE(K589:O589)</f>
        <v>-1.3723772316693803</v>
      </c>
      <c r="R589">
        <f>STDEV(K589:O589)</f>
        <v>7.7221869497031345E-2</v>
      </c>
    </row>
    <row r="590" spans="1:18">
      <c r="A590">
        <v>588</v>
      </c>
      <c r="C590">
        <v>542</v>
      </c>
      <c r="D590">
        <v>6</v>
      </c>
      <c r="E590">
        <v>4</v>
      </c>
      <c r="F590">
        <v>10</v>
      </c>
      <c r="G590">
        <v>15</v>
      </c>
      <c r="H590">
        <v>23</v>
      </c>
      <c r="J590" s="2"/>
      <c r="K590">
        <f t="shared" si="9"/>
        <v>-2.0134605716851031</v>
      </c>
      <c r="L590">
        <f>LOG10(E590/C590)-LOG10(37995/47667)</f>
        <v>-2.0334479242975245</v>
      </c>
      <c r="M590">
        <f>LOG10(F590/C590)-LOG10(35167/47667)</f>
        <v>-1.6019167882091705</v>
      </c>
      <c r="N590">
        <f>LOG10(G590/C590)-LOG10(34734/47667)</f>
        <v>-1.4204450076740234</v>
      </c>
      <c r="O590">
        <f>LOG10(H590/C590)-LOG10(33378/47667)</f>
        <v>-1.2175139410861362</v>
      </c>
      <c r="Q590">
        <f>AVERAGE(K590:O590)</f>
        <v>-1.6573568465903914</v>
      </c>
      <c r="R590">
        <f>STDEV(K590:O590)</f>
        <v>0.36087288716794719</v>
      </c>
    </row>
    <row r="591" spans="1:18">
      <c r="A591">
        <v>589</v>
      </c>
      <c r="C591">
        <v>1644</v>
      </c>
      <c r="D591">
        <v>50</v>
      </c>
      <c r="E591">
        <v>113</v>
      </c>
      <c r="F591">
        <v>72</v>
      </c>
      <c r="G591">
        <v>111</v>
      </c>
      <c r="H591">
        <v>103</v>
      </c>
      <c r="J591" s="2"/>
      <c r="K591">
        <f t="shared" si="9"/>
        <v>-1.5745443443983727</v>
      </c>
      <c r="L591">
        <f>LOG10(E591/C591)-LOG10(37995/47667)</f>
        <v>-1.0643319988077116</v>
      </c>
      <c r="M591">
        <f>LOG10(F591/C591)-LOG10(35167/47667)</f>
        <v>-1.2264868184435467</v>
      </c>
      <c r="N591">
        <f>LOG10(G591/C591)-LOG10(34734/47667)</f>
        <v>-1.0331158146086918</v>
      </c>
      <c r="O591">
        <f>LOG10(H591/C591)-LOG10(33378/47667)</f>
        <v>-1.0483070790642015</v>
      </c>
      <c r="Q591">
        <f>AVERAGE(K591:O591)</f>
        <v>-1.189357211064505</v>
      </c>
      <c r="R591">
        <f>STDEV(K591:O591)</f>
        <v>0.22895717549014732</v>
      </c>
    </row>
    <row r="592" spans="1:18">
      <c r="A592">
        <v>590</v>
      </c>
      <c r="C592">
        <v>1273</v>
      </c>
      <c r="D592">
        <v>44</v>
      </c>
      <c r="E592">
        <v>31</v>
      </c>
      <c r="F592">
        <v>30</v>
      </c>
      <c r="G592">
        <v>45</v>
      </c>
      <c r="H592">
        <v>19</v>
      </c>
      <c r="J592" s="2"/>
      <c r="K592">
        <f t="shared" si="9"/>
        <v>-1.5189882626978279</v>
      </c>
      <c r="L592">
        <f>LOG10(E592/C592)-LOG10(37995/47667)</f>
        <v>-1.5149753389064824</v>
      </c>
      <c r="M592">
        <f>LOG10(F592/C592)-LOG10(35167/47667)</f>
        <v>-1.4956246506047766</v>
      </c>
      <c r="N592">
        <f>LOG10(G592/C592)-LOG10(34734/47667)</f>
        <v>-1.3141528700696292</v>
      </c>
      <c r="O592">
        <f>LOG10(H592/C592)-LOG10(33378/47667)</f>
        <v>-1.6713172932661686</v>
      </c>
      <c r="Q592">
        <f>AVERAGE(K592:O592)</f>
        <v>-1.503011683108977</v>
      </c>
      <c r="R592">
        <f>STDEV(K592:O592)</f>
        <v>0.12693244076834148</v>
      </c>
    </row>
    <row r="593" spans="1:18">
      <c r="A593">
        <v>591</v>
      </c>
      <c r="C593">
        <v>1751</v>
      </c>
      <c r="D593">
        <v>74</v>
      </c>
      <c r="E593">
        <v>111</v>
      </c>
      <c r="F593">
        <v>140</v>
      </c>
      <c r="G593">
        <v>108</v>
      </c>
      <c r="H593">
        <v>109</v>
      </c>
      <c r="J593" s="2"/>
      <c r="K593">
        <f t="shared" si="9"/>
        <v>-1.4316669618828297</v>
      </c>
      <c r="L593">
        <f>LOG10(E593/C593)-LOG10(37995/47667)</f>
        <v>-1.0994717963838885</v>
      </c>
      <c r="M593">
        <f>LOG10(F593/C593)-LOG10(35167/47667)</f>
        <v>-0.96507561207599168</v>
      </c>
      <c r="N593">
        <f>LOG10(G593/C593)-LOG10(34734/47667)</f>
        <v>-1.0723993707878141</v>
      </c>
      <c r="O593">
        <f>LOG10(H593/C593)-LOG10(33378/47667)</f>
        <v>-1.0511021387081647</v>
      </c>
      <c r="Q593">
        <f>AVERAGE(K593:O593)</f>
        <v>-1.1239431759677376</v>
      </c>
      <c r="R593">
        <f>STDEV(K593:O593)</f>
        <v>0.17923048028657748</v>
      </c>
    </row>
    <row r="594" spans="1:18">
      <c r="A594">
        <v>592</v>
      </c>
      <c r="C594">
        <v>1879</v>
      </c>
      <c r="D594">
        <v>73</v>
      </c>
      <c r="E594">
        <v>167</v>
      </c>
      <c r="F594">
        <v>89</v>
      </c>
      <c r="G594">
        <v>137</v>
      </c>
      <c r="H594">
        <v>77</v>
      </c>
      <c r="J594" s="2"/>
      <c r="K594">
        <f t="shared" si="9"/>
        <v>-1.4682164555104296</v>
      </c>
      <c r="L594">
        <f>LOG10(E594/C594)-LOG10(37995/47667)</f>
        <v>-0.95271893804004204</v>
      </c>
      <c r="M594">
        <f>LOG10(F594/C594)-LOG10(35167/47667)</f>
        <v>-1.1924542751263965</v>
      </c>
      <c r="N594">
        <f>LOG10(G594/C594)-LOG10(34734/47667)</f>
        <v>-0.99974319313543669</v>
      </c>
      <c r="O594">
        <f>LOG10(H594/C594)-LOG10(33378/47667)</f>
        <v>-1.232678545493386</v>
      </c>
      <c r="Q594">
        <f>AVERAGE(K594:O594)</f>
        <v>-1.1691622814611382</v>
      </c>
      <c r="R594">
        <f>STDEV(K594:O594)</f>
        <v>0.20588879290908066</v>
      </c>
    </row>
    <row r="595" spans="1:18">
      <c r="A595">
        <v>593</v>
      </c>
      <c r="C595">
        <v>2264</v>
      </c>
      <c r="D595">
        <v>147</v>
      </c>
      <c r="E595">
        <v>130</v>
      </c>
      <c r="F595">
        <v>81</v>
      </c>
      <c r="G595">
        <v>104</v>
      </c>
      <c r="H595">
        <v>152</v>
      </c>
      <c r="J595" s="2"/>
      <c r="K595">
        <f t="shared" si="9"/>
        <v>-1.2451716232984176</v>
      </c>
      <c r="L595">
        <f>LOG10(E595/C595)-LOG10(37995/47667)</f>
        <v>-1.1424416992964967</v>
      </c>
      <c r="M595">
        <f>LOG10(F595/C595)-LOG10(35167/47667)</f>
        <v>-1.3143089053083676</v>
      </c>
      <c r="N595">
        <f>LOG10(G595/C595)-LOG10(34734/47667)</f>
        <v>-1.2003800634087711</v>
      </c>
      <c r="O595">
        <f>LOG10(H595/C595)-LOG10(33378/47667)</f>
        <v>-1.0182753251368035</v>
      </c>
      <c r="Q595">
        <f>AVERAGE(K595:O595)</f>
        <v>-1.1841155232897713</v>
      </c>
      <c r="R595">
        <f>STDEV(K595:O595)</f>
        <v>0.11200711837270275</v>
      </c>
    </row>
    <row r="596" spans="1:18">
      <c r="A596">
        <v>594</v>
      </c>
      <c r="C596">
        <v>2132</v>
      </c>
      <c r="D596">
        <v>30</v>
      </c>
      <c r="E596">
        <v>41</v>
      </c>
      <c r="F596">
        <v>32</v>
      </c>
      <c r="G596">
        <v>52</v>
      </c>
      <c r="H596">
        <v>28</v>
      </c>
      <c r="J596" s="2"/>
      <c r="K596">
        <f t="shared" si="9"/>
        <v>-1.9092784811652321</v>
      </c>
      <c r="L596">
        <f>LOG10(E596/C596)-LOG10(37995/47667)</f>
        <v>-1.6175119727218989</v>
      </c>
      <c r="M596">
        <f>LOG10(F596/C596)-LOG10(35167/47667)</f>
        <v>-1.6915547237054123</v>
      </c>
      <c r="N596">
        <f>LOG10(G596/C596)-LOG10(34734/47667)</f>
        <v>-1.4753208369110531</v>
      </c>
      <c r="O596">
        <f>LOG10(H596/C596)-LOG10(33378/47667)</f>
        <v>-1.7268716595776576</v>
      </c>
      <c r="Q596">
        <f>AVERAGE(K596:O596)</f>
        <v>-1.6841075348162509</v>
      </c>
      <c r="R596">
        <f>STDEV(K596:O596)</f>
        <v>0.15859779331809351</v>
      </c>
    </row>
    <row r="597" spans="1:18">
      <c r="A597">
        <v>595</v>
      </c>
      <c r="C597">
        <v>774</v>
      </c>
      <c r="D597">
        <v>20</v>
      </c>
      <c r="E597">
        <v>48</v>
      </c>
      <c r="F597">
        <v>45</v>
      </c>
      <c r="G597">
        <v>24</v>
      </c>
      <c r="H597">
        <v>15</v>
      </c>
      <c r="J597" s="2"/>
      <c r="K597">
        <f t="shared" si="9"/>
        <v>-1.6453235005492712</v>
      </c>
      <c r="L597">
        <f>LOG10(E597/C597)-LOG10(37995/47667)</f>
        <v>-1.1090083523944052</v>
      </c>
      <c r="M597">
        <f>LOG10(F597/C597)-LOG10(35167/47667)</f>
        <v>-1.1034459485783326</v>
      </c>
      <c r="N597">
        <f>LOG10(G597/C597)-LOG10(34734/47667)</f>
        <v>-1.3710666991626042</v>
      </c>
      <c r="O597">
        <f>LOG10(H597/C597)-LOG10(33378/47667)</f>
        <v>-1.5578921921925535</v>
      </c>
      <c r="Q597">
        <f>AVERAGE(K597:O597)</f>
        <v>-1.3573473385754331</v>
      </c>
      <c r="R597">
        <f>STDEV(K597:O597)</f>
        <v>0.24973731045455552</v>
      </c>
    </row>
    <row r="598" spans="1:18">
      <c r="A598">
        <v>596</v>
      </c>
      <c r="C598">
        <v>1083</v>
      </c>
      <c r="D598">
        <v>34</v>
      </c>
      <c r="E598">
        <v>16</v>
      </c>
      <c r="F598">
        <v>48</v>
      </c>
      <c r="G598">
        <v>40</v>
      </c>
      <c r="H598">
        <v>22</v>
      </c>
      <c r="J598" s="2"/>
      <c r="K598">
        <f t="shared" si="9"/>
        <v>-1.560762075113425</v>
      </c>
      <c r="L598">
        <f>LOG10(E598/C598)-LOG10(37995/47667)</f>
        <v>-1.7320171030564953</v>
      </c>
      <c r="M598">
        <f>LOG10(F598/C598)-LOG10(35167/47667)</f>
        <v>-1.2213047209205168</v>
      </c>
      <c r="N598">
        <f>LOG10(G598/C598)-LOG10(34734/47667)</f>
        <v>-1.2951054454886757</v>
      </c>
      <c r="O598">
        <f>LOG10(H598/C598)-LOG10(33378/47667)</f>
        <v>-1.5374482663684563</v>
      </c>
      <c r="Q598">
        <f>AVERAGE(K598:O598)</f>
        <v>-1.4693275221895139</v>
      </c>
      <c r="R598">
        <f>STDEV(K598:O598)</f>
        <v>0.20849170913445753</v>
      </c>
    </row>
    <row r="599" spans="1:18">
      <c r="A599">
        <v>597</v>
      </c>
      <c r="C599">
        <v>1622</v>
      </c>
      <c r="D599">
        <v>1641</v>
      </c>
      <c r="E599">
        <v>2772</v>
      </c>
      <c r="F599">
        <v>2581</v>
      </c>
      <c r="G599">
        <v>3977</v>
      </c>
      <c r="H599">
        <v>1352</v>
      </c>
      <c r="J599" s="1"/>
      <c r="K599">
        <f t="shared" si="9"/>
        <v>-5.2554804352403811E-2</v>
      </c>
      <c r="L599">
        <f>LOG10(E599/C599)-LOG10(37995/47667)</f>
        <v>0.33123374697753216</v>
      </c>
      <c r="M599">
        <f>LOG10(F599/C599)-LOG10(35167/47667)</f>
        <v>0.33381965299794814</v>
      </c>
      <c r="N599">
        <f>LOG10(G599/C599)-LOG10(34734/47667)</f>
        <v>0.52696776091952546</v>
      </c>
      <c r="O599">
        <f>LOG10(H599/C599)-LOG10(33378/47667)</f>
        <v>7.5683351165137719E-2</v>
      </c>
      <c r="Q599">
        <f>AVERAGE(K599:O599)</f>
        <v>0.24302994154154794</v>
      </c>
      <c r="R599">
        <f>STDEV(K599:O599)</f>
        <v>0.23022738303069448</v>
      </c>
    </row>
    <row r="600" spans="1:18">
      <c r="A600">
        <v>598</v>
      </c>
      <c r="C600">
        <v>1435</v>
      </c>
      <c r="D600">
        <v>5247</v>
      </c>
      <c r="E600">
        <v>4458</v>
      </c>
      <c r="F600">
        <v>4695</v>
      </c>
      <c r="G600">
        <v>6152</v>
      </c>
      <c r="H600">
        <v>4733</v>
      </c>
      <c r="J600" s="1"/>
      <c r="K600">
        <f t="shared" si="9"/>
        <v>0.5054466275979681</v>
      </c>
      <c r="L600">
        <f>LOG10(E600/C600)-LOG10(37995/47667)</f>
        <v>0.59077953398710803</v>
      </c>
      <c r="M600">
        <f>LOG10(F600/C600)-LOG10(35167/47667)</f>
        <v>0.64686619386133504</v>
      </c>
      <c r="N600">
        <f>LOG10(G600/C600)-LOG10(34734/47667)</f>
        <v>0.76962744553204576</v>
      </c>
      <c r="O600">
        <f>LOG10(H600/C600)-LOG10(33378/47667)</f>
        <v>0.6730421128326407</v>
      </c>
      <c r="Q600">
        <f>AVERAGE(K600:O600)</f>
        <v>0.63715238276221953</v>
      </c>
      <c r="R600">
        <f>STDEV(K600:O600)</f>
        <v>9.8016478402066357E-2</v>
      </c>
    </row>
    <row r="601" spans="1:18">
      <c r="A601">
        <v>599</v>
      </c>
      <c r="C601">
        <v>1282</v>
      </c>
      <c r="D601">
        <v>1966</v>
      </c>
      <c r="E601">
        <v>1829</v>
      </c>
      <c r="F601">
        <v>1880</v>
      </c>
      <c r="G601">
        <v>2128</v>
      </c>
      <c r="H601">
        <v>2722</v>
      </c>
      <c r="J601" s="1"/>
      <c r="K601">
        <f t="shared" si="9"/>
        <v>0.12808295278295842</v>
      </c>
      <c r="L601">
        <f>LOG10(E601/C601)-LOG10(37995/47667)</f>
        <v>0.25281705120651854</v>
      </c>
      <c r="M601">
        <f>LOG10(F601/C601)-LOG10(35167/47667)</f>
        <v>0.29835232241009768</v>
      </c>
      <c r="N601">
        <f>LOG10(G601/C601)-LOG10(34734/47667)</f>
        <v>0.35754661824889422</v>
      </c>
      <c r="O601">
        <f>LOG10(H601/C601)-LOG10(33378/47667)</f>
        <v>0.48175760511917509</v>
      </c>
      <c r="Q601">
        <f>AVERAGE(K601:O601)</f>
        <v>0.3037113099535288</v>
      </c>
      <c r="R601">
        <f>STDEV(K601:O601)</f>
        <v>0.130444420927843</v>
      </c>
    </row>
    <row r="602" spans="1:18">
      <c r="A602">
        <v>600</v>
      </c>
      <c r="C602">
        <v>1901</v>
      </c>
      <c r="D602">
        <v>954</v>
      </c>
      <c r="E602">
        <v>653</v>
      </c>
      <c r="F602">
        <v>372</v>
      </c>
      <c r="G602">
        <v>515</v>
      </c>
      <c r="H602">
        <v>489</v>
      </c>
      <c r="J602" s="1"/>
      <c r="K602">
        <f t="shared" si="9"/>
        <v>-0.35704627769170777</v>
      </c>
      <c r="L602">
        <f>LOG10(E602/C602)-LOG10(37995/47667)</f>
        <v>-0.36557756467746894</v>
      </c>
      <c r="M602">
        <f>LOG10(F602/C602)-LOG10(35167/47667)</f>
        <v>-0.57635667865432916</v>
      </c>
      <c r="N602">
        <f>LOG10(G602/C602)-LOG10(34734/47667)</f>
        <v>-0.42971186801556982</v>
      </c>
      <c r="O602">
        <f>LOG10(H602/C602)-LOG10(33378/47667)</f>
        <v>-0.43491574830716506</v>
      </c>
      <c r="Q602">
        <f>AVERAGE(K602:O602)</f>
        <v>-0.43272162746924819</v>
      </c>
      <c r="R602">
        <f>STDEV(K602:O602)</f>
        <v>8.7863508465261628E-2</v>
      </c>
    </row>
    <row r="603" spans="1:18">
      <c r="A603">
        <v>601</v>
      </c>
      <c r="C603">
        <v>2180</v>
      </c>
      <c r="D603">
        <v>440</v>
      </c>
      <c r="E603">
        <v>575</v>
      </c>
      <c r="F603">
        <v>5280</v>
      </c>
      <c r="G603">
        <v>543</v>
      </c>
      <c r="H603">
        <v>549</v>
      </c>
      <c r="J603" s="1"/>
      <c r="K603">
        <f t="shared" si="9"/>
        <v>-0.75261635264877713</v>
      </c>
      <c r="L603">
        <f>LOG10(E603/C603)-LOG10(37995/47667)</f>
        <v>-0.48029727800207411</v>
      </c>
      <c r="M603">
        <f>LOG10(F603/C603)-LOG10(35167/47667)</f>
        <v>0.51625992725842396</v>
      </c>
      <c r="N603">
        <f>LOG10(G603/C603)-LOG10(34734/47667)</f>
        <v>-0.46619364420707565</v>
      </c>
      <c r="O603">
        <f>LOG10(H603/C603)-LOG10(33378/47667)</f>
        <v>-0.44412663971985511</v>
      </c>
      <c r="Q603">
        <f>AVERAGE(K603:O603)</f>
        <v>-0.32539479746387162</v>
      </c>
      <c r="R603">
        <f>STDEV(K603:O603)</f>
        <v>0.4870362607005192</v>
      </c>
    </row>
    <row r="604" spans="1:18">
      <c r="A604">
        <v>602</v>
      </c>
      <c r="C604">
        <v>1732</v>
      </c>
      <c r="D604">
        <v>333</v>
      </c>
      <c r="E604">
        <v>524</v>
      </c>
      <c r="F604">
        <v>330</v>
      </c>
      <c r="G604">
        <v>376</v>
      </c>
      <c r="H604">
        <v>337</v>
      </c>
      <c r="J604" s="1"/>
      <c r="K604">
        <f t="shared" si="9"/>
        <v>-0.77371618970536771</v>
      </c>
      <c r="L604">
        <f>LOG10(E604/C604)-LOG10(37995/47667)</f>
        <v>-0.42072522978470084</v>
      </c>
      <c r="M604">
        <f>LOG10(F604/C604)-LOG10(35167/47667)</f>
        <v>-0.58795144947422384</v>
      </c>
      <c r="N604">
        <f>LOG10(G604/C604)-LOG10(34734/47667)</f>
        <v>-0.52589702294498453</v>
      </c>
      <c r="O604">
        <f>LOG10(H604/C604)-LOG10(33378/47667)</f>
        <v>-0.55616047737533136</v>
      </c>
      <c r="Q604">
        <f>AVERAGE(K604:O604)</f>
        <v>-0.5728900738569217</v>
      </c>
      <c r="R604">
        <f>STDEV(K604:O604)</f>
        <v>0.12864713351473378</v>
      </c>
    </row>
    <row r="605" spans="1:18">
      <c r="A605">
        <v>603</v>
      </c>
      <c r="C605">
        <v>2179</v>
      </c>
      <c r="D605">
        <v>4543</v>
      </c>
      <c r="E605">
        <v>4018</v>
      </c>
      <c r="F605">
        <v>2333</v>
      </c>
      <c r="G605">
        <v>2858</v>
      </c>
      <c r="H605">
        <v>3156</v>
      </c>
      <c r="J605" s="1"/>
      <c r="K605">
        <f t="shared" si="9"/>
        <v>0.2614729710380107</v>
      </c>
      <c r="L605">
        <f>LOG10(E605/C605)-LOG10(37995/47667)</f>
        <v>0.36424407307887496</v>
      </c>
      <c r="M605">
        <f>LOG10(F605/C605)-LOG10(35167/47667)</f>
        <v>0.16174000687671344</v>
      </c>
      <c r="N605">
        <f>LOG10(G605/C605)-LOG10(34734/47667)</f>
        <v>0.25526801401737809</v>
      </c>
      <c r="O605">
        <f>LOG10(H605/C605)-LOG10(33378/47667)</f>
        <v>0.31563727372578487</v>
      </c>
      <c r="Q605">
        <f>AVERAGE(K605:O605)</f>
        <v>0.27167246774735243</v>
      </c>
      <c r="R605">
        <f>STDEV(K605:O605)</f>
        <v>7.5763922923040461E-2</v>
      </c>
    </row>
    <row r="606" spans="1:18">
      <c r="A606">
        <v>604</v>
      </c>
      <c r="C606">
        <v>2240</v>
      </c>
      <c r="D606">
        <v>5575</v>
      </c>
      <c r="E606">
        <v>27421</v>
      </c>
      <c r="F606">
        <v>6000</v>
      </c>
      <c r="G606">
        <v>35925</v>
      </c>
      <c r="H606">
        <v>11297</v>
      </c>
      <c r="J606" s="1"/>
      <c r="K606">
        <f t="shared" si="9"/>
        <v>0.33838431785567569</v>
      </c>
      <c r="L606">
        <f>LOG10(E606/C606)-LOG10(37995/47667)</f>
        <v>1.186326641345973</v>
      </c>
      <c r="M606">
        <f>LOG10(F606/C606)-LOG10(35167/47667)</f>
        <v>0.55998573037869726</v>
      </c>
      <c r="N606">
        <f>LOG10(G606/C606)-LOG10(34734/47667)</f>
        <v>1.3426117782807827</v>
      </c>
      <c r="O606">
        <f>LOG10(H606/C606)-LOG10(33378/47667)</f>
        <v>0.85747261985599821</v>
      </c>
      <c r="Q606">
        <f>AVERAGE(K606:O606)</f>
        <v>0.85695621754342532</v>
      </c>
      <c r="R606">
        <f>STDEV(K606:O606)</f>
        <v>0.41876447790343724</v>
      </c>
    </row>
    <row r="607" spans="1:18">
      <c r="A607">
        <v>605</v>
      </c>
      <c r="C607">
        <v>1524</v>
      </c>
      <c r="D607">
        <v>526</v>
      </c>
      <c r="E607">
        <v>1295</v>
      </c>
      <c r="F607">
        <v>423</v>
      </c>
      <c r="G607">
        <v>456</v>
      </c>
      <c r="H607">
        <v>326</v>
      </c>
      <c r="J607" s="1"/>
      <c r="K607">
        <f t="shared" si="9"/>
        <v>-0.51961175838020235</v>
      </c>
      <c r="L607">
        <f>LOG10(E607/C607)-LOG10(37995/47667)</f>
        <v>2.7776172326589174E-2</v>
      </c>
      <c r="M607">
        <f>LOG10(F607/C607)-LOG10(35167/47667)</f>
        <v>-0.42456210129932281</v>
      </c>
      <c r="N607">
        <f>LOG10(G607/C607)-LOG10(34734/47667)</f>
        <v>-0.38655710453046443</v>
      </c>
      <c r="O607">
        <f>LOG10(H607/C607)-LOG10(33378/47667)</f>
        <v>-0.51500985750098494</v>
      </c>
      <c r="Q607">
        <f>AVERAGE(K607:O607)</f>
        <v>-0.36359292987687708</v>
      </c>
      <c r="R607">
        <f>STDEV(K607:O607)</f>
        <v>0.22620970810272584</v>
      </c>
    </row>
    <row r="608" spans="1:18">
      <c r="A608">
        <v>606</v>
      </c>
      <c r="C608">
        <v>2634</v>
      </c>
      <c r="D608">
        <v>2863</v>
      </c>
      <c r="E608">
        <v>2691</v>
      </c>
      <c r="F608">
        <v>3872</v>
      </c>
      <c r="G608">
        <v>3680</v>
      </c>
      <c r="H608">
        <v>2636</v>
      </c>
      <c r="J608" s="1"/>
      <c r="K608">
        <f t="shared" si="9"/>
        <v>-2.1406958134526109E-2</v>
      </c>
      <c r="L608">
        <f>LOG10(E608/C608)-LOG10(37995/47667)</f>
        <v>0.10778929805088978</v>
      </c>
      <c r="M608">
        <f>LOG10(F608/C608)-LOG10(35167/47667)</f>
        <v>0.29940207633980753</v>
      </c>
      <c r="N608">
        <f>LOG10(G608/C608)-LOG10(34734/47667)</f>
        <v>0.28269506785643495</v>
      </c>
      <c r="O608">
        <f>LOG10(H608/C608)-LOG10(33378/47667)</f>
        <v>0.15508714473086507</v>
      </c>
      <c r="Q608">
        <f>AVERAGE(K608:O608)</f>
        <v>0.16471332576869424</v>
      </c>
      <c r="R608">
        <f>STDEV(K608:O608)</f>
        <v>0.13232017927140927</v>
      </c>
    </row>
    <row r="609" spans="1:18">
      <c r="A609">
        <v>607</v>
      </c>
      <c r="C609">
        <v>2094</v>
      </c>
      <c r="D609">
        <v>2925</v>
      </c>
      <c r="E609">
        <v>2627</v>
      </c>
      <c r="F609">
        <v>3052</v>
      </c>
      <c r="G609">
        <v>3597</v>
      </c>
      <c r="H609">
        <v>2278</v>
      </c>
      <c r="J609" s="1"/>
      <c r="K609">
        <f t="shared" si="9"/>
        <v>8.7536657545015967E-2</v>
      </c>
      <c r="L609">
        <f>LOG10(E609/C609)-LOG10(37995/47667)</f>
        <v>0.196974766356147</v>
      </c>
      <c r="M609">
        <f>LOG10(F609/C609)-LOG10(35167/47667)</f>
        <v>0.29569035026923579</v>
      </c>
      <c r="N609">
        <f>LOG10(G609/C609)-LOG10(34734/47667)</f>
        <v>0.37242678028436987</v>
      </c>
      <c r="O609">
        <f>LOG10(H609/C609)-LOG10(33378/47667)</f>
        <v>0.19133455183491579</v>
      </c>
      <c r="Q609">
        <f>AVERAGE(K609:O609)</f>
        <v>0.2287926212579369</v>
      </c>
      <c r="R609">
        <f>STDEV(K609:O609)</f>
        <v>0.10894357246531006</v>
      </c>
    </row>
    <row r="610" spans="1:18">
      <c r="A610">
        <v>608</v>
      </c>
      <c r="C610">
        <v>835</v>
      </c>
      <c r="D610">
        <v>1731</v>
      </c>
      <c r="E610">
        <v>1877</v>
      </c>
      <c r="F610">
        <v>1153</v>
      </c>
      <c r="G610">
        <v>1382</v>
      </c>
      <c r="H610">
        <v>1555</v>
      </c>
      <c r="J610" s="1"/>
      <c r="K610">
        <f t="shared" si="9"/>
        <v>0.25899805686143201</v>
      </c>
      <c r="L610">
        <f>LOG10(E610/C610)-LOG10(37995/47667)</f>
        <v>0.45026916805064454</v>
      </c>
      <c r="M610">
        <f>LOG10(F610/C610)-LOG10(35167/47667)</f>
        <v>0.27222533014031342</v>
      </c>
      <c r="N610">
        <f>LOG10(G610/C610)-LOG10(34734/47667)</f>
        <v>0.3562845873632598</v>
      </c>
      <c r="O610">
        <f>LOG10(H610/C610)-LOG10(33378/47667)</f>
        <v>0.42480142731391202</v>
      </c>
      <c r="Q610">
        <f>AVERAGE(K610:O610)</f>
        <v>0.35251571394591241</v>
      </c>
      <c r="R610">
        <f>STDEV(K610:O610)</f>
        <v>8.6584156275243684E-2</v>
      </c>
    </row>
    <row r="611" spans="1:18">
      <c r="A611">
        <v>609</v>
      </c>
      <c r="C611">
        <v>3459</v>
      </c>
      <c r="D611">
        <v>2274</v>
      </c>
      <c r="E611">
        <v>3014</v>
      </c>
      <c r="F611">
        <v>2154</v>
      </c>
      <c r="G611">
        <v>2461</v>
      </c>
      <c r="H611">
        <v>2390</v>
      </c>
      <c r="J611" s="1"/>
      <c r="K611">
        <f t="shared" si="9"/>
        <v>-0.23977263719300526</v>
      </c>
      <c r="L611">
        <f>LOG10(E611/C611)-LOG10(37995/47667)</f>
        <v>3.8684056877151776E-2</v>
      </c>
      <c r="M611">
        <f>LOG10(F611/C611)-LOG10(35167/47667)</f>
        <v>-7.3622364723182204E-2</v>
      </c>
      <c r="N611">
        <f>LOG10(G611/C611)-LOG10(34734/47667)</f>
        <v>-1.0375928502876663E-2</v>
      </c>
      <c r="O611">
        <f>LOG10(H611/C611)-LOG10(33378/47667)</f>
        <v>-5.7951516315659923E-3</v>
      </c>
      <c r="Q611">
        <f>AVERAGE(K611:O611)</f>
        <v>-5.8176405034695677E-2</v>
      </c>
      <c r="R611">
        <f>STDEV(K611:O611)</f>
        <v>0.10911736748946217</v>
      </c>
    </row>
    <row r="612" spans="1:18">
      <c r="A612">
        <v>610</v>
      </c>
      <c r="C612">
        <v>1312</v>
      </c>
      <c r="D612">
        <v>685</v>
      </c>
      <c r="E612">
        <v>658</v>
      </c>
      <c r="F612">
        <v>479</v>
      </c>
      <c r="G612">
        <v>353</v>
      </c>
      <c r="H612">
        <v>404</v>
      </c>
      <c r="J612" s="1"/>
      <c r="K612">
        <f t="shared" si="9"/>
        <v>-0.33985579907757568</v>
      </c>
      <c r="L612">
        <f>LOG10(E612/C612)-LOG10(37995/47667)</f>
        <v>-0.20121657051278577</v>
      </c>
      <c r="M612">
        <f>LOG10(F612/C612)-LOG10(35167/47667)</f>
        <v>-0.3055158232958618</v>
      </c>
      <c r="N612">
        <f>LOG10(G612/C612)-LOG10(34734/47667)</f>
        <v>-0.43269610984313667</v>
      </c>
      <c r="O612">
        <f>LOG10(H612/C612)-LOG10(33378/47667)</f>
        <v>-0.35679496049437864</v>
      </c>
      <c r="Q612">
        <f>AVERAGE(K612:O612)</f>
        <v>-0.32721585264474767</v>
      </c>
      <c r="R612">
        <f>STDEV(K612:O612)</f>
        <v>8.4420801490443606E-2</v>
      </c>
    </row>
    <row r="613" spans="1:18">
      <c r="A613">
        <v>611</v>
      </c>
      <c r="C613">
        <v>1451</v>
      </c>
      <c r="D613">
        <v>920</v>
      </c>
      <c r="E613">
        <v>776</v>
      </c>
      <c r="F613">
        <v>1347</v>
      </c>
      <c r="G613">
        <v>1127</v>
      </c>
      <c r="H613">
        <v>700</v>
      </c>
      <c r="J613" s="1"/>
      <c r="K613">
        <f t="shared" si="9"/>
        <v>-0.2554921206225404</v>
      </c>
      <c r="L613">
        <f>LOG10(E613/C613)-LOG10(37995/47667)</f>
        <v>-0.17331432026664714</v>
      </c>
      <c r="M613">
        <f>LOG10(F613/C613)-LOG10(35167/47667)</f>
        <v>9.9782681614466184E-2</v>
      </c>
      <c r="N613">
        <f>LOG10(G613/C613)-LOG10(34734/47667)</f>
        <v>2.7719523417052944E-2</v>
      </c>
      <c r="O613">
        <f>LOG10(H613/C613)-LOG10(33378/47667)</f>
        <v>-0.16181186298882125</v>
      </c>
      <c r="Q613">
        <f>AVERAGE(K613:O613)</f>
        <v>-9.2623219769297924E-2</v>
      </c>
      <c r="R613">
        <f>STDEV(K613:O613)</f>
        <v>0.14943795337872662</v>
      </c>
    </row>
    <row r="614" spans="1:18">
      <c r="A614">
        <v>612</v>
      </c>
      <c r="C614">
        <v>2391</v>
      </c>
      <c r="D614">
        <v>164</v>
      </c>
      <c r="E614">
        <v>207</v>
      </c>
      <c r="F614">
        <v>103</v>
      </c>
      <c r="G614">
        <v>117</v>
      </c>
      <c r="H614">
        <v>153</v>
      </c>
      <c r="J614" s="1"/>
      <c r="K614">
        <f t="shared" si="9"/>
        <v>-1.2213482635984367</v>
      </c>
      <c r="L614">
        <f>LOG10(E614/C614)-LOG10(37995/47667)</f>
        <v>-0.96411785974595676</v>
      </c>
      <c r="M614">
        <f>LOG10(F614/C614)-LOG10(35167/47667)</f>
        <v>-1.2336598530813863</v>
      </c>
      <c r="N614">
        <f>LOG10(G614/C614)-LOG10(34734/47667)</f>
        <v>-1.1729306945609308</v>
      </c>
      <c r="O614">
        <f>LOG10(H614/C614)-LOG10(33378/47667)</f>
        <v>-1.0391306358635182</v>
      </c>
      <c r="Q614">
        <f>AVERAGE(K614:O614)</f>
        <v>-1.1262374613700457</v>
      </c>
      <c r="R614">
        <f>STDEV(K614:O614)</f>
        <v>0.11899186657909555</v>
      </c>
    </row>
    <row r="615" spans="1:18">
      <c r="A615">
        <v>613</v>
      </c>
      <c r="C615">
        <v>2301</v>
      </c>
      <c r="D615">
        <v>719</v>
      </c>
      <c r="E615">
        <v>789</v>
      </c>
      <c r="F615">
        <v>3254</v>
      </c>
      <c r="G615">
        <v>627</v>
      </c>
      <c r="H615">
        <v>649</v>
      </c>
      <c r="J615" s="1"/>
      <c r="K615">
        <f t="shared" si="9"/>
        <v>-0.56280026381612047</v>
      </c>
      <c r="L615">
        <f>LOG10(E615/C615)-LOG10(37995/47667)</f>
        <v>-0.36634824454632287</v>
      </c>
      <c r="M615">
        <f>LOG10(F615/C615)-LOG10(35167/47667)</f>
        <v>0.28258342826141303</v>
      </c>
      <c r="N615">
        <f>LOG10(G615/C615)-LOG10(34734/47667)</f>
        <v>-0.4271860580292447</v>
      </c>
      <c r="O615">
        <f>LOG10(H615/C615)-LOG10(33378/47667)</f>
        <v>-0.39491441243361636</v>
      </c>
      <c r="Q615">
        <f>AVERAGE(K615:O615)</f>
        <v>-0.29373311011277825</v>
      </c>
      <c r="R615">
        <f>STDEV(K615:O615)</f>
        <v>0.33085426875036927</v>
      </c>
    </row>
    <row r="616" spans="1:18">
      <c r="A616">
        <v>614</v>
      </c>
      <c r="C616">
        <v>1784</v>
      </c>
      <c r="D616">
        <v>999</v>
      </c>
      <c r="E616">
        <v>878</v>
      </c>
      <c r="F616">
        <v>932</v>
      </c>
      <c r="G616">
        <v>868</v>
      </c>
      <c r="H616">
        <v>1364</v>
      </c>
      <c r="J616" s="1"/>
      <c r="K616">
        <f t="shared" si="9"/>
        <v>-0.30944189734448169</v>
      </c>
      <c r="L616">
        <f>LOG10(E616/C616)-LOG10(37995/47667)</f>
        <v>-0.20940896322110145</v>
      </c>
      <c r="M616">
        <f>LOG10(F616/C616)-LOG10(35167/47667)</f>
        <v>-0.14989643935690647</v>
      </c>
      <c r="N616">
        <f>LOG10(G616/C616)-LOG10(34734/47667)</f>
        <v>-0.17541210505493007</v>
      </c>
      <c r="O616">
        <f>LOG10(H616/C616)-LOG10(33378/47667)</f>
        <v>3.8177029715013647E-2</v>
      </c>
      <c r="Q616">
        <f>AVERAGE(K616:O616)</f>
        <v>-0.16119647505248119</v>
      </c>
      <c r="R616">
        <f>STDEV(K616:O616)</f>
        <v>0.12686677913495023</v>
      </c>
    </row>
    <row r="617" spans="1:18">
      <c r="A617">
        <v>615</v>
      </c>
      <c r="C617">
        <v>1433</v>
      </c>
      <c r="D617">
        <v>908</v>
      </c>
      <c r="E617">
        <v>813</v>
      </c>
      <c r="F617">
        <v>803</v>
      </c>
      <c r="G617">
        <v>795</v>
      </c>
      <c r="H617">
        <v>1206</v>
      </c>
      <c r="J617" s="1"/>
      <c r="K617">
        <f t="shared" si="9"/>
        <v>-0.25577287740661914</v>
      </c>
      <c r="L617">
        <f>LOG10(E617/C617)-LOG10(37995/47667)</f>
        <v>-0.14766427389037609</v>
      </c>
      <c r="M617">
        <f>LOG10(F617/C617)-LOG10(35167/47667)</f>
        <v>-0.11944814678944707</v>
      </c>
      <c r="N617">
        <f>LOG10(G617/C617)-LOG10(34734/47667)</f>
        <v>-0.11841604193219193</v>
      </c>
      <c r="O617">
        <f>LOG10(H617/C617)-LOG10(33378/47667)</f>
        <v>7.9858626841445804E-2</v>
      </c>
      <c r="Q617">
        <f>AVERAGE(K617:O617)</f>
        <v>-0.11228854263543767</v>
      </c>
      <c r="R617">
        <f>STDEV(K617:O617)</f>
        <v>0.12129358763327323</v>
      </c>
    </row>
    <row r="618" spans="1:18">
      <c r="A618">
        <v>616</v>
      </c>
      <c r="C618">
        <v>3362</v>
      </c>
      <c r="D618">
        <v>15668</v>
      </c>
      <c r="E618">
        <v>6303</v>
      </c>
      <c r="F618">
        <v>6979</v>
      </c>
      <c r="G618">
        <v>5895</v>
      </c>
      <c r="H618">
        <v>12826</v>
      </c>
      <c r="J618" s="1"/>
      <c r="K618">
        <f t="shared" si="9"/>
        <v>0.61080331824201628</v>
      </c>
      <c r="L618">
        <f>LOG10(E618/C618)-LOG10(37995/47667)</f>
        <v>0.37144096893506307</v>
      </c>
      <c r="M618">
        <f>LOG10(F618/C618)-LOG10(35167/47667)</f>
        <v>0.44927798755167681</v>
      </c>
      <c r="N618">
        <f>LOG10(G618/C618)-LOG10(34734/47667)</f>
        <v>0.38134912013633804</v>
      </c>
      <c r="O618">
        <f>LOG10(H618/C618)-LOG10(33378/47667)</f>
        <v>0.73625103591242591</v>
      </c>
      <c r="Q618">
        <f>AVERAGE(K618:O618)</f>
        <v>0.50982448615550402</v>
      </c>
      <c r="R618">
        <f>STDEV(K618:O618)</f>
        <v>0.15873523787239391</v>
      </c>
    </row>
    <row r="619" spans="1:18">
      <c r="A619">
        <v>617</v>
      </c>
      <c r="C619">
        <v>1224</v>
      </c>
      <c r="D619">
        <v>2102</v>
      </c>
      <c r="E619">
        <v>6482</v>
      </c>
      <c r="F619">
        <v>8620</v>
      </c>
      <c r="G619">
        <v>3384</v>
      </c>
      <c r="H619">
        <v>10402</v>
      </c>
      <c r="J619" s="1"/>
      <c r="K619">
        <f t="shared" si="9"/>
        <v>0.17723875835232125</v>
      </c>
      <c r="L619">
        <f>LOG10(E619/C619)-LOG10(37995/47667)</f>
        <v>0.82241897979954903</v>
      </c>
      <c r="M619">
        <f>LOG10(F619/C619)-LOG10(35167/47667)</f>
        <v>0.97980834634438685</v>
      </c>
      <c r="N619">
        <f>LOG10(G619/C619)-LOG10(34734/47667)</f>
        <v>0.57911195636612578</v>
      </c>
      <c r="O619">
        <f>LOG10(H619/C619)-LOG10(33378/47667)</f>
        <v>1.0840929410639286</v>
      </c>
      <c r="Q619">
        <f>AVERAGE(K619:O619)</f>
        <v>0.72853419638526229</v>
      </c>
      <c r="R619">
        <f>STDEV(K619:O619)</f>
        <v>0.36215629834374208</v>
      </c>
    </row>
    <row r="620" spans="1:18">
      <c r="A620">
        <v>618</v>
      </c>
      <c r="C620">
        <v>2499</v>
      </c>
      <c r="D620">
        <v>2490</v>
      </c>
      <c r="E620">
        <v>2448</v>
      </c>
      <c r="F620">
        <v>2867</v>
      </c>
      <c r="G620">
        <v>2653</v>
      </c>
      <c r="H620">
        <v>2109</v>
      </c>
      <c r="J620" s="1"/>
      <c r="K620">
        <f t="shared" si="9"/>
        <v>-5.9179444561073428E-2</v>
      </c>
      <c r="L620">
        <f>LOG10(E620/C620)-LOG10(37995/47667)</f>
        <v>8.9536528259973797E-2</v>
      </c>
      <c r="M620">
        <f>LOG10(F620/C620)-LOG10(35167/47667)</f>
        <v>0.19174393514925087</v>
      </c>
      <c r="N620">
        <f>LOG10(G620/C620)-LOG10(34734/47667)</f>
        <v>0.16343401366456142</v>
      </c>
      <c r="O620">
        <f>LOG10(H620/C620)-LOG10(33378/47667)</f>
        <v>8.106783304769416E-2</v>
      </c>
      <c r="Q620">
        <f>AVERAGE(K620:O620)</f>
        <v>9.3320573112081362E-2</v>
      </c>
      <c r="R620">
        <f>STDEV(K620:O620)</f>
        <v>9.7498406096775E-2</v>
      </c>
    </row>
    <row r="621" spans="1:18">
      <c r="A621">
        <v>619</v>
      </c>
      <c r="C621">
        <v>1798</v>
      </c>
      <c r="D621">
        <v>1277</v>
      </c>
      <c r="E621">
        <v>1467</v>
      </c>
      <c r="F621">
        <v>997</v>
      </c>
      <c r="G621">
        <v>1430</v>
      </c>
      <c r="H621">
        <v>1988</v>
      </c>
      <c r="J621" s="1"/>
      <c r="K621">
        <f t="shared" si="9"/>
        <v>-0.20621132566415443</v>
      </c>
      <c r="L621">
        <f>LOG10(E621/C621)-LOG10(37995/47667)</f>
        <v>1.013179735897296E-2</v>
      </c>
      <c r="M621">
        <f>LOG10(F621/C621)-LOG10(35167/47667)</f>
        <v>-0.12401203075633785</v>
      </c>
      <c r="N621">
        <f>LOG10(G621/C621)-LOG10(34734/47667)</f>
        <v>3.8009369876534138E-2</v>
      </c>
      <c r="O621">
        <f>LOG10(H621/C621)-LOG10(33378/47667)</f>
        <v>0.19838420209874238</v>
      </c>
      <c r="Q621">
        <f>AVERAGE(K621:O621)</f>
        <v>-1.6739597417248557E-2</v>
      </c>
      <c r="R621">
        <f>STDEV(K621:O621)</f>
        <v>0.15604861514485655</v>
      </c>
    </row>
    <row r="622" spans="1:18">
      <c r="A622">
        <v>620</v>
      </c>
      <c r="C622">
        <v>1659</v>
      </c>
      <c r="D622">
        <v>1693</v>
      </c>
      <c r="E622">
        <v>2340</v>
      </c>
      <c r="F622">
        <v>2832</v>
      </c>
      <c r="G622">
        <v>1843</v>
      </c>
      <c r="H622">
        <v>1922</v>
      </c>
      <c r="J622" s="1"/>
      <c r="K622">
        <f t="shared" si="9"/>
        <v>-4.8801963445785169E-2</v>
      </c>
      <c r="L622">
        <f>LOG10(E622/C622)-LOG10(37995/47667)</f>
        <v>0.24786084229868241</v>
      </c>
      <c r="M622">
        <f>LOG10(F622/C622)-LOG10(35167/47667)</f>
        <v>0.36432936132258714</v>
      </c>
      <c r="N622">
        <f>LOG10(G622/C622)-LOG10(34734/47667)</f>
        <v>0.18314196900339538</v>
      </c>
      <c r="O622">
        <f>LOG10(H622/C622)-LOG10(33378/47667)</f>
        <v>0.21866450674282367</v>
      </c>
      <c r="Q622">
        <f>AVERAGE(K622:O622)</f>
        <v>0.1930389431843407</v>
      </c>
      <c r="R622">
        <f>STDEV(K622:O622)</f>
        <v>0.15131712699971192</v>
      </c>
    </row>
    <row r="623" spans="1:18">
      <c r="A623">
        <v>621</v>
      </c>
      <c r="C623">
        <v>2267</v>
      </c>
      <c r="D623">
        <v>409</v>
      </c>
      <c r="E623">
        <v>2378</v>
      </c>
      <c r="F623">
        <v>337</v>
      </c>
      <c r="G623">
        <v>557</v>
      </c>
      <c r="H623">
        <v>411</v>
      </c>
      <c r="J623" s="1"/>
      <c r="K623">
        <f t="shared" si="9"/>
        <v>-0.80134074764953533</v>
      </c>
      <c r="L623">
        <f>LOG10(E623/C623)-LOG10(37995/47667)</f>
        <v>0.11925170106905561</v>
      </c>
      <c r="M623">
        <f>LOG10(F623/C623)-LOG10(35167/47667)</f>
        <v>-0.69573912092596224</v>
      </c>
      <c r="N623">
        <f>LOG10(G623/C623)-LOG10(34734/47667)</f>
        <v>-0.47213330514410623</v>
      </c>
      <c r="O623">
        <f>LOG10(H623/C623)-LOG10(33378/47667)</f>
        <v>-0.58685218881579038</v>
      </c>
      <c r="Q623">
        <f>AVERAGE(K623:O623)</f>
        <v>-0.48736273229326776</v>
      </c>
      <c r="R623">
        <f>STDEV(K623:O623)</f>
        <v>0.36059467260367117</v>
      </c>
    </row>
    <row r="624" spans="1:18">
      <c r="A624">
        <v>622</v>
      </c>
      <c r="C624">
        <v>2479</v>
      </c>
      <c r="D624">
        <v>1125</v>
      </c>
      <c r="E624">
        <v>3882</v>
      </c>
      <c r="F624">
        <v>966</v>
      </c>
      <c r="G624">
        <v>2660</v>
      </c>
      <c r="H624">
        <v>1310</v>
      </c>
      <c r="J624" s="1"/>
      <c r="K624">
        <f t="shared" si="9"/>
        <v>-0.40073653985079988</v>
      </c>
      <c r="L624">
        <f>LOG10(E624/C624)-LOG10(37995/47667)</f>
        <v>0.29327037519742283</v>
      </c>
      <c r="M624">
        <f>LOG10(F624/C624)-LOG10(35167/47667)</f>
        <v>-0.27721690202311156</v>
      </c>
      <c r="N624">
        <f>LOG10(G624/C624)-LOG10(34734/47667)</f>
        <v>0.16806812967192783</v>
      </c>
      <c r="O624">
        <f>LOG10(H624/C624)-LOG10(33378/47667)</f>
        <v>-0.12224772167739936</v>
      </c>
      <c r="Q624">
        <f>AVERAGE(K624:O624)</f>
        <v>-6.7772531736392028E-2</v>
      </c>
      <c r="R624">
        <f>STDEV(K624:O624)</f>
        <v>0.29311786003425899</v>
      </c>
    </row>
    <row r="625" spans="1:18">
      <c r="A625">
        <v>623</v>
      </c>
      <c r="C625">
        <v>2294</v>
      </c>
      <c r="D625">
        <v>8153</v>
      </c>
      <c r="E625">
        <v>4278</v>
      </c>
      <c r="F625">
        <v>4362</v>
      </c>
      <c r="G625">
        <v>5141</v>
      </c>
      <c r="H625">
        <v>136329</v>
      </c>
      <c r="J625" s="1"/>
      <c r="K625">
        <f t="shared" si="9"/>
        <v>0.4931114932284219</v>
      </c>
      <c r="L625">
        <f>LOG10(E625/C625)-LOG10(37995/47667)</f>
        <v>0.36913873758316063</v>
      </c>
      <c r="M625">
        <f>LOG10(F625/C625)-LOG10(35167/47667)</f>
        <v>0.41117474600664905</v>
      </c>
      <c r="N625">
        <f>LOG10(G625/C625)-LOG10(34734/47667)</f>
        <v>0.48791721011046729</v>
      </c>
      <c r="O625">
        <f>LOG10(H625/C625)-LOG10(33378/47667)</f>
        <v>1.9287523449566175</v>
      </c>
      <c r="Q625">
        <f>AVERAGE(K625:O625)</f>
        <v>0.73801890637706324</v>
      </c>
      <c r="R625">
        <f>STDEV(K625:O625)</f>
        <v>0.6676968446345497</v>
      </c>
    </row>
    <row r="626" spans="1:18">
      <c r="A626">
        <v>624</v>
      </c>
      <c r="C626">
        <v>1166</v>
      </c>
      <c r="D626">
        <v>1443</v>
      </c>
      <c r="E626">
        <v>1441</v>
      </c>
      <c r="F626">
        <v>4068</v>
      </c>
      <c r="G626">
        <v>1891</v>
      </c>
      <c r="H626">
        <v>2560</v>
      </c>
      <c r="J626" s="1"/>
      <c r="K626">
        <f t="shared" si="9"/>
        <v>3.4955245140139153E-2</v>
      </c>
      <c r="L626">
        <f>LOG10(E626/C626)-LOG10(37995/47667)</f>
        <v>0.19045680130389431</v>
      </c>
      <c r="M626">
        <f>LOG10(F626/C626)-LOG10(35167/47667)</f>
        <v>0.67476489215692825</v>
      </c>
      <c r="N626">
        <f>LOG10(G626/C626)-LOG10(34734/47667)</f>
        <v>0.3474559982307267</v>
      </c>
      <c r="O626">
        <f>LOG10(H626/C626)-LOG10(33378/47667)</f>
        <v>0.49629892432351208</v>
      </c>
      <c r="Q626">
        <f>AVERAGE(K626:O626)</f>
        <v>0.34878637223104014</v>
      </c>
      <c r="R626">
        <f>STDEV(K626:O626)</f>
        <v>0.25078972653101589</v>
      </c>
    </row>
    <row r="627" spans="1:18">
      <c r="A627">
        <v>625</v>
      </c>
      <c r="C627">
        <v>2626</v>
      </c>
      <c r="D627">
        <v>4564</v>
      </c>
      <c r="E627">
        <v>2882</v>
      </c>
      <c r="F627">
        <v>6394</v>
      </c>
      <c r="G627">
        <v>3042</v>
      </c>
      <c r="H627">
        <v>5818</v>
      </c>
      <c r="J627" s="1"/>
      <c r="K627">
        <f t="shared" si="9"/>
        <v>0.18243837846235675</v>
      </c>
      <c r="L627">
        <f>LOG10(E627/C627)-LOG10(37995/47667)</f>
        <v>0.13889062563741017</v>
      </c>
      <c r="M627">
        <f>LOG10(F627/C627)-LOG10(35167/47667)</f>
        <v>0.51856040851142504</v>
      </c>
      <c r="N627">
        <f>LOG10(G627/C627)-LOG10(34734/47667)</f>
        <v>0.20132750777220132</v>
      </c>
      <c r="O627">
        <f>LOG10(H627/C627)-LOG10(33378/47667)</f>
        <v>0.50023650459223756</v>
      </c>
      <c r="Q627">
        <f>AVERAGE(K627:O627)</f>
        <v>0.30829068499512619</v>
      </c>
      <c r="R627">
        <f>STDEV(K627:O627)</f>
        <v>0.18508974764966477</v>
      </c>
    </row>
    <row r="628" spans="1:18">
      <c r="A628">
        <v>626</v>
      </c>
      <c r="C628">
        <v>1148</v>
      </c>
      <c r="D628">
        <v>435</v>
      </c>
      <c r="E628">
        <v>660</v>
      </c>
      <c r="F628">
        <v>1110</v>
      </c>
      <c r="G628">
        <v>564</v>
      </c>
      <c r="H628">
        <v>350</v>
      </c>
      <c r="J628" s="1"/>
      <c r="K628">
        <f t="shared" si="9"/>
        <v>-0.47906516663767718</v>
      </c>
      <c r="L628">
        <f>LOG10(E628/C628)-LOG10(37995/47667)</f>
        <v>-0.14190658160718575</v>
      </c>
      <c r="M628">
        <f>LOG10(F628/C628)-LOG10(35167/47667)</f>
        <v>0.1174635890539192</v>
      </c>
      <c r="N628">
        <f>LOG10(G628/C628)-LOG10(34734/47667)</f>
        <v>-0.17119976426993014</v>
      </c>
      <c r="O628">
        <f>LOG10(H628/C628)-LOG10(33378/47667)</f>
        <v>-0.36111633427702128</v>
      </c>
      <c r="Q628">
        <f>AVERAGE(K628:O628)</f>
        <v>-0.20716485154757902</v>
      </c>
      <c r="R628">
        <f>STDEV(K628:O628)</f>
        <v>0.22834545874975867</v>
      </c>
    </row>
    <row r="629" spans="1:18">
      <c r="A629">
        <v>627</v>
      </c>
      <c r="C629">
        <v>1829</v>
      </c>
      <c r="D629">
        <v>1367</v>
      </c>
      <c r="E629">
        <v>1034</v>
      </c>
      <c r="F629">
        <v>828</v>
      </c>
      <c r="G629">
        <v>937</v>
      </c>
      <c r="H629">
        <v>1178</v>
      </c>
      <c r="J629" s="1"/>
      <c r="K629">
        <f t="shared" si="9"/>
        <v>-0.18405772643895438</v>
      </c>
      <c r="L629">
        <f>LOG10(E629/C629)-LOG10(37995/47667)</f>
        <v>-0.1492017958055929</v>
      </c>
      <c r="M629">
        <f>LOG10(F629/C629)-LOG10(35167/47667)</f>
        <v>-0.21210087036232025</v>
      </c>
      <c r="N629">
        <f>LOG10(G629/C629)-LOG10(34734/47667)</f>
        <v>-0.15301109477995636</v>
      </c>
      <c r="O629">
        <f>LOG10(H629/C629)-LOG10(33378/47667)</f>
        <v>-3.6310905590676262E-2</v>
      </c>
      <c r="Q629">
        <f>AVERAGE(K629:O629)</f>
        <v>-0.14693647859550002</v>
      </c>
      <c r="R629">
        <f>STDEV(K629:O629)</f>
        <v>6.6903727516281195E-2</v>
      </c>
    </row>
    <row r="630" spans="1:18">
      <c r="A630">
        <v>628</v>
      </c>
      <c r="C630">
        <v>2063</v>
      </c>
      <c r="D630">
        <v>3899</v>
      </c>
      <c r="E630">
        <v>2124</v>
      </c>
      <c r="F630">
        <v>2096</v>
      </c>
      <c r="G630">
        <v>3441</v>
      </c>
      <c r="H630">
        <v>3085</v>
      </c>
      <c r="J630" s="1"/>
      <c r="K630">
        <f t="shared" si="9"/>
        <v>0.2188414716844744</v>
      </c>
      <c r="L630">
        <f>LOG10(E630/C630)-LOG10(37995/47667)</f>
        <v>0.11114665534918014</v>
      </c>
      <c r="M630">
        <f>LOG10(F630/C630)-LOG10(35167/47667)</f>
        <v>0.13897454866775394</v>
      </c>
      <c r="N630">
        <f>LOG10(G630/C630)-LOG10(34734/47667)</f>
        <v>0.35964846445646081</v>
      </c>
      <c r="O630">
        <f>LOG10(H630/C630)-LOG10(33378/47667)</f>
        <v>0.32951344983076669</v>
      </c>
      <c r="Q630">
        <f>AVERAGE(K630:O630)</f>
        <v>0.23162491799772722</v>
      </c>
      <c r="R630">
        <f>STDEV(K630:O630)</f>
        <v>0.11094448197154283</v>
      </c>
    </row>
    <row r="631" spans="1:18">
      <c r="A631">
        <v>629</v>
      </c>
      <c r="C631">
        <v>1905</v>
      </c>
      <c r="D631">
        <v>762</v>
      </c>
      <c r="E631">
        <v>728</v>
      </c>
      <c r="F631">
        <v>477</v>
      </c>
      <c r="G631">
        <v>419</v>
      </c>
      <c r="H631">
        <v>427</v>
      </c>
      <c r="J631" s="1"/>
      <c r="K631">
        <f t="shared" si="9"/>
        <v>-0.45555254420239738</v>
      </c>
      <c r="L631">
        <f>LOG10(E631/C631)-LOG10(37995/47667)</f>
        <v>-0.31927222978570069</v>
      </c>
      <c r="M631">
        <f>LOG10(F631/C631)-LOG10(35167/47667)</f>
        <v>-0.46929410264230764</v>
      </c>
      <c r="N631">
        <f>LOG10(G631/C631)-LOG10(34734/47667)</f>
        <v>-0.52021793723666054</v>
      </c>
      <c r="O631">
        <f>LOG10(H631/C631)-LOG10(33378/47667)</f>
        <v>-0.49470959555195637</v>
      </c>
      <c r="Q631">
        <f>AVERAGE(K631:O631)</f>
        <v>-0.45180928188380454</v>
      </c>
      <c r="R631">
        <f>STDEV(K631:O631)</f>
        <v>7.8112070431863412E-2</v>
      </c>
    </row>
    <row r="632" spans="1:18">
      <c r="A632">
        <v>630</v>
      </c>
      <c r="C632">
        <v>2642</v>
      </c>
      <c r="D632">
        <v>410</v>
      </c>
      <c r="E632">
        <v>454</v>
      </c>
      <c r="F632">
        <v>356</v>
      </c>
      <c r="G632">
        <v>607</v>
      </c>
      <c r="H632">
        <v>488</v>
      </c>
      <c r="J632" s="1"/>
      <c r="K632">
        <f t="shared" si="9"/>
        <v>-0.86676149208913267</v>
      </c>
      <c r="L632">
        <f>LOG10(E632/C632)-LOG10(37995/47667)</f>
        <v>-0.66638558950850413</v>
      </c>
      <c r="M632">
        <f>LOG10(F632/C632)-LOG10(35167/47667)</f>
        <v>-0.73840031697641673</v>
      </c>
      <c r="N632">
        <f>LOG10(G632/C632)-LOG10(34734/47667)</f>
        <v>-0.50128110239456858</v>
      </c>
      <c r="O632">
        <f>LOG10(H632/C632)-LOG10(33378/47667)</f>
        <v>-0.57875548184114001</v>
      </c>
      <c r="Q632">
        <f>AVERAGE(K632:O632)</f>
        <v>-0.67031679656195231</v>
      </c>
      <c r="R632">
        <f>STDEV(K632:O632)</f>
        <v>0.14159615001629064</v>
      </c>
    </row>
    <row r="633" spans="1:18">
      <c r="A633">
        <v>631</v>
      </c>
      <c r="C633">
        <v>3111</v>
      </c>
      <c r="D633">
        <v>3704</v>
      </c>
      <c r="E633">
        <v>2498</v>
      </c>
      <c r="F633">
        <v>2280</v>
      </c>
      <c r="G633">
        <v>4675</v>
      </c>
      <c r="H633">
        <v>1901</v>
      </c>
      <c r="J633" s="1"/>
      <c r="K633">
        <f t="shared" si="9"/>
        <v>1.8158431370833554E-2</v>
      </c>
      <c r="L633">
        <f>LOG10(E633/C633)-LOG10(37995/47667)</f>
        <v>3.1837938423135564E-3</v>
      </c>
      <c r="M633">
        <f>LOG10(F633/C633)-LOG10(35167/47667)</f>
        <v>-2.8826657790331778E-3</v>
      </c>
      <c r="N633">
        <f>LOG10(G633/C633)-LOG10(34734/47667)</f>
        <v>0.31434462390851542</v>
      </c>
      <c r="O633">
        <f>LOG10(H633/C633)-LOG10(33378/47667)</f>
        <v>-5.9160384808602473E-2</v>
      </c>
      <c r="Q633">
        <f>AVERAGE(K633:O633)</f>
        <v>5.4728759706805373E-2</v>
      </c>
      <c r="R633">
        <f>STDEV(K633:O633)</f>
        <v>0.14805782903204995</v>
      </c>
    </row>
    <row r="634" spans="1:18">
      <c r="A634">
        <v>632</v>
      </c>
      <c r="C634">
        <v>3638</v>
      </c>
      <c r="D634">
        <v>3890</v>
      </c>
      <c r="E634">
        <v>2367</v>
      </c>
      <c r="F634">
        <v>3598</v>
      </c>
      <c r="G634">
        <v>2624</v>
      </c>
      <c r="H634">
        <v>3056</v>
      </c>
      <c r="J634" s="1"/>
      <c r="K634">
        <f t="shared" si="9"/>
        <v>-2.8525628932116787E-2</v>
      </c>
      <c r="L634">
        <f>LOG10(E634/C634)-LOG10(37995/47667)</f>
        <v>-8.8173065885481766E-2</v>
      </c>
      <c r="M634">
        <f>LOG10(F634/C634)-LOG10(35167/47667)</f>
        <v>0.12728096261128424</v>
      </c>
      <c r="N634">
        <f>LOG10(G634/C634)-LOG10(34734/47667)</f>
        <v>-4.4358442151598287E-3</v>
      </c>
      <c r="O634">
        <f>LOG10(H634/C634)-LOG10(33378/47667)</f>
        <v>7.9048164610845351E-2</v>
      </c>
      <c r="Q634">
        <f>AVERAGE(K634:O634)</f>
        <v>1.7038917637874244E-2</v>
      </c>
      <c r="R634">
        <f>STDEV(K634:O634)</f>
        <v>8.6030968214600823E-2</v>
      </c>
    </row>
    <row r="635" spans="1:18">
      <c r="A635">
        <v>633</v>
      </c>
      <c r="C635">
        <v>2916</v>
      </c>
      <c r="D635">
        <v>3142</v>
      </c>
      <c r="E635">
        <v>2143</v>
      </c>
      <c r="F635">
        <v>5450</v>
      </c>
      <c r="G635">
        <v>1663</v>
      </c>
      <c r="H635">
        <v>1818</v>
      </c>
      <c r="J635" s="1"/>
      <c r="K635">
        <f t="shared" si="9"/>
        <v>-2.5193874472342247E-2</v>
      </c>
      <c r="L635">
        <f>LOG10(E635/C635)-LOG10(37995/47667)</f>
        <v>-3.5273977691208075E-2</v>
      </c>
      <c r="M635">
        <f>LOG10(F635/C635)-LOG10(35167/47667)</f>
        <v>0.40369148095992191</v>
      </c>
      <c r="N635">
        <f>LOG10(G635/C635)-LOG10(34734/47667)</f>
        <v>-0.10643225061773548</v>
      </c>
      <c r="O635">
        <f>LOG10(H635/C635)-LOG10(33378/47667)</f>
        <v>-5.0436131325330591E-2</v>
      </c>
      <c r="Q635">
        <f>AVERAGE(K635:O635)</f>
        <v>3.72710493706611E-2</v>
      </c>
      <c r="R635">
        <f>STDEV(K635:O635)</f>
        <v>0.20722678900263725</v>
      </c>
    </row>
    <row r="636" spans="1:18">
      <c r="A636">
        <v>634</v>
      </c>
      <c r="C636">
        <v>1820</v>
      </c>
      <c r="D636">
        <v>96</v>
      </c>
      <c r="E636">
        <v>102</v>
      </c>
      <c r="F636">
        <v>85</v>
      </c>
      <c r="G636">
        <v>67</v>
      </c>
      <c r="H636">
        <v>76</v>
      </c>
      <c r="J636" s="1"/>
      <c r="K636">
        <f t="shared" si="9"/>
        <v>-1.3354126904758663</v>
      </c>
      <c r="L636">
        <f>LOG10(E636/C636)-LOG10(37995/47667)</f>
        <v>-1.1529798453102569</v>
      </c>
      <c r="M636">
        <f>LOG10(F636/C636)-LOG10(35167/47667)</f>
        <v>-1.1985699639415657</v>
      </c>
      <c r="N636">
        <f>LOG10(G636/C636)-LOG10(34734/47667)</f>
        <v>-1.2965335654755661</v>
      </c>
      <c r="O636">
        <f>LOG10(H636/C636)-LOG10(33378/47667)</f>
        <v>-1.2245002862696257</v>
      </c>
      <c r="Q636">
        <f>AVERAGE(K636:O636)</f>
        <v>-1.2415992702945762</v>
      </c>
      <c r="R636">
        <f>STDEV(K636:O636)</f>
        <v>7.3851258516022533E-2</v>
      </c>
    </row>
    <row r="637" spans="1:18">
      <c r="A637">
        <v>635</v>
      </c>
      <c r="C637">
        <v>2057</v>
      </c>
      <c r="D637">
        <v>1319</v>
      </c>
      <c r="E637">
        <v>1563</v>
      </c>
      <c r="F637">
        <v>1597</v>
      </c>
      <c r="G637">
        <v>1458</v>
      </c>
      <c r="H637">
        <v>7291</v>
      </c>
      <c r="J637" s="1"/>
      <c r="K637">
        <f t="shared" si="9"/>
        <v>-0.25060203167871847</v>
      </c>
      <c r="L637">
        <f>LOG10(E637/C637)-LOG10(37995/47667)</f>
        <v>-2.0783942762636828E-2</v>
      </c>
      <c r="M637">
        <f>LOG10(F637/C637)-LOG10(35167/47667)</f>
        <v>2.2153122772975362E-2</v>
      </c>
      <c r="N637">
        <f>LOG10(G637/C637)-LOG10(34734/47667)</f>
        <v>-1.2013747904085909E-2</v>
      </c>
      <c r="O637">
        <f>LOG10(H637/C637)-LOG10(33378/47667)</f>
        <v>0.70431031597527827</v>
      </c>
      <c r="Q637">
        <f>AVERAGE(K637:O637)</f>
        <v>8.8612743280562484E-2</v>
      </c>
      <c r="R637">
        <f>STDEV(K637:O637)</f>
        <v>0.36078399748887885</v>
      </c>
    </row>
    <row r="638" spans="1:18">
      <c r="A638">
        <v>636</v>
      </c>
      <c r="C638">
        <v>1849</v>
      </c>
      <c r="D638">
        <v>1702</v>
      </c>
      <c r="E638">
        <v>2023</v>
      </c>
      <c r="F638">
        <v>2777</v>
      </c>
      <c r="G638">
        <v>1540</v>
      </c>
      <c r="H638">
        <v>2008</v>
      </c>
      <c r="J638" s="1"/>
      <c r="K638">
        <f t="shared" si="9"/>
        <v>-9.3589890940963719E-2</v>
      </c>
      <c r="L638">
        <f>LOG10(E638/C638)-LOG10(37995/47667)</f>
        <v>0.13755034252453188</v>
      </c>
      <c r="M638">
        <f>LOG10(F638/C638)-LOG10(35167/47667)</f>
        <v>0.308721466920301</v>
      </c>
      <c r="N638">
        <f>LOG10(G638/C638)-LOG10(34734/47667)</f>
        <v>5.8046829485972284E-2</v>
      </c>
      <c r="O638">
        <f>LOG10(H638/C638)-LOG10(33378/47667)</f>
        <v>0.19058430674846652</v>
      </c>
      <c r="Q638">
        <f>AVERAGE(K638:O638)</f>
        <v>0.12026261094766159</v>
      </c>
      <c r="R638">
        <f>STDEV(K638:O638)</f>
        <v>0.1503033956575866</v>
      </c>
    </row>
    <row r="639" spans="1:18">
      <c r="A639">
        <v>637</v>
      </c>
      <c r="C639">
        <v>1357</v>
      </c>
      <c r="D639">
        <v>2414</v>
      </c>
      <c r="E639">
        <v>1508</v>
      </c>
      <c r="F639">
        <v>3802</v>
      </c>
      <c r="G639">
        <v>1616</v>
      </c>
      <c r="H639">
        <v>1925</v>
      </c>
      <c r="J639" s="1"/>
      <c r="K639">
        <f t="shared" si="9"/>
        <v>0.19254488257123362</v>
      </c>
      <c r="L639">
        <f>LOG10(E639/C639)-LOG10(37995/47667)</f>
        <v>0.14431286478691843</v>
      </c>
      <c r="M639">
        <f>LOG10(F639/C639)-LOG10(35167/47667)</f>
        <v>0.57951476319890372</v>
      </c>
      <c r="N639">
        <f>LOG10(G639/C639)-LOG10(34734/47667)</f>
        <v>0.21332452858751261</v>
      </c>
      <c r="O639">
        <f>LOG10(H639/C639)-LOG10(33378/47667)</f>
        <v>0.3066083956194402</v>
      </c>
      <c r="Q639">
        <f>AVERAGE(K639:O639)</f>
        <v>0.28726108695280167</v>
      </c>
      <c r="R639">
        <f>STDEV(K639:O639)</f>
        <v>0.17367966050155756</v>
      </c>
    </row>
    <row r="640" spans="1:18">
      <c r="A640">
        <v>638</v>
      </c>
      <c r="C640">
        <v>2159</v>
      </c>
      <c r="D640">
        <v>8281</v>
      </c>
      <c r="E640">
        <v>6566</v>
      </c>
      <c r="F640">
        <v>11888</v>
      </c>
      <c r="G640">
        <v>4508</v>
      </c>
      <c r="H640">
        <v>10057</v>
      </c>
      <c r="J640" s="1"/>
      <c r="K640">
        <f t="shared" si="9"/>
        <v>0.52621760677759666</v>
      </c>
      <c r="L640">
        <f>LOG10(E640/C640)-LOG10(37995/47667)</f>
        <v>0.5815396069719907</v>
      </c>
      <c r="M640">
        <f>LOG10(F640/C640)-LOG10(35167/47667)</f>
        <v>0.87293865241148583</v>
      </c>
      <c r="N640">
        <f>LOG10(G640/C640)-LOG10(34734/47667)</f>
        <v>0.45719428484852043</v>
      </c>
      <c r="O640">
        <f>LOG10(H640/C640)-LOG10(33378/47667)</f>
        <v>0.82297331722875955</v>
      </c>
      <c r="Q640">
        <f>AVERAGE(K640:O640)</f>
        <v>0.65217269364767061</v>
      </c>
      <c r="R640">
        <f>STDEV(K640:O640)</f>
        <v>0.18491941373489321</v>
      </c>
    </row>
    <row r="641" spans="1:18">
      <c r="A641">
        <v>639</v>
      </c>
      <c r="C641">
        <v>1520</v>
      </c>
      <c r="D641">
        <v>8105</v>
      </c>
      <c r="E641">
        <v>2430</v>
      </c>
      <c r="F641">
        <v>1049</v>
      </c>
      <c r="G641">
        <v>2014</v>
      </c>
      <c r="H641">
        <v>1381</v>
      </c>
      <c r="J641" s="1"/>
      <c r="K641">
        <f t="shared" si="9"/>
        <v>0.66929689570940143</v>
      </c>
      <c r="L641">
        <f>LOG10(E641/C641)-LOG10(37995/47667)</f>
        <v>0.30225405656643989</v>
      </c>
      <c r="M641">
        <f>LOG10(F641/C641)-LOG10(35167/47667)</f>
        <v>-2.8985601421998242E-2</v>
      </c>
      <c r="N641">
        <f>LOG10(G641/C641)-LOG10(34734/47667)</f>
        <v>0.2596788980815089</v>
      </c>
      <c r="O641">
        <f>LOG10(H641/C641)-LOG10(33378/47667)</f>
        <v>0.11310760006851654</v>
      </c>
      <c r="Q641">
        <f>AVERAGE(K641:O641)</f>
        <v>0.2630703698007737</v>
      </c>
      <c r="R641">
        <f>STDEV(K641:O641)</f>
        <v>0.26189328760652303</v>
      </c>
    </row>
    <row r="642" spans="1:18">
      <c r="A642">
        <v>640</v>
      </c>
      <c r="C642">
        <v>1333</v>
      </c>
      <c r="D642">
        <v>269</v>
      </c>
      <c r="E642">
        <v>183</v>
      </c>
      <c r="F642">
        <v>170</v>
      </c>
      <c r="G642">
        <v>256</v>
      </c>
      <c r="H642">
        <v>224</v>
      </c>
      <c r="J642" s="1"/>
      <c r="K642">
        <f t="shared" si="9"/>
        <v>-0.75269040494181094</v>
      </c>
      <c r="L642">
        <f>LOG10(E642/C642)-LOG10(37995/47667)</f>
        <v>-0.76388768877052948</v>
      </c>
      <c r="M642">
        <f>LOG10(F642/C642)-LOG10(35167/47667)</f>
        <v>-0.76229872970636881</v>
      </c>
      <c r="N642">
        <f>LOG10(G642/C642)-LOG10(34734/47667)</f>
        <v>-0.57912716429332733</v>
      </c>
      <c r="O642">
        <f>LOG10(H642/C642)-LOG10(33378/47667)</f>
        <v>-0.6198246216450386</v>
      </c>
      <c r="Q642">
        <f>AVERAGE(K642:O642)</f>
        <v>-0.69556572187141508</v>
      </c>
      <c r="R642">
        <f>STDEV(K642:O642)</f>
        <v>8.8993071171193386E-2</v>
      </c>
    </row>
    <row r="643" spans="1:18">
      <c r="A643">
        <v>641</v>
      </c>
      <c r="C643">
        <v>1924</v>
      </c>
      <c r="D643">
        <v>1617</v>
      </c>
      <c r="E643">
        <v>1383</v>
      </c>
      <c r="F643">
        <v>1734</v>
      </c>
      <c r="G643">
        <v>1880</v>
      </c>
      <c r="H643">
        <v>2135</v>
      </c>
      <c r="J643" s="1"/>
      <c r="K643">
        <f t="shared" ref="K643:K706" si="10">LOG10(D643/C643)-LOG10(54429/47667)</f>
        <v>-0.13310758332575276</v>
      </c>
      <c r="L643">
        <f>LOG10(E643/C643)-LOG10(37995/47667)</f>
        <v>-4.4891516679583299E-2</v>
      </c>
      <c r="M643">
        <f>LOG10(F643/C643)-LOG10(35167/47667)</f>
        <v>8.692652376761377E-2</v>
      </c>
      <c r="N643">
        <f>LOG10(G643/C643)-LOG10(34734/47667)</f>
        <v>0.12741580137056802</v>
      </c>
      <c r="O643">
        <f>LOG10(H643/C643)-LOG10(33378/47667)</f>
        <v>0.19995032109390631</v>
      </c>
      <c r="Q643">
        <f>AVERAGE(K643:O643)</f>
        <v>4.7258709245350403E-2</v>
      </c>
      <c r="R643">
        <f>STDEV(K643:O643)</f>
        <v>0.13447777408340983</v>
      </c>
    </row>
    <row r="644" spans="1:18">
      <c r="A644">
        <v>642</v>
      </c>
      <c r="C644">
        <v>3034</v>
      </c>
      <c r="D644">
        <v>2663</v>
      </c>
      <c r="E644">
        <v>2807</v>
      </c>
      <c r="F644">
        <v>2660</v>
      </c>
      <c r="G644">
        <v>3408</v>
      </c>
      <c r="H644">
        <v>3189</v>
      </c>
      <c r="J644" s="1"/>
      <c r="K644">
        <f t="shared" si="10"/>
        <v>-0.11425694554213023</v>
      </c>
      <c r="L644">
        <f>LOG10(E644/C644)-LOG10(37995/47667)</f>
        <v>6.4718207096627678E-2</v>
      </c>
      <c r="M644">
        <f>LOG10(F644/C644)-LOG10(35167/47667)</f>
        <v>7.4948558509571772E-2</v>
      </c>
      <c r="N644">
        <f>LOG10(G644/C644)-LOG10(34734/47667)</f>
        <v>0.18794702945263309</v>
      </c>
      <c r="O644">
        <f>LOG10(H644/C644)-LOG10(33378/47667)</f>
        <v>0.17639645222690528</v>
      </c>
      <c r="Q644">
        <f>AVERAGE(K644:O644)</f>
        <v>7.7950660348721515E-2</v>
      </c>
      <c r="R644">
        <f>STDEV(K644:O644)</f>
        <v>0.12136582030310375</v>
      </c>
    </row>
    <row r="645" spans="1:18">
      <c r="A645">
        <v>643</v>
      </c>
      <c r="C645">
        <v>2639</v>
      </c>
      <c r="D645">
        <v>5719</v>
      </c>
      <c r="E645">
        <v>3735</v>
      </c>
      <c r="F645">
        <v>4808</v>
      </c>
      <c r="G645">
        <v>1973</v>
      </c>
      <c r="H645">
        <v>1791</v>
      </c>
      <c r="J645" s="1"/>
      <c r="K645">
        <f t="shared" si="10"/>
        <v>0.27826817079626281</v>
      </c>
      <c r="L645">
        <f>LOG10(E645/C645)-LOG10(37995/47667)</f>
        <v>0.2493425868442681</v>
      </c>
      <c r="M645">
        <f>LOG10(F645/C645)-LOG10(35167/47667)</f>
        <v>0.39260756710384992</v>
      </c>
      <c r="N645">
        <f>LOG10(G645/C645)-LOG10(34734/47667)</f>
        <v>1.1150714840823778E-2</v>
      </c>
      <c r="O645">
        <f>LOG10(H645/C645)-LOG10(33378/47667)</f>
        <v>-1.3586294936360377E-2</v>
      </c>
      <c r="Q645">
        <f>AVERAGE(K645:O645)</f>
        <v>0.18355654892976886</v>
      </c>
      <c r="R645">
        <f>STDEV(K645:O645)</f>
        <v>0.17719304078900749</v>
      </c>
    </row>
    <row r="646" spans="1:18">
      <c r="A646">
        <v>644</v>
      </c>
      <c r="C646">
        <v>1724</v>
      </c>
      <c r="D646">
        <v>1192</v>
      </c>
      <c r="E646">
        <v>8046</v>
      </c>
      <c r="F646">
        <v>1424</v>
      </c>
      <c r="G646">
        <v>1465</v>
      </c>
      <c r="H646">
        <v>1989</v>
      </c>
      <c r="J646" s="1"/>
      <c r="K646">
        <f t="shared" si="10"/>
        <v>-0.21787354161483613</v>
      </c>
      <c r="L646">
        <f>LOG10(E646/C646)-LOG10(37995/47667)</f>
        <v>0.76753413765944878</v>
      </c>
      <c r="M646">
        <f>LOG10(F646/C646)-LOG10(35167/47667)</f>
        <v>4.9055226141360042E-2</v>
      </c>
      <c r="N646">
        <f>LOG10(G646/C646)-LOG10(34734/47667)</f>
        <v>6.6763383010116542E-2</v>
      </c>
      <c r="O646">
        <f>LOG10(H646/C646)-LOG10(33378/47667)</f>
        <v>0.21685503107039941</v>
      </c>
      <c r="Q646">
        <f>AVERAGE(K646:O646)</f>
        <v>0.1764668472532977</v>
      </c>
      <c r="R646">
        <f>STDEV(K646:O646)</f>
        <v>0.3656380248053091</v>
      </c>
    </row>
    <row r="647" spans="1:18">
      <c r="A647">
        <v>645</v>
      </c>
      <c r="C647">
        <v>1734</v>
      </c>
      <c r="D647">
        <v>1400</v>
      </c>
      <c r="E647">
        <v>983</v>
      </c>
      <c r="F647">
        <v>772</v>
      </c>
      <c r="G647">
        <v>781</v>
      </c>
      <c r="H647">
        <v>687</v>
      </c>
      <c r="J647" s="1"/>
      <c r="K647">
        <f t="shared" si="10"/>
        <v>-0.15053359299231323</v>
      </c>
      <c r="L647">
        <f>LOG10(E647/C647)-LOG10(37995/47667)</f>
        <v>-0.14800420439515566</v>
      </c>
      <c r="M647">
        <f>LOG10(F647/C647)-LOG10(35167/47667)</f>
        <v>-0.21934929447523885</v>
      </c>
      <c r="N647">
        <f>LOG10(G647/C647)-LOG10(34734/47667)</f>
        <v>-0.20893503945420891</v>
      </c>
      <c r="O647">
        <f>LOG10(H647/C647)-LOG10(33378/47667)</f>
        <v>-0.24733484664598324</v>
      </c>
      <c r="Q647">
        <f>AVERAGE(K647:O647)</f>
        <v>-0.19483139559257998</v>
      </c>
      <c r="R647">
        <f>STDEV(K647:O647)</f>
        <v>4.3908238574797614E-2</v>
      </c>
    </row>
    <row r="648" spans="1:18">
      <c r="A648">
        <v>646</v>
      </c>
      <c r="C648">
        <v>1261</v>
      </c>
      <c r="D648">
        <v>119</v>
      </c>
      <c r="E648">
        <v>260</v>
      </c>
      <c r="F648">
        <v>186</v>
      </c>
      <c r="G648">
        <v>187</v>
      </c>
      <c r="H648">
        <v>104</v>
      </c>
      <c r="J648" s="1"/>
      <c r="K648">
        <f t="shared" si="10"/>
        <v>-1.0827806607109107</v>
      </c>
      <c r="L648">
        <f>LOG10(E648/C648)-LOG10(37995/47667)</f>
        <v>-0.58725036768936345</v>
      </c>
      <c r="M648">
        <f>LOG10(F648/C648)-LOG10(35167/47667)</f>
        <v>-0.69911964402594884</v>
      </c>
      <c r="N648">
        <f>LOG10(G648/C648)-LOG10(34734/47667)</f>
        <v>-0.69141046022790043</v>
      </c>
      <c r="O648">
        <f>LOG10(H648/C648)-LOG10(33378/47667)</f>
        <v>-0.9289242378396434</v>
      </c>
      <c r="Q648">
        <f>AVERAGE(K648:O648)</f>
        <v>-0.79789707409875343</v>
      </c>
      <c r="R648">
        <f>STDEV(K648:O648)</f>
        <v>0.20235809231754243</v>
      </c>
    </row>
    <row r="649" spans="1:18">
      <c r="A649">
        <v>647</v>
      </c>
      <c r="C649">
        <v>1464</v>
      </c>
      <c r="D649">
        <v>986</v>
      </c>
      <c r="E649">
        <v>1837</v>
      </c>
      <c r="F649">
        <v>953</v>
      </c>
      <c r="G649">
        <v>1034</v>
      </c>
      <c r="H649">
        <v>1109</v>
      </c>
      <c r="J649" s="1"/>
      <c r="K649">
        <f t="shared" si="10"/>
        <v>-0.22927669731152159</v>
      </c>
      <c r="L649">
        <f>LOG10(E649/C649)-LOG10(37995/47667)</f>
        <v>0.19705945049633555</v>
      </c>
      <c r="M649">
        <f>LOG10(F649/C649)-LOG10(35167/47667)</f>
        <v>-5.4365677754830227E-2</v>
      </c>
      <c r="N649">
        <f>LOG10(G649/C649)-LOG10(34734/47667)</f>
        <v>-1.3557518155767112E-2</v>
      </c>
      <c r="O649">
        <f>LOG10(H649/C649)-LOG10(33378/47667)</f>
        <v>3.41479788614448E-2</v>
      </c>
      <c r="Q649">
        <f>AVERAGE(K649:O649)</f>
        <v>-1.3198492772867715E-2</v>
      </c>
      <c r="R649">
        <f>STDEV(K649:O649)</f>
        <v>0.1539762543212648</v>
      </c>
    </row>
    <row r="650" spans="1:18">
      <c r="A650">
        <v>648</v>
      </c>
      <c r="C650">
        <v>1615</v>
      </c>
      <c r="D650">
        <v>463</v>
      </c>
      <c r="E650">
        <v>393</v>
      </c>
      <c r="F650">
        <v>356</v>
      </c>
      <c r="G650">
        <v>425</v>
      </c>
      <c r="H650">
        <v>374</v>
      </c>
      <c r="J650" s="1"/>
      <c r="K650">
        <f t="shared" si="10"/>
        <v>-0.60020407117952823</v>
      </c>
      <c r="L650">
        <f>LOG10(E650/C650)-LOG10(37995/47667)</f>
        <v>-0.51528860537879473</v>
      </c>
      <c r="M650">
        <f>LOG10(F650/C650)-LOG10(35167/47667)</f>
        <v>-0.52464003036503004</v>
      </c>
      <c r="N650">
        <f>LOG10(G650/C650)-LOG10(34734/47667)</f>
        <v>-0.44232057680812797</v>
      </c>
      <c r="O650">
        <f>LOG10(H650/C650)-LOG10(33378/47667)</f>
        <v>-0.48054341503198372</v>
      </c>
      <c r="Q650">
        <f>AVERAGE(K650:O650)</f>
        <v>-0.51259933975269301</v>
      </c>
      <c r="R650">
        <f>STDEV(K650:O650)</f>
        <v>5.8722836654737223E-2</v>
      </c>
    </row>
    <row r="651" spans="1:18">
      <c r="A651">
        <v>649</v>
      </c>
      <c r="C651">
        <v>4770</v>
      </c>
      <c r="D651">
        <v>8509</v>
      </c>
      <c r="E651">
        <v>7746</v>
      </c>
      <c r="F651">
        <v>24207</v>
      </c>
      <c r="G651">
        <v>6610</v>
      </c>
      <c r="H651">
        <v>6583</v>
      </c>
      <c r="J651" s="1"/>
      <c r="K651">
        <f t="shared" si="10"/>
        <v>0.19374760908630964</v>
      </c>
      <c r="L651">
        <f>LOG10(E651/C651)-LOG10(37995/47667)</f>
        <v>0.30905048452285033</v>
      </c>
      <c r="M651">
        <f>LOG10(F651/C651)-LOG10(35167/47667)</f>
        <v>0.83750508947531033</v>
      </c>
      <c r="N651">
        <f>LOG10(G651/C651)-LOG10(34734/47667)</f>
        <v>0.27914610025420861</v>
      </c>
      <c r="O651">
        <f>LOG10(H651/C651)-LOG10(33378/47667)</f>
        <v>0.29466298548662267</v>
      </c>
      <c r="Q651">
        <f>AVERAGE(K651:O651)</f>
        <v>0.3828224537650603</v>
      </c>
      <c r="R651">
        <f>STDEV(K651:O651)</f>
        <v>0.25809338313730124</v>
      </c>
    </row>
    <row r="652" spans="1:18">
      <c r="A652">
        <v>650</v>
      </c>
      <c r="C652">
        <v>1885</v>
      </c>
      <c r="D652">
        <v>606</v>
      </c>
      <c r="E652">
        <v>432</v>
      </c>
      <c r="F652">
        <v>375</v>
      </c>
      <c r="G652">
        <v>668</v>
      </c>
      <c r="H652">
        <v>512</v>
      </c>
      <c r="J652" s="1"/>
      <c r="K652">
        <f t="shared" si="10"/>
        <v>-0.55045126590588522</v>
      </c>
      <c r="L652">
        <f>LOG10(E652/C652)-LOG10(37995/47667)</f>
        <v>-0.54133623681399923</v>
      </c>
      <c r="M652">
        <f>LOG10(F652/C652)-LOG10(35167/47667)</f>
        <v>-0.56919758848487634</v>
      </c>
      <c r="N652">
        <f>LOG10(G652/C652)-LOG10(34734/47667)</f>
        <v>-0.31307187225758371</v>
      </c>
      <c r="O652">
        <f>LOG10(H652/C652)-LOG10(33378/47667)</f>
        <v>-0.41128388413132311</v>
      </c>
      <c r="Q652">
        <f>AVERAGE(K652:O652)</f>
        <v>-0.47706816951873349</v>
      </c>
      <c r="R652">
        <f>STDEV(K652:O652)</f>
        <v>0.11093427205734674</v>
      </c>
    </row>
    <row r="653" spans="1:18">
      <c r="A653">
        <v>651</v>
      </c>
      <c r="C653">
        <v>2587</v>
      </c>
      <c r="D653">
        <v>6013</v>
      </c>
      <c r="E653">
        <v>1518</v>
      </c>
      <c r="F653">
        <v>2976</v>
      </c>
      <c r="G653">
        <v>2450</v>
      </c>
      <c r="H653">
        <v>3322</v>
      </c>
      <c r="J653" s="1"/>
      <c r="K653">
        <f t="shared" si="10"/>
        <v>0.30868223959859598</v>
      </c>
      <c r="L653">
        <f>LOG10(E653/C653)-LOG10(37995/47667)</f>
        <v>-0.13303328624418165</v>
      </c>
      <c r="M653">
        <f>LOG10(F653/C653)-LOG10(35167/47667)</f>
        <v>0.19291899648651412</v>
      </c>
      <c r="N653">
        <f>LOG10(G653/C653)-LOG10(34734/47667)</f>
        <v>0.11383267545667133</v>
      </c>
      <c r="O653">
        <f>LOG10(H653/C653)-LOG10(33378/47667)</f>
        <v>0.26336070883349005</v>
      </c>
      <c r="Q653">
        <f>AVERAGE(K653:O653)</f>
        <v>0.14915226682621796</v>
      </c>
      <c r="R653">
        <f>STDEV(K653:O653)</f>
        <v>0.17413002825460677</v>
      </c>
    </row>
    <row r="654" spans="1:18">
      <c r="A654">
        <v>652</v>
      </c>
      <c r="C654">
        <v>2333</v>
      </c>
      <c r="D654">
        <v>2396</v>
      </c>
      <c r="E654">
        <v>2186</v>
      </c>
      <c r="F654">
        <v>2102</v>
      </c>
      <c r="G654">
        <v>3373</v>
      </c>
      <c r="H654">
        <v>2254</v>
      </c>
      <c r="J654" s="1"/>
      <c r="K654">
        <f t="shared" si="10"/>
        <v>-4.6040460606838647E-2</v>
      </c>
      <c r="L654">
        <f>LOG10(E654/C654)-LOG10(37995/47667)</f>
        <v>7.0226789732831585E-2</v>
      </c>
      <c r="M654">
        <f>LOG10(F654/C654)-LOG10(35167/47667)</f>
        <v>8.6800471227687248E-2</v>
      </c>
      <c r="N654">
        <f>LOG10(G654/C654)-LOG10(34734/47667)</f>
        <v>0.29756462220413116</v>
      </c>
      <c r="O654">
        <f>LOG10(H654/C654)-LOG10(33378/47667)</f>
        <v>0.13979668235099291</v>
      </c>
      <c r="Q654">
        <f>AVERAGE(K654:O654)</f>
        <v>0.10966962098176085</v>
      </c>
      <c r="R654">
        <f>STDEV(K654:O654)</f>
        <v>0.12503653042894514</v>
      </c>
    </row>
    <row r="655" spans="1:18">
      <c r="A655">
        <v>653</v>
      </c>
      <c r="C655">
        <v>2227</v>
      </c>
      <c r="D655">
        <v>2910</v>
      </c>
      <c r="E655">
        <v>3495</v>
      </c>
      <c r="F655">
        <v>5204</v>
      </c>
      <c r="G655">
        <v>3220</v>
      </c>
      <c r="H655">
        <v>5412</v>
      </c>
      <c r="J655" s="1"/>
      <c r="K655">
        <f t="shared" si="10"/>
        <v>5.8560236421509364E-2</v>
      </c>
      <c r="L655">
        <f>LOG10(E655/C655)-LOG10(37995/47667)</f>
        <v>0.29421833396056229</v>
      </c>
      <c r="M655">
        <f>LOG10(F655/C655)-LOG10(35167/47667)</f>
        <v>0.50069956918472691</v>
      </c>
      <c r="N655">
        <f>LOG10(G655/C655)-LOG10(34734/47667)</f>
        <v>0.297598674470475</v>
      </c>
      <c r="O655">
        <f>LOG10(H655/C655)-LOG10(33378/47667)</f>
        <v>0.54039508032620498</v>
      </c>
      <c r="Q655">
        <f>AVERAGE(K655:O655)</f>
        <v>0.3382943788726957</v>
      </c>
      <c r="R655">
        <f>STDEV(K655:O655)</f>
        <v>0.19304803023669878</v>
      </c>
    </row>
    <row r="656" spans="1:18">
      <c r="A656">
        <v>654</v>
      </c>
      <c r="C656">
        <v>2319</v>
      </c>
      <c r="D656">
        <v>748</v>
      </c>
      <c r="E656">
        <v>2074</v>
      </c>
      <c r="F656">
        <v>586</v>
      </c>
      <c r="G656">
        <v>621</v>
      </c>
      <c r="H656">
        <v>471</v>
      </c>
      <c r="J656" s="1"/>
      <c r="K656">
        <f t="shared" si="10"/>
        <v>-0.54901168630388575</v>
      </c>
      <c r="L656">
        <f>LOG10(E656/C656)-LOG10(37995/47667)</f>
        <v>4.999937432793506E-2</v>
      </c>
      <c r="M656">
        <f>LOG10(F656/C656)-LOG10(35167/47667)</f>
        <v>-0.46532063429068027</v>
      </c>
      <c r="N656">
        <f>LOG10(G656/C656)-LOG10(34734/47667)</f>
        <v>-0.43474612865272488</v>
      </c>
      <c r="O656">
        <f>LOG10(H656/C656)-LOG10(33378/47667)</f>
        <v>-0.53752233207443334</v>
      </c>
      <c r="Q656">
        <f>AVERAGE(K656:O656)</f>
        <v>-0.38732028139875785</v>
      </c>
      <c r="R656">
        <f>STDEV(K656:O656)</f>
        <v>0.24914178381561486</v>
      </c>
    </row>
    <row r="657" spans="1:18">
      <c r="A657">
        <v>655</v>
      </c>
      <c r="C657">
        <v>1225</v>
      </c>
      <c r="D657">
        <v>2539</v>
      </c>
      <c r="E657">
        <v>4133</v>
      </c>
      <c r="F657">
        <v>945</v>
      </c>
      <c r="G657">
        <v>1835</v>
      </c>
      <c r="H657">
        <v>1217</v>
      </c>
      <c r="J657" s="1"/>
      <c r="K657">
        <f t="shared" si="10"/>
        <v>0.25891407664281119</v>
      </c>
      <c r="L657">
        <f>LOG10(E657/C657)-LOG10(37995/47667)</f>
        <v>0.62662068749405719</v>
      </c>
      <c r="M657">
        <f>LOG10(F657/C657)-LOG10(35167/47667)</f>
        <v>1.9378218137928144E-2</v>
      </c>
      <c r="N657">
        <f>LOG10(G657/C657)-LOG10(34734/47667)</f>
        <v>0.31296299969623914</v>
      </c>
      <c r="O657">
        <f>LOG10(H657/C657)-LOG10(33378/47667)</f>
        <v>0.15191199896417154</v>
      </c>
      <c r="Q657">
        <f>AVERAGE(K657:O657)</f>
        <v>0.27395759618704141</v>
      </c>
      <c r="R657">
        <f>STDEV(K657:O657)</f>
        <v>0.22683957573733352</v>
      </c>
    </row>
    <row r="658" spans="1:18">
      <c r="A658">
        <v>656</v>
      </c>
      <c r="C658">
        <v>4891</v>
      </c>
      <c r="D658">
        <v>4597</v>
      </c>
      <c r="E658">
        <v>5450</v>
      </c>
      <c r="F658">
        <v>3862</v>
      </c>
      <c r="G658">
        <v>5287</v>
      </c>
      <c r="H658">
        <v>4048</v>
      </c>
      <c r="J658" s="1"/>
      <c r="K658">
        <f t="shared" si="10"/>
        <v>-8.4535694601332464E-2</v>
      </c>
      <c r="L658">
        <f>LOG10(E658/C658)-LOG10(37995/47667)</f>
        <v>0.14549021036826035</v>
      </c>
      <c r="M658">
        <f>LOG10(F658/C658)-LOG10(35167/47667)</f>
        <v>2.9497104951310027E-2</v>
      </c>
      <c r="N658">
        <f>LOG10(G658/C658)-LOG10(34734/47667)</f>
        <v>0.17127466739251135</v>
      </c>
      <c r="O658">
        <f>LOG10(H658/C658)-LOG10(33378/47667)</f>
        <v>7.2600350445118145E-2</v>
      </c>
      <c r="Q658">
        <f>AVERAGE(K658:O658)</f>
        <v>6.6865327711173483E-2</v>
      </c>
      <c r="R658">
        <f>STDEV(K658:O658)</f>
        <v>0.10177760866319668</v>
      </c>
    </row>
    <row r="659" spans="1:18">
      <c r="A659">
        <v>657</v>
      </c>
      <c r="C659">
        <v>1323</v>
      </c>
      <c r="D659">
        <v>1438</v>
      </c>
      <c r="E659">
        <v>1207</v>
      </c>
      <c r="F659">
        <v>878</v>
      </c>
      <c r="G659">
        <v>780</v>
      </c>
      <c r="H659">
        <v>1194</v>
      </c>
      <c r="J659" s="1"/>
      <c r="K659">
        <f t="shared" si="10"/>
        <v>-2.1413493670996958E-2</v>
      </c>
      <c r="L659">
        <f>LOG10(E659/C659)-LOG10(37995/47667)</f>
        <v>5.8638796822748487E-2</v>
      </c>
      <c r="M659">
        <f>LOG10(F659/C659)-LOG10(35167/47667)</f>
        <v>-4.5982829952182003E-2</v>
      </c>
      <c r="N659">
        <f>LOG10(G659/C659)-LOG10(34734/47667)</f>
        <v>-9.2002221688338326E-2</v>
      </c>
      <c r="O659">
        <f>LOG10(H659/C659)-LOG10(33378/47667)</f>
        <v>0.1102019920405071</v>
      </c>
      <c r="Q659">
        <f>AVERAGE(K659:O659)</f>
        <v>1.8884487103476594E-3</v>
      </c>
      <c r="R659">
        <f>STDEV(K659:O659)</f>
        <v>8.1551400213388067E-2</v>
      </c>
    </row>
    <row r="660" spans="1:18">
      <c r="A660">
        <v>658</v>
      </c>
      <c r="C660">
        <v>2541</v>
      </c>
      <c r="D660">
        <v>3366</v>
      </c>
      <c r="E660">
        <v>2269</v>
      </c>
      <c r="F660">
        <v>4987</v>
      </c>
      <c r="G660">
        <v>3540</v>
      </c>
      <c r="H660">
        <v>2015</v>
      </c>
      <c r="J660" s="1"/>
      <c r="K660">
        <f t="shared" si="10"/>
        <v>6.4496911059075929E-2</v>
      </c>
      <c r="L660">
        <f>LOG10(E660/C660)-LOG10(37995/47667)</f>
        <v>4.9321201747466868E-2</v>
      </c>
      <c r="M660">
        <f>LOG10(F660/C660)-LOG10(35167/47667)</f>
        <v>0.42491720149721013</v>
      </c>
      <c r="N660">
        <f>LOG10(G660/C660)-LOG10(34734/47667)</f>
        <v>0.28146161678410075</v>
      </c>
      <c r="O660">
        <f>LOG10(H660/C660)-LOG10(33378/47667)</f>
        <v>5.4027894861416681E-2</v>
      </c>
      <c r="Q660">
        <f>AVERAGE(K660:O660)</f>
        <v>0.1748449651898541</v>
      </c>
      <c r="R660">
        <f>STDEV(K660:O660)</f>
        <v>0.17061133204660467</v>
      </c>
    </row>
    <row r="661" spans="1:18">
      <c r="A661">
        <v>659</v>
      </c>
      <c r="C661">
        <v>2216</v>
      </c>
      <c r="D661">
        <v>2950</v>
      </c>
      <c r="E661">
        <v>2252</v>
      </c>
      <c r="F661">
        <v>2133</v>
      </c>
      <c r="G661">
        <v>2265</v>
      </c>
      <c r="H661">
        <v>3953</v>
      </c>
      <c r="J661" s="1"/>
      <c r="K661">
        <f t="shared" si="10"/>
        <v>6.6639724391411109E-2</v>
      </c>
      <c r="L661">
        <f>LOG10(E661/C661)-LOG10(37995/47667)</f>
        <v>0.10549000103581674</v>
      </c>
      <c r="M661">
        <f>LOG10(F661/C661)-LOG10(35167/47667)</f>
        <v>0.11550359772225306</v>
      </c>
      <c r="N661">
        <f>LOG10(G661/C661)-LOG10(34734/47667)</f>
        <v>0.14696147010114086</v>
      </c>
      <c r="O661">
        <f>LOG10(H661/C661)-LOG10(33378/47667)</f>
        <v>0.40611456772123633</v>
      </c>
      <c r="Q661">
        <f>AVERAGE(K661:O661)</f>
        <v>0.16814187219437163</v>
      </c>
      <c r="R661">
        <f>STDEV(K661:O661)</f>
        <v>0.13608668575290264</v>
      </c>
    </row>
    <row r="662" spans="1:18">
      <c r="A662">
        <v>660</v>
      </c>
      <c r="C662">
        <v>3283</v>
      </c>
      <c r="D662">
        <v>4225</v>
      </c>
      <c r="E662">
        <v>11479</v>
      </c>
      <c r="F662">
        <v>3020</v>
      </c>
      <c r="G662">
        <v>8411</v>
      </c>
      <c r="H662">
        <v>3890</v>
      </c>
      <c r="J662" s="1"/>
      <c r="K662">
        <f t="shared" si="10"/>
        <v>5.1943295026011284E-2</v>
      </c>
      <c r="L662">
        <f>LOG10(E662/C662)-LOG10(37995/47667)</f>
        <v>0.6421245440679656</v>
      </c>
      <c r="M662">
        <f>LOG10(F662/C662)-LOG10(35167/47667)</f>
        <v>9.5818558557027006E-2</v>
      </c>
      <c r="N662">
        <f>LOG10(G662/C662)-LOG10(34734/47667)</f>
        <v>0.54603977005487936</v>
      </c>
      <c r="O662">
        <f>LOG10(H662/C662)-LOG10(33378/47667)</f>
        <v>0.22843622803102548</v>
      </c>
      <c r="Q662">
        <f>AVERAGE(K662:O662)</f>
        <v>0.3128724791473817</v>
      </c>
      <c r="R662">
        <f>STDEV(K662:O662)</f>
        <v>0.26697370276680932</v>
      </c>
    </row>
    <row r="663" spans="1:18">
      <c r="A663">
        <v>661</v>
      </c>
      <c r="C663">
        <v>1878</v>
      </c>
      <c r="D663">
        <v>1844</v>
      </c>
      <c r="E663">
        <v>912</v>
      </c>
      <c r="F663">
        <v>14478</v>
      </c>
      <c r="G663">
        <v>1195</v>
      </c>
      <c r="H663">
        <v>1065</v>
      </c>
      <c r="J663" s="1"/>
      <c r="K663">
        <f t="shared" si="10"/>
        <v>-6.5547206742841327E-2</v>
      </c>
      <c r="L663">
        <f>LOG10(E663/C663)-LOG10(37995/47667)</f>
        <v>-0.21520937868877568</v>
      </c>
      <c r="M663">
        <f>LOG10(F663/C663)-LOG10(35167/47667)</f>
        <v>1.0190954826915537</v>
      </c>
      <c r="N663">
        <f>LOG10(G663/C663)-LOG10(34734/47667)</f>
        <v>-5.886466283725339E-2</v>
      </c>
      <c r="O663">
        <f>LOG10(H663/C663)-LOG10(33378/47667)</f>
        <v>-9.15884707206778E-2</v>
      </c>
      <c r="Q663">
        <f>AVERAGE(K663:O663)</f>
        <v>0.11757715274040112</v>
      </c>
      <c r="R663">
        <f>STDEV(K663:O663)</f>
        <v>0.50791206869322525</v>
      </c>
    </row>
    <row r="664" spans="1:18">
      <c r="A664">
        <v>662</v>
      </c>
      <c r="C664">
        <v>1530</v>
      </c>
      <c r="D664">
        <v>7640</v>
      </c>
      <c r="E664">
        <v>1525</v>
      </c>
      <c r="F664">
        <v>1348</v>
      </c>
      <c r="G664">
        <v>918</v>
      </c>
      <c r="H664">
        <v>862</v>
      </c>
      <c r="J664" s="1"/>
      <c r="K664">
        <f t="shared" si="10"/>
        <v>0.64078939222773146</v>
      </c>
      <c r="L664">
        <f>LOG10(E664/C664)-LOG10(37995/47667)</f>
        <v>9.70697837781061E-2</v>
      </c>
      <c r="M664">
        <f>LOG10(F664/C664)-LOG10(35167/47667)</f>
        <v>7.7080959710918662E-2</v>
      </c>
      <c r="N664">
        <f>LOG10(G664/C664)-LOG10(34734/47667)</f>
        <v>-8.4385729807674115E-2</v>
      </c>
      <c r="O664">
        <f>LOG10(H664/C664)-LOG10(33378/47667)</f>
        <v>-9.4426655558228212E-2</v>
      </c>
      <c r="Q664">
        <f>AVERAGE(K664:O664)</f>
        <v>0.12722555007017075</v>
      </c>
      <c r="R664">
        <f>STDEV(K664:O664)</f>
        <v>0.30044995597689328</v>
      </c>
    </row>
    <row r="665" spans="1:18">
      <c r="A665">
        <v>663</v>
      </c>
      <c r="C665">
        <v>2073</v>
      </c>
      <c r="D665">
        <v>956</v>
      </c>
      <c r="E665">
        <v>1458</v>
      </c>
      <c r="F665">
        <v>1239</v>
      </c>
      <c r="G665">
        <v>892</v>
      </c>
      <c r="H665">
        <v>10273</v>
      </c>
      <c r="J665" s="1"/>
      <c r="K665">
        <f t="shared" si="10"/>
        <v>-0.39375394534812053</v>
      </c>
      <c r="L665">
        <f>LOG10(E665/C665)-LOG10(37995/47667)</f>
        <v>-5.4350407199004774E-2</v>
      </c>
      <c r="M665">
        <f>LOG10(F665/C665)-LOG10(35167/47667)</f>
        <v>-9.1445497388580932E-2</v>
      </c>
      <c r="N665">
        <f>LOG10(G665/C665)-LOG10(34734/47667)</f>
        <v>-0.2287714279090555</v>
      </c>
      <c r="O665">
        <f>LOG10(H665/C665)-LOG10(33378/47667)</f>
        <v>0.84985549545493944</v>
      </c>
      <c r="Q665">
        <f>AVERAGE(K665:O665)</f>
        <v>1.6306843522035531E-2</v>
      </c>
      <c r="R665">
        <f>STDEV(K665:O665)</f>
        <v>0.48466988221025281</v>
      </c>
    </row>
    <row r="666" spans="1:18">
      <c r="A666">
        <v>664</v>
      </c>
      <c r="C666">
        <v>2062</v>
      </c>
      <c r="D666">
        <v>2150</v>
      </c>
      <c r="E666">
        <v>1467</v>
      </c>
      <c r="F666">
        <v>1918</v>
      </c>
      <c r="G666">
        <v>1631</v>
      </c>
      <c r="H666">
        <v>1503</v>
      </c>
      <c r="J666" s="1"/>
      <c r="K666">
        <f t="shared" si="10"/>
        <v>-3.946273656225216E-2</v>
      </c>
      <c r="L666">
        <f>LOG10(E666/C666)-LOG10(37995/47667)</f>
        <v>-4.936717619131481E-2</v>
      </c>
      <c r="M666">
        <f>LOG10(F666/C666)-LOG10(35167/47667)</f>
        <v>0.10064244021636351</v>
      </c>
      <c r="N666">
        <f>LOG10(G666/C666)-LOG10(34734/47667)</f>
        <v>3.5628319901460342E-2</v>
      </c>
      <c r="O666">
        <f>LOG10(H666/C666)-LOG10(33378/47667)</f>
        <v>1.7427829074068174E-2</v>
      </c>
      <c r="Q666">
        <f>AVERAGE(K666:O666)</f>
        <v>1.2973735287665012E-2</v>
      </c>
      <c r="R666">
        <f>STDEV(K666:O666)</f>
        <v>6.0940224407721955E-2</v>
      </c>
    </row>
    <row r="667" spans="1:18">
      <c r="A667">
        <v>665</v>
      </c>
      <c r="C667">
        <v>2700</v>
      </c>
      <c r="D667">
        <v>1161</v>
      </c>
      <c r="E667">
        <v>1569</v>
      </c>
      <c r="F667">
        <v>1557</v>
      </c>
      <c r="G667">
        <v>1674</v>
      </c>
      <c r="H667">
        <v>1715</v>
      </c>
      <c r="J667" s="1"/>
      <c r="K667">
        <f t="shared" si="10"/>
        <v>-0.42414407995077325</v>
      </c>
      <c r="L667">
        <f>LOG10(E667/C667)-LOG10(37995/47667)</f>
        <v>-0.13724944965915037</v>
      </c>
      <c r="M667">
        <f>LOG10(F667/C667)-LOG10(35167/47667)</f>
        <v>-0.10699265326165058</v>
      </c>
      <c r="N667">
        <f>LOG10(G667/C667)-LOG10(34734/47667)</f>
        <v>-7.0145290693063855E-2</v>
      </c>
      <c r="O667">
        <f>LOG10(H667/C667)-LOG10(33378/47667)</f>
        <v>-4.2342130345540213E-2</v>
      </c>
      <c r="Q667">
        <f>AVERAGE(K667:O667)</f>
        <v>-0.15617472078203568</v>
      </c>
      <c r="R667">
        <f>STDEV(K667:O667)</f>
        <v>0.15406454864185537</v>
      </c>
    </row>
    <row r="668" spans="1:18">
      <c r="A668">
        <v>666</v>
      </c>
      <c r="C668">
        <v>1277</v>
      </c>
      <c r="D668">
        <v>850</v>
      </c>
      <c r="E668">
        <v>891</v>
      </c>
      <c r="F668">
        <v>563</v>
      </c>
      <c r="G668">
        <v>799</v>
      </c>
      <c r="H668">
        <v>615</v>
      </c>
      <c r="J668" s="1"/>
      <c r="K668">
        <f t="shared" si="10"/>
        <v>-0.2343845070794823</v>
      </c>
      <c r="L668">
        <f>LOG10(E668/C668)-LOG10(37995/47667)</f>
        <v>-5.782182231364022E-2</v>
      </c>
      <c r="M668">
        <f>LOG10(F668/C668)-LOG10(35167/47667)</f>
        <v>-0.2236000040828526</v>
      </c>
      <c r="N668">
        <f>LOG10(G668/C668)-LOG10(34734/47667)</f>
        <v>-6.6181098140741634E-2</v>
      </c>
      <c r="O668">
        <f>LOG10(H668/C668)-LOG10(33378/47667)</f>
        <v>-0.16255827205334075</v>
      </c>
      <c r="Q668">
        <f>AVERAGE(K668:O668)</f>
        <v>-0.14890914073401151</v>
      </c>
      <c r="R668">
        <f>STDEV(K668:O668)</f>
        <v>8.3981978295625981E-2</v>
      </c>
    </row>
    <row r="669" spans="1:18">
      <c r="A669">
        <v>667</v>
      </c>
      <c r="C669">
        <v>2137</v>
      </c>
      <c r="D669">
        <v>1529</v>
      </c>
      <c r="E669">
        <v>1272</v>
      </c>
      <c r="F669">
        <v>905</v>
      </c>
      <c r="G669">
        <v>889</v>
      </c>
      <c r="H669">
        <v>1741</v>
      </c>
      <c r="J669" s="1"/>
      <c r="K669">
        <f t="shared" si="10"/>
        <v>-0.20300957228210903</v>
      </c>
      <c r="L669">
        <f>LOG10(E669/C669)-LOG10(37995/47667)</f>
        <v>-0.12682603993877412</v>
      </c>
      <c r="M669">
        <f>LOG10(F669/C669)-LOG10(35167/47667)</f>
        <v>-0.24107344462964966</v>
      </c>
      <c r="N669">
        <f>LOG10(G669/C669)-LOG10(34734/47667)</f>
        <v>-0.24343974138517341</v>
      </c>
      <c r="O669">
        <f>LOG10(H669/C669)-LOG10(33378/47667)</f>
        <v>6.5751758387919579E-2</v>
      </c>
      <c r="Q669">
        <f>AVERAGE(K669:O669)</f>
        <v>-0.14971940796955735</v>
      </c>
      <c r="R669">
        <f>STDEV(K669:O669)</f>
        <v>0.12934530562928331</v>
      </c>
    </row>
    <row r="670" spans="1:18">
      <c r="A670">
        <v>668</v>
      </c>
      <c r="C670">
        <v>3203</v>
      </c>
      <c r="D670">
        <v>2139</v>
      </c>
      <c r="E670">
        <v>1834</v>
      </c>
      <c r="F670">
        <v>1589</v>
      </c>
      <c r="G670">
        <v>2542</v>
      </c>
      <c r="H670">
        <v>1855</v>
      </c>
      <c r="J670" s="1"/>
      <c r="K670">
        <f t="shared" si="10"/>
        <v>-0.23295868962265354</v>
      </c>
      <c r="L670">
        <f>LOG10(E670/C670)-LOG10(37995/47667)</f>
        <v>-0.14366623641691925</v>
      </c>
      <c r="M670">
        <f>LOG10(F670/C670)-LOG10(35167/47667)</f>
        <v>-0.17235054312722578</v>
      </c>
      <c r="N670">
        <f>LOG10(G670/C670)-LOG10(34734/47667)</f>
        <v>3.7081627362849881E-2</v>
      </c>
      <c r="O670">
        <f>LOG10(H670/C670)-LOG10(33378/47667)</f>
        <v>-8.2455515278099328E-2</v>
      </c>
      <c r="Q670">
        <f>AVERAGE(K670:O670)</f>
        <v>-0.11886987141640959</v>
      </c>
      <c r="R670">
        <f>STDEV(K670:O670)</f>
        <v>0.10263792635770785</v>
      </c>
    </row>
    <row r="671" spans="1:18">
      <c r="A671">
        <v>669</v>
      </c>
      <c r="C671">
        <v>2064</v>
      </c>
      <c r="D671">
        <v>4900</v>
      </c>
      <c r="E671">
        <v>1866</v>
      </c>
      <c r="F671">
        <v>2038</v>
      </c>
      <c r="G671">
        <v>1665</v>
      </c>
      <c r="H671">
        <v>5598</v>
      </c>
      <c r="J671" s="1"/>
      <c r="K671">
        <f t="shared" si="10"/>
        <v>0.3178738515429802</v>
      </c>
      <c r="L671">
        <f>LOG10(E671/C671)-LOG10(37995/47667)</f>
        <v>5.4693317368207671E-2</v>
      </c>
      <c r="M671">
        <f>LOG10(F671/C671)-LOG10(35167/47667)</f>
        <v>0.12657698504445028</v>
      </c>
      <c r="N671">
        <f>LOG10(G671/C671)-LOG10(34734/47667)</f>
        <v>4.4167564695847206E-2</v>
      </c>
      <c r="O671">
        <f>LOG10(H671/C671)-LOG10(33378/47667)</f>
        <v>0.58808071060962763</v>
      </c>
      <c r="Q671">
        <f>AVERAGE(K671:O671)</f>
        <v>0.22627848585222257</v>
      </c>
      <c r="R671">
        <f>STDEV(K671:O671)</f>
        <v>0.23012866388548009</v>
      </c>
    </row>
    <row r="672" spans="1:18">
      <c r="A672">
        <v>670</v>
      </c>
      <c r="C672">
        <v>1545</v>
      </c>
      <c r="D672">
        <v>2017</v>
      </c>
      <c r="E672">
        <v>7488</v>
      </c>
      <c r="F672">
        <v>2705</v>
      </c>
      <c r="G672">
        <v>7433</v>
      </c>
      <c r="H672">
        <v>3176</v>
      </c>
      <c r="J672" s="1"/>
      <c r="K672">
        <f t="shared" si="10"/>
        <v>5.8164878921552206E-2</v>
      </c>
      <c r="L672">
        <f>LOG10(E672/C672)-LOG10(37995/47667)</f>
        <v>0.7839287228820957</v>
      </c>
      <c r="M672">
        <f>LOG10(F672/C672)-LOG10(35167/47667)</f>
        <v>0.37532128401095122</v>
      </c>
      <c r="N672">
        <f>LOG10(G672/C672)-LOG10(34734/47667)</f>
        <v>0.81969866885077824</v>
      </c>
      <c r="O672">
        <f>LOG10(H672/C672)-LOG10(33378/47667)</f>
        <v>0.46770951942886296</v>
      </c>
      <c r="Q672">
        <f>AVERAGE(K672:O672)</f>
        <v>0.50096461481884802</v>
      </c>
      <c r="R672">
        <f>STDEV(K672:O672)</f>
        <v>0.31409546228347268</v>
      </c>
    </row>
    <row r="673" spans="1:18">
      <c r="A673">
        <v>671</v>
      </c>
      <c r="C673">
        <v>3769</v>
      </c>
      <c r="D673">
        <v>6389</v>
      </c>
      <c r="E673">
        <v>5796</v>
      </c>
      <c r="F673">
        <v>3386</v>
      </c>
      <c r="G673">
        <v>4679</v>
      </c>
      <c r="H673">
        <v>6432</v>
      </c>
      <c r="J673" s="1"/>
      <c r="K673">
        <f t="shared" si="10"/>
        <v>0.17159421515217521</v>
      </c>
      <c r="L673">
        <f>LOG10(E673/C673)-LOG10(37995/47667)</f>
        <v>0.28539361026243226</v>
      </c>
      <c r="M673">
        <f>LOG10(F673/C673)-LOG10(35167/47667)</f>
        <v>8.5543314652527958E-2</v>
      </c>
      <c r="N673">
        <f>LOG10(G673/C673)-LOG10(34734/47667)</f>
        <v>0.23138992755125753</v>
      </c>
      <c r="O673">
        <f>LOG10(H673/C673)-LOG10(33378/47667)</f>
        <v>0.38687740772544771</v>
      </c>
      <c r="Q673">
        <f>AVERAGE(K673:O673)</f>
        <v>0.23215969506876816</v>
      </c>
      <c r="R673">
        <f>STDEV(K673:O673)</f>
        <v>0.11394796317012316</v>
      </c>
    </row>
    <row r="674" spans="1:18">
      <c r="A674">
        <v>672</v>
      </c>
      <c r="C674">
        <v>1364</v>
      </c>
      <c r="D674">
        <v>4356</v>
      </c>
      <c r="E674">
        <v>8618</v>
      </c>
      <c r="F674">
        <v>4993</v>
      </c>
      <c r="G674">
        <v>10927</v>
      </c>
      <c r="H674">
        <v>5796</v>
      </c>
      <c r="J674" s="1"/>
      <c r="K674">
        <f t="shared" si="10"/>
        <v>0.44666096523291748</v>
      </c>
      <c r="L674">
        <f>LOG10(E674/C674)-LOG10(37995/47667)</f>
        <v>0.89908349034478918</v>
      </c>
      <c r="M674">
        <f>LOG10(F674/C674)-LOG10(35167/47667)</f>
        <v>0.6956296940638661</v>
      </c>
      <c r="N674">
        <f>LOG10(G674/C674)-LOG10(34734/47667)</f>
        <v>1.0411495925648966</v>
      </c>
      <c r="O674">
        <f>LOG10(H674/C674)-LOG10(33378/47667)</f>
        <v>0.78307151591333468</v>
      </c>
      <c r="Q674">
        <f>AVERAGE(K674:O674)</f>
        <v>0.77311905162396077</v>
      </c>
      <c r="R674">
        <f>STDEV(K674:O674)</f>
        <v>0.22382244355177677</v>
      </c>
    </row>
    <row r="675" spans="1:18">
      <c r="A675">
        <v>673</v>
      </c>
      <c r="C675">
        <v>1286</v>
      </c>
      <c r="D675">
        <v>1781</v>
      </c>
      <c r="E675">
        <v>2231</v>
      </c>
      <c r="F675">
        <v>3304</v>
      </c>
      <c r="G675">
        <v>2490</v>
      </c>
      <c r="H675">
        <v>2134</v>
      </c>
      <c r="J675" s="1"/>
      <c r="K675">
        <f t="shared" si="10"/>
        <v>8.3810415344680506E-2</v>
      </c>
      <c r="L675">
        <f>LOG10(E675/C675)-LOG10(37995/47667)</f>
        <v>0.33774997260853473</v>
      </c>
      <c r="M675">
        <f>LOG10(F675/C675)-LOG10(35167/47667)</f>
        <v>0.54188156838935775</v>
      </c>
      <c r="N675">
        <f>LOG10(G675/C675)-LOG10(34734/47667)</f>
        <v>0.42442139831621539</v>
      </c>
      <c r="O675">
        <f>LOG10(H675/C675)-LOG10(33378/47667)</f>
        <v>0.37471095593490561</v>
      </c>
      <c r="Q675">
        <f>AVERAGE(K675:O675)</f>
        <v>0.35251486211873878</v>
      </c>
      <c r="R675">
        <f>STDEV(K675:O675)</f>
        <v>0.16877725531806648</v>
      </c>
    </row>
    <row r="676" spans="1:18">
      <c r="A676">
        <v>674</v>
      </c>
      <c r="C676">
        <v>2809</v>
      </c>
      <c r="D676">
        <v>6167</v>
      </c>
      <c r="E676">
        <v>3318</v>
      </c>
      <c r="F676">
        <v>6955</v>
      </c>
      <c r="G676">
        <v>5233</v>
      </c>
      <c r="H676">
        <v>4673</v>
      </c>
      <c r="J676" s="1"/>
      <c r="K676">
        <f t="shared" si="10"/>
        <v>0.28390967369436687</v>
      </c>
      <c r="L676">
        <f>LOG10(E676/C676)-LOG10(37995/47667)</f>
        <v>0.17081601339966407</v>
      </c>
      <c r="M676">
        <f>LOG10(F676/C676)-LOG10(35167/47667)</f>
        <v>0.52582789345570358</v>
      </c>
      <c r="N676">
        <f>LOG10(G676/C676)-LOG10(34734/47667)</f>
        <v>0.40766201534676938</v>
      </c>
      <c r="O676">
        <f>LOG10(H676/C676)-LOG10(33378/47667)</f>
        <v>0.37580155125739301</v>
      </c>
      <c r="Q676">
        <f>AVERAGE(K676:O676)</f>
        <v>0.35280342943077941</v>
      </c>
      <c r="R676">
        <f>STDEV(K676:O676)</f>
        <v>0.13354925344279972</v>
      </c>
    </row>
    <row r="677" spans="1:18">
      <c r="A677">
        <v>675</v>
      </c>
      <c r="C677">
        <v>1846</v>
      </c>
      <c r="D677">
        <v>250</v>
      </c>
      <c r="E677">
        <v>323</v>
      </c>
      <c r="F677">
        <v>252</v>
      </c>
      <c r="G677">
        <v>221</v>
      </c>
      <c r="H677">
        <v>328</v>
      </c>
      <c r="J677" s="1"/>
      <c r="K677">
        <f t="shared" si="10"/>
        <v>-0.92590422354821533</v>
      </c>
      <c r="L677">
        <f>LOG10(E677/C677)-LOG10(37995/47667)</f>
        <v>-0.65853780344589008</v>
      </c>
      <c r="M677">
        <f>LOG10(F677/C677)-LOG10(35167/47667)</f>
        <v>-0.73274865757913266</v>
      </c>
      <c r="N677">
        <f>LOG10(G677/C677)-LOG10(34734/47667)</f>
        <v>-0.78437640319610036</v>
      </c>
      <c r="O677">
        <f>LOG10(H677/C677)-LOG10(33378/47667)</f>
        <v>-0.5956003435435564</v>
      </c>
      <c r="Q677">
        <f>AVERAGE(K677:O677)</f>
        <v>-0.73943348626257899</v>
      </c>
      <c r="R677">
        <f>STDEV(K677:O677)</f>
        <v>0.12655826032274398</v>
      </c>
    </row>
    <row r="678" spans="1:18">
      <c r="A678">
        <v>676</v>
      </c>
      <c r="C678">
        <v>1174</v>
      </c>
      <c r="D678">
        <v>63</v>
      </c>
      <c r="E678">
        <v>63</v>
      </c>
      <c r="F678">
        <v>63</v>
      </c>
      <c r="G678">
        <v>82</v>
      </c>
      <c r="H678">
        <v>93</v>
      </c>
      <c r="J678" s="1"/>
      <c r="K678">
        <f t="shared" si="10"/>
        <v>-1.3279400829883738</v>
      </c>
      <c r="L678">
        <f>LOG10(E678/C678)-LOG10(37995/47667)</f>
        <v>-1.1718361765451137</v>
      </c>
      <c r="M678">
        <f>LOG10(F678/C678)-LOG10(35167/47667)</f>
        <v>-1.1382450491287976</v>
      </c>
      <c r="N678">
        <f>LOG10(G678/C678)-LOG10(34734/47667)</f>
        <v>-1.0183912247191966</v>
      </c>
      <c r="O678">
        <f>LOG10(H678/C678)-LOG10(33378/47667)</f>
        <v>-0.94642763892300263</v>
      </c>
      <c r="Q678">
        <f>AVERAGE(K678:O678)</f>
        <v>-1.1205680344608968</v>
      </c>
      <c r="R678">
        <f>STDEV(K678:O678)</f>
        <v>0.14723199682635704</v>
      </c>
    </row>
    <row r="679" spans="1:18">
      <c r="A679">
        <v>677</v>
      </c>
      <c r="C679">
        <v>1129</v>
      </c>
      <c r="D679">
        <v>151</v>
      </c>
      <c r="E679">
        <v>192</v>
      </c>
      <c r="F679">
        <v>138</v>
      </c>
      <c r="G679">
        <v>190</v>
      </c>
      <c r="H679">
        <v>85</v>
      </c>
      <c r="J679" s="1"/>
      <c r="K679">
        <f t="shared" si="10"/>
        <v>-0.93132953016215814</v>
      </c>
      <c r="L679">
        <f>LOG10(E679/C679)-LOG10(37995/47667)</f>
        <v>-0.67090134230851795</v>
      </c>
      <c r="M679">
        <f>LOG10(F679/C679)-LOG10(35167/47667)</f>
        <v>-0.78073235719451484</v>
      </c>
      <c r="N679">
        <f>LOG10(G679/C679)-LOG10(34734/47667)</f>
        <v>-0.63647732116345668</v>
      </c>
      <c r="O679">
        <f>LOG10(H679/C679)-LOG10(33378/47667)</f>
        <v>-0.96851750677601722</v>
      </c>
      <c r="Q679">
        <f>AVERAGE(K679:O679)</f>
        <v>-0.79759161152093294</v>
      </c>
      <c r="R679">
        <f>STDEV(K679:O679)</f>
        <v>0.14949411851155656</v>
      </c>
    </row>
    <row r="680" spans="1:18">
      <c r="A680">
        <v>678</v>
      </c>
      <c r="C680">
        <v>1942</v>
      </c>
      <c r="D680">
        <v>1231</v>
      </c>
      <c r="E680">
        <v>1224</v>
      </c>
      <c r="F680">
        <v>859</v>
      </c>
      <c r="G680">
        <v>1113</v>
      </c>
      <c r="H680">
        <v>934</v>
      </c>
      <c r="J680" s="1"/>
      <c r="K680">
        <f t="shared" si="10"/>
        <v>-0.25560370817102956</v>
      </c>
      <c r="L680">
        <f>LOG10(E680/C680)-LOG10(37995/47667)</f>
        <v>-0.10197643684954344</v>
      </c>
      <c r="M680">
        <f>LOG10(F680/C680)-LOG10(35167/47667)</f>
        <v>-0.2221735634115273</v>
      </c>
      <c r="N680">
        <f>LOG10(G680/C680)-LOG10(34734/47667)</f>
        <v>-0.10429104142859549</v>
      </c>
      <c r="O680">
        <f>LOG10(H680/C680)-LOG10(33378/47667)</f>
        <v>-0.16314483990723491</v>
      </c>
      <c r="Q680">
        <f>AVERAGE(K680:O680)</f>
        <v>-0.16943791795358615</v>
      </c>
      <c r="R680">
        <f>STDEV(K680:O680)</f>
        <v>6.8993408182726271E-2</v>
      </c>
    </row>
    <row r="681" spans="1:18">
      <c r="A681">
        <v>679</v>
      </c>
      <c r="C681">
        <v>1086</v>
      </c>
      <c r="D681">
        <v>47</v>
      </c>
      <c r="E681">
        <v>66</v>
      </c>
      <c r="F681">
        <v>51</v>
      </c>
      <c r="G681">
        <v>66</v>
      </c>
      <c r="H681">
        <v>46</v>
      </c>
      <c r="J681" s="1"/>
      <c r="K681">
        <f t="shared" si="10"/>
        <v>-1.4213445028474705</v>
      </c>
      <c r="L681">
        <f>LOG10(E681/C681)-LOG10(37995/47667)</f>
        <v>-1.1177945187980591</v>
      </c>
      <c r="M681">
        <f>LOG10(F681/C681)-LOG10(35167/47667)</f>
        <v>-1.1961771508256753</v>
      </c>
      <c r="N681">
        <f>LOG10(G681/C681)-LOG10(34734/47667)</f>
        <v>-1.078822869902277</v>
      </c>
      <c r="O681">
        <f>LOG10(H681/C681)-LOG10(33378/47667)</f>
        <v>-1.2183144841365963</v>
      </c>
      <c r="Q681">
        <f>AVERAGE(K681:O681)</f>
        <v>-1.2064907053020155</v>
      </c>
      <c r="R681">
        <f>STDEV(K681:O681)</f>
        <v>0.13282922792778723</v>
      </c>
    </row>
    <row r="682" spans="1:18">
      <c r="A682">
        <v>680</v>
      </c>
      <c r="C682">
        <v>2971</v>
      </c>
      <c r="D682">
        <v>3278</v>
      </c>
      <c r="E682">
        <v>3814</v>
      </c>
      <c r="F682">
        <v>1865</v>
      </c>
      <c r="G682">
        <v>15194</v>
      </c>
      <c r="H682">
        <v>1930</v>
      </c>
      <c r="J682" s="1"/>
      <c r="K682">
        <f t="shared" si="10"/>
        <v>-1.4906238099543542E-2</v>
      </c>
      <c r="L682">
        <f>LOG10(E682/C682)-LOG10(37995/47667)</f>
        <v>0.20696940781922302</v>
      </c>
      <c r="M682">
        <f>LOG10(F682/C682)-LOG10(35167/47667)</f>
        <v>-7.014131732974116E-2</v>
      </c>
      <c r="N682">
        <f>LOG10(G682/C682)-LOG10(34734/47667)</f>
        <v>0.84623249007328427</v>
      </c>
      <c r="O682">
        <f>LOG10(H682/C682)-LOG10(33378/47667)</f>
        <v>-3.2587833361232527E-2</v>
      </c>
      <c r="Q682">
        <f>AVERAGE(K682:O682)</f>
        <v>0.18711330182039804</v>
      </c>
      <c r="R682">
        <f>STDEV(K682:O682)</f>
        <v>0.38408748731643988</v>
      </c>
    </row>
    <row r="683" spans="1:18">
      <c r="A683">
        <v>681</v>
      </c>
      <c r="C683">
        <v>1743</v>
      </c>
      <c r="D683">
        <v>463</v>
      </c>
      <c r="E683">
        <v>690</v>
      </c>
      <c r="F683">
        <v>635</v>
      </c>
      <c r="G683">
        <v>419</v>
      </c>
      <c r="H683">
        <v>1598</v>
      </c>
      <c r="J683" s="1"/>
      <c r="K683">
        <f t="shared" si="10"/>
        <v>-0.63332893162239978</v>
      </c>
      <c r="L683">
        <f>LOG10(E683/C683)-LOG10(37995/47667)</f>
        <v>-0.30395692545983766</v>
      </c>
      <c r="M683">
        <f>LOG10(F683/C683)-LOG10(35167/47667)</f>
        <v>-0.30644116348880102</v>
      </c>
      <c r="N683">
        <f>LOG10(G683/C683)-LOG10(34734/47667)</f>
        <v>-0.48162034433501555</v>
      </c>
      <c r="O683">
        <f>LOG10(H683/C683)-LOG10(33378/47667)</f>
        <v>0.11703689730263724</v>
      </c>
      <c r="Q683">
        <f>AVERAGE(K683:O683)</f>
        <v>-0.32166209352068337</v>
      </c>
      <c r="R683">
        <f>STDEV(K683:O683)</f>
        <v>0.28094697640853894</v>
      </c>
    </row>
    <row r="684" spans="1:18">
      <c r="A684">
        <v>682</v>
      </c>
      <c r="C684">
        <v>1714</v>
      </c>
      <c r="D684">
        <v>3763</v>
      </c>
      <c r="E684">
        <v>3431</v>
      </c>
      <c r="F684">
        <v>4848</v>
      </c>
      <c r="G684">
        <v>14100</v>
      </c>
      <c r="H684">
        <v>7505</v>
      </c>
      <c r="J684" s="1"/>
      <c r="K684">
        <f t="shared" si="10"/>
        <v>0.28391086520232517</v>
      </c>
      <c r="L684">
        <f>LOG10(E684/C684)-LOG10(37995/47667)</f>
        <v>0.39990127138189435</v>
      </c>
      <c r="M684">
        <f>LOG10(F684/C684)-LOG10(35167/47667)</f>
        <v>0.58363429190026683</v>
      </c>
      <c r="N684">
        <f>LOG10(G684/C684)-LOG10(34734/47667)</f>
        <v>1.0526713148768827</v>
      </c>
      <c r="O684">
        <f>LOG10(H684/C684)-LOG10(33378/47667)</f>
        <v>0.79609738842676769</v>
      </c>
      <c r="Q684">
        <f>AVERAGE(K684:O684)</f>
        <v>0.62324302635762741</v>
      </c>
      <c r="R684">
        <f>STDEV(K684:O684)</f>
        <v>0.30857899816019085</v>
      </c>
    </row>
    <row r="685" spans="1:18">
      <c r="A685">
        <v>683</v>
      </c>
      <c r="C685">
        <v>1257</v>
      </c>
      <c r="D685">
        <v>939</v>
      </c>
      <c r="E685">
        <v>1475</v>
      </c>
      <c r="F685">
        <v>1483</v>
      </c>
      <c r="G685">
        <v>1163</v>
      </c>
      <c r="H685">
        <v>1918</v>
      </c>
      <c r="J685" s="1"/>
      <c r="K685">
        <f t="shared" si="10"/>
        <v>-0.1842822209502066</v>
      </c>
      <c r="L685">
        <f>LOG10(E685/C685)-LOG10(37995/47667)</f>
        <v>0.16794811354112432</v>
      </c>
      <c r="M685">
        <f>LOG10(F685/C685)-LOG10(35167/47667)</f>
        <v>0.2038883716716407</v>
      </c>
      <c r="N685">
        <f>LOG10(G685/C685)-LOG10(34734/47667)</f>
        <v>0.10370745685117294</v>
      </c>
      <c r="O685">
        <f>LOG10(H685/C685)-LOG10(33378/47667)</f>
        <v>0.33827083458334484</v>
      </c>
      <c r="Q685">
        <f>AVERAGE(K685:O685)</f>
        <v>0.12590651113941526</v>
      </c>
      <c r="R685">
        <f>STDEV(K685:O685)</f>
        <v>0.19342771279151566</v>
      </c>
    </row>
    <row r="686" spans="1:18">
      <c r="A686">
        <v>684</v>
      </c>
      <c r="C686">
        <v>661</v>
      </c>
      <c r="D686">
        <v>827</v>
      </c>
      <c r="E686">
        <v>922</v>
      </c>
      <c r="F686">
        <v>602</v>
      </c>
      <c r="G686">
        <v>1089</v>
      </c>
      <c r="H686">
        <v>927</v>
      </c>
      <c r="J686" s="1"/>
      <c r="K686">
        <f t="shared" si="10"/>
        <v>3.9691514536546686E-2</v>
      </c>
      <c r="L686">
        <f>LOG10(E686/C686)-LOG10(37995/47667)</f>
        <v>0.24302083248088938</v>
      </c>
      <c r="M686">
        <f>LOG10(F686/C686)-LOG10(35167/47667)</f>
        <v>9.1477530101400778E-2</v>
      </c>
      <c r="N686">
        <f>LOG10(G686/C686)-LOG10(34734/47667)</f>
        <v>0.35428944007881702</v>
      </c>
      <c r="O686">
        <f>LOG10(H686/C686)-LOG10(33378/47667)</f>
        <v>0.30163578409351466</v>
      </c>
      <c r="Q686">
        <f>AVERAGE(K686:O686)</f>
        <v>0.20602302025823374</v>
      </c>
      <c r="R686">
        <f>STDEV(K686:O686)</f>
        <v>0.13535177231459716</v>
      </c>
    </row>
    <row r="687" spans="1:18">
      <c r="A687">
        <v>685</v>
      </c>
      <c r="C687">
        <v>2306</v>
      </c>
      <c r="D687">
        <v>1920</v>
      </c>
      <c r="E687">
        <v>1175</v>
      </c>
      <c r="F687">
        <v>2072</v>
      </c>
      <c r="G687">
        <v>1641</v>
      </c>
      <c r="H687">
        <v>1270</v>
      </c>
      <c r="J687" s="1"/>
      <c r="K687">
        <f t="shared" si="10"/>
        <v>-0.13717060978549037</v>
      </c>
      <c r="L687">
        <f>LOG10(E687/C687)-LOG10(37995/47667)</f>
        <v>-0.19433006543802486</v>
      </c>
      <c r="M687">
        <f>LOG10(F687/C687)-LOG10(35167/47667)</f>
        <v>8.5612946443731644E-2</v>
      </c>
      <c r="N687">
        <f>LOG10(G687/C687)-LOG10(34734/47667)</f>
        <v>-1.0287702096904688E-2</v>
      </c>
      <c r="O687">
        <f>LOG10(H687/C687)-LOG10(33378/47667)</f>
        <v>-0.10429807256806553</v>
      </c>
      <c r="Q687">
        <f>AVERAGE(K687:O687)</f>
        <v>-7.2094700688950769E-2</v>
      </c>
      <c r="R687">
        <f>STDEV(K687:O687)</f>
        <v>0.11057262606489535</v>
      </c>
    </row>
    <row r="688" spans="1:18">
      <c r="A688">
        <v>686</v>
      </c>
      <c r="C688">
        <v>1617</v>
      </c>
      <c r="D688">
        <v>641</v>
      </c>
      <c r="E688">
        <v>855</v>
      </c>
      <c r="F688">
        <v>814</v>
      </c>
      <c r="G688">
        <v>610</v>
      </c>
      <c r="H688">
        <v>604</v>
      </c>
      <c r="J688" s="1"/>
      <c r="K688">
        <f t="shared" si="10"/>
        <v>-0.45946452591794346</v>
      </c>
      <c r="L688">
        <f>LOG10(E688/C688)-LOG10(37995/47667)</f>
        <v>-0.17825253426532825</v>
      </c>
      <c r="M688">
        <f>LOG10(F688/C688)-LOG10(35167/47667)</f>
        <v>-0.16600311668798343</v>
      </c>
      <c r="N688">
        <f>LOG10(G688/C688)-LOG10(34734/47667)</f>
        <v>-0.28591716508695175</v>
      </c>
      <c r="O688">
        <f>LOG10(H688/C688)-LOG10(33378/47667)</f>
        <v>-0.27291557185061155</v>
      </c>
      <c r="Q688">
        <f>AVERAGE(K688:O688)</f>
        <v>-0.27251058276176365</v>
      </c>
      <c r="R688">
        <f>STDEV(K688:O688)</f>
        <v>0.11764363281034607</v>
      </c>
    </row>
    <row r="689" spans="1:18">
      <c r="A689">
        <v>687</v>
      </c>
      <c r="C689">
        <v>1874</v>
      </c>
      <c r="D689">
        <v>8245</v>
      </c>
      <c r="E689">
        <v>693</v>
      </c>
      <c r="F689">
        <v>642</v>
      </c>
      <c r="G689">
        <v>770</v>
      </c>
      <c r="H689">
        <v>647</v>
      </c>
      <c r="J689" s="1"/>
      <c r="K689">
        <f t="shared" si="10"/>
        <v>0.58580853789841836</v>
      </c>
      <c r="L689">
        <f>LOG10(E689/C689)-LOG10(37995/47667)</f>
        <v>-0.33354498102705243</v>
      </c>
      <c r="M689">
        <f>LOG10(F689/C689)-LOG10(35167/47667)</f>
        <v>-0.3331520601536897</v>
      </c>
      <c r="N689">
        <f>LOG10(G689/C689)-LOG10(34734/47667)</f>
        <v>-0.2488158415705953</v>
      </c>
      <c r="O689">
        <f>LOG10(H689/C689)-LOG10(33378/47667)</f>
        <v>-0.30710779644840125</v>
      </c>
      <c r="Q689">
        <f>AVERAGE(K689:O689)</f>
        <v>-0.12736242826026406</v>
      </c>
      <c r="R689">
        <f>STDEV(K689:O689)</f>
        <v>0.40016645712184223</v>
      </c>
    </row>
    <row r="690" spans="1:18">
      <c r="A690">
        <v>688</v>
      </c>
      <c r="C690">
        <v>1515</v>
      </c>
      <c r="D690">
        <v>2475</v>
      </c>
      <c r="E690">
        <v>82289</v>
      </c>
      <c r="F690">
        <v>1199</v>
      </c>
      <c r="G690">
        <v>6200</v>
      </c>
      <c r="H690">
        <v>3114</v>
      </c>
      <c r="J690" s="1"/>
      <c r="K690">
        <f t="shared" si="10"/>
        <v>0.15555003490090394</v>
      </c>
      <c r="L690">
        <f>LOG10(E690/C690)-LOG10(37995/47667)</f>
        <v>1.8334205227572478</v>
      </c>
      <c r="M690">
        <f>LOG10(F690/C690)-LOG10(35167/47667)</f>
        <v>3.0489048589741288E-2</v>
      </c>
      <c r="N690">
        <f>LOG10(G690/C690)-LOG10(34734/47667)</f>
        <v>0.74944207646861227</v>
      </c>
      <c r="O690">
        <f>LOG10(H690/C690)-LOG10(33378/47667)</f>
        <v>0.46766348482843545</v>
      </c>
      <c r="Q690">
        <f>AVERAGE(K690:O690)</f>
        <v>0.64731303350898817</v>
      </c>
      <c r="R690">
        <f>STDEV(K690:O690)</f>
        <v>0.71969749773419722</v>
      </c>
    </row>
    <row r="691" spans="1:18">
      <c r="A691">
        <v>689</v>
      </c>
      <c r="C691">
        <v>1390</v>
      </c>
      <c r="D691">
        <v>680</v>
      </c>
      <c r="E691">
        <v>635</v>
      </c>
      <c r="F691">
        <v>655</v>
      </c>
      <c r="G691">
        <v>886</v>
      </c>
      <c r="H691">
        <v>477</v>
      </c>
      <c r="J691" s="1"/>
      <c r="K691">
        <f t="shared" si="10"/>
        <v>-0.36811842307821852</v>
      </c>
      <c r="L691">
        <f>LOG10(E691/C691)-LOG10(37995/47667)</f>
        <v>-0.24174970404921917</v>
      </c>
      <c r="M691">
        <f>LOG10(F691/C691)-LOG10(35167/47667)</f>
        <v>-0.19469100193309555</v>
      </c>
      <c r="N691">
        <f>LOG10(G691/C691)-LOG10(34734/47667)</f>
        <v>-5.8118058558362051E-2</v>
      </c>
      <c r="O691">
        <f>LOG10(H691/C691)-LOG10(33378/47667)</f>
        <v>-0.30973891177932333</v>
      </c>
      <c r="Q691">
        <f>AVERAGE(K691:O691)</f>
        <v>-0.23448321987964374</v>
      </c>
      <c r="R691">
        <f>STDEV(K691:O691)</f>
        <v>0.11859877658137734</v>
      </c>
    </row>
    <row r="692" spans="1:18">
      <c r="A692">
        <v>690</v>
      </c>
      <c r="C692">
        <v>867</v>
      </c>
      <c r="D692">
        <v>196</v>
      </c>
      <c r="E692">
        <v>334</v>
      </c>
      <c r="F692">
        <v>228</v>
      </c>
      <c r="G692">
        <v>228</v>
      </c>
      <c r="H692">
        <v>208</v>
      </c>
      <c r="J692" s="1"/>
      <c r="K692">
        <f t="shared" si="10"/>
        <v>-0.70337556165009396</v>
      </c>
      <c r="L692">
        <f>LOG10(E692/C692)-LOG10(37995/47667)</f>
        <v>-0.31578125975174554</v>
      </c>
      <c r="M692">
        <f>LOG10(F692/C692)-LOG10(35167/47667)</f>
        <v>-0.44800175214654003</v>
      </c>
      <c r="N692">
        <f>LOG10(G692/C692)-LOG10(34734/47667)</f>
        <v>-0.44262123066707426</v>
      </c>
      <c r="O692">
        <f>LOG10(H692/C692)-LOG10(33378/47667)</f>
        <v>-0.46519825307879092</v>
      </c>
      <c r="Q692">
        <f>AVERAGE(K692:O692)</f>
        <v>-0.474995611458849</v>
      </c>
      <c r="R692">
        <f>STDEV(K692:O692)</f>
        <v>0.14087172235966966</v>
      </c>
    </row>
    <row r="693" spans="1:18">
      <c r="A693">
        <v>691</v>
      </c>
      <c r="C693">
        <v>1436</v>
      </c>
      <c r="D693">
        <v>4041</v>
      </c>
      <c r="E693">
        <v>5343</v>
      </c>
      <c r="F693">
        <v>1477</v>
      </c>
      <c r="G693">
        <v>1754</v>
      </c>
      <c r="H693">
        <v>1115</v>
      </c>
      <c r="J693" s="1"/>
      <c r="K693">
        <f t="shared" si="10"/>
        <v>0.39172187500600675</v>
      </c>
      <c r="L693">
        <f>LOG10(E693/C693)-LOG10(37995/47667)</f>
        <v>0.66912210518952475</v>
      </c>
      <c r="M693">
        <f>LOG10(F693/C693)-LOG10(35167/47667)</f>
        <v>0.14430855373488441</v>
      </c>
      <c r="N693">
        <f>LOG10(G693/C693)-LOG10(34734/47667)</f>
        <v>0.22433816893242245</v>
      </c>
      <c r="O693">
        <f>LOG10(H693/C693)-LOG10(33378/47667)</f>
        <v>4.487793691255576E-2</v>
      </c>
      <c r="Q693">
        <f>AVERAGE(K693:O693)</f>
        <v>0.29487372795507888</v>
      </c>
      <c r="R693">
        <f>STDEV(K693:O693)</f>
        <v>0.24473681974898431</v>
      </c>
    </row>
    <row r="694" spans="1:18">
      <c r="A694">
        <v>692</v>
      </c>
      <c r="C694">
        <v>2445</v>
      </c>
      <c r="D694">
        <v>3128</v>
      </c>
      <c r="E694">
        <v>2358</v>
      </c>
      <c r="F694">
        <v>2830</v>
      </c>
      <c r="G694">
        <v>2384</v>
      </c>
      <c r="H694">
        <v>2229</v>
      </c>
      <c r="J694" s="1"/>
      <c r="K694">
        <f t="shared" si="10"/>
        <v>4.9375345397811597E-2</v>
      </c>
      <c r="L694">
        <f>LOG10(E694/C694)-LOG10(37995/47667)</f>
        <v>8.2756308212331528E-2</v>
      </c>
      <c r="M694">
        <f>LOG10(F694/C694)-LOG10(35167/47667)</f>
        <v>0.19559007039386761</v>
      </c>
      <c r="N694">
        <f>LOG10(G694/C694)-LOG10(34734/47667)</f>
        <v>0.12649040741724205</v>
      </c>
      <c r="O694">
        <f>LOG10(H694/C694)-LOG10(33378/47667)</f>
        <v>0.11458871445525645</v>
      </c>
      <c r="Q694">
        <f>AVERAGE(K694:O694)</f>
        <v>0.11376016917530185</v>
      </c>
      <c r="R694">
        <f>STDEV(K694:O694)</f>
        <v>5.4693516786469748E-2</v>
      </c>
    </row>
    <row r="695" spans="1:18">
      <c r="A695">
        <v>693</v>
      </c>
      <c r="C695">
        <v>2775</v>
      </c>
      <c r="D695">
        <v>5879</v>
      </c>
      <c r="E695">
        <v>3682</v>
      </c>
      <c r="F695">
        <v>3565</v>
      </c>
      <c r="G695">
        <v>3677</v>
      </c>
      <c r="H695">
        <v>2652</v>
      </c>
      <c r="J695" s="1"/>
      <c r="K695">
        <f t="shared" si="10"/>
        <v>0.26842793720002694</v>
      </c>
      <c r="L695">
        <f>LOG10(E695/C695)-LOG10(37995/47667)</f>
        <v>0.2213121676222011</v>
      </c>
      <c r="M695">
        <f>LOG10(F695/C695)-LOG10(35167/47667)</f>
        <v>0.24087904505840577</v>
      </c>
      <c r="N695">
        <f>LOG10(G695/C695)-LOG10(34734/47667)</f>
        <v>0.2596936622188496</v>
      </c>
      <c r="O695">
        <f>LOG10(H695/C695)-LOG10(33378/47667)</f>
        <v>0.13506804170869829</v>
      </c>
      <c r="Q695">
        <f>AVERAGE(K695:O695)</f>
        <v>0.22507617076163636</v>
      </c>
      <c r="R695">
        <f>STDEV(K695:O695)</f>
        <v>5.3486232386013306E-2</v>
      </c>
    </row>
    <row r="696" spans="1:18">
      <c r="A696">
        <v>694</v>
      </c>
      <c r="C696">
        <v>1235</v>
      </c>
      <c r="D696">
        <v>470</v>
      </c>
      <c r="E696">
        <v>495</v>
      </c>
      <c r="F696">
        <v>516</v>
      </c>
      <c r="G696">
        <v>443</v>
      </c>
      <c r="H696">
        <v>376</v>
      </c>
      <c r="J696" s="1"/>
      <c r="K696">
        <f t="shared" si="10"/>
        <v>-0.47718163519032686</v>
      </c>
      <c r="L696">
        <f>LOG10(E696/C696)-LOG10(37995/47667)</f>
        <v>-0.29857038774921552</v>
      </c>
      <c r="M696">
        <f>LOG10(F696/C696)-LOG10(35167/47667)</f>
        <v>-0.24693475763925674</v>
      </c>
      <c r="N696">
        <f>LOG10(G696/C696)-LOG10(34734/47667)</f>
        <v>-0.30780021156393267</v>
      </c>
      <c r="O696">
        <f>LOG10(H696/C696)-LOG10(33378/47667)</f>
        <v>-0.36172160323336566</v>
      </c>
      <c r="Q696">
        <f>AVERAGE(K696:O696)</f>
        <v>-0.33844171907521947</v>
      </c>
      <c r="R696">
        <f>STDEV(K696:O696)</f>
        <v>8.7596898297768913E-2</v>
      </c>
    </row>
    <row r="697" spans="1:18">
      <c r="A697">
        <v>695</v>
      </c>
      <c r="C697">
        <v>1311</v>
      </c>
      <c r="D697">
        <v>445</v>
      </c>
      <c r="E697">
        <v>434</v>
      </c>
      <c r="F697">
        <v>343</v>
      </c>
      <c r="G697">
        <v>561</v>
      </c>
      <c r="H697">
        <v>380</v>
      </c>
      <c r="J697" s="1"/>
      <c r="K697">
        <f t="shared" si="10"/>
        <v>-0.52685521623951237</v>
      </c>
      <c r="L697">
        <f>LOG10(E697/C697)-LOG10(37995/47667)</f>
        <v>-0.38162159126467332</v>
      </c>
      <c r="M697">
        <f>LOG10(F697/C697)-LOG10(35167/47667)</f>
        <v>-0.45022607331809728</v>
      </c>
      <c r="N697">
        <f>LOG10(G697/C697)-LOG10(34734/47667)</f>
        <v>-0.23117681062524056</v>
      </c>
      <c r="O697">
        <f>LOG10(H697/C697)-LOG10(33378/47667)</f>
        <v>-0.38306158563861625</v>
      </c>
      <c r="Q697">
        <f>AVERAGE(K697:O697)</f>
        <v>-0.39458825541722797</v>
      </c>
      <c r="R697">
        <f>STDEV(K697:O697)</f>
        <v>0.10908072067323475</v>
      </c>
    </row>
    <row r="698" spans="1:18">
      <c r="A698">
        <v>696</v>
      </c>
      <c r="C698">
        <v>1272</v>
      </c>
      <c r="D698">
        <v>781</v>
      </c>
      <c r="E698">
        <v>493</v>
      </c>
      <c r="F698">
        <v>589</v>
      </c>
      <c r="G698">
        <v>776</v>
      </c>
      <c r="H698">
        <v>707</v>
      </c>
      <c r="J698" s="1"/>
      <c r="K698">
        <f t="shared" si="10"/>
        <v>-0.26944861296545453</v>
      </c>
      <c r="L698">
        <f>LOG10(E698/C698)-LOG10(37995/47667)</f>
        <v>-0.31314882112226483</v>
      </c>
      <c r="M698">
        <f>LOG10(F698/C698)-LOG10(35167/47667)</f>
        <v>-0.20228931819607701</v>
      </c>
      <c r="N698">
        <f>LOG10(G698/C698)-LOG10(34734/47667)</f>
        <v>-7.7162370245524359E-2</v>
      </c>
      <c r="O698">
        <f>LOG10(H698/C698)-LOG10(33378/47667)</f>
        <v>-0.10031018808083783</v>
      </c>
      <c r="Q698">
        <f>AVERAGE(K698:O698)</f>
        <v>-0.19247186212203171</v>
      </c>
      <c r="R698">
        <f>STDEV(K698:O698)</f>
        <v>0.10292568208009818</v>
      </c>
    </row>
    <row r="699" spans="1:18">
      <c r="A699">
        <v>697</v>
      </c>
      <c r="C699">
        <v>1444</v>
      </c>
      <c r="D699">
        <v>1600</v>
      </c>
      <c r="E699">
        <v>2826</v>
      </c>
      <c r="F699">
        <v>2102</v>
      </c>
      <c r="G699">
        <v>1780</v>
      </c>
      <c r="H699">
        <v>1320</v>
      </c>
      <c r="J699" s="1"/>
      <c r="K699">
        <f t="shared" si="10"/>
        <v>-1.3059746108055256E-2</v>
      </c>
      <c r="L699">
        <f>LOG10(E699/C699)-LOG10(37995/47667)</f>
        <v>0.39009633519181974</v>
      </c>
      <c r="M699">
        <f>LOG10(F699/C699)-LOG10(35167/47667)</f>
        <v>0.29514801678781954</v>
      </c>
      <c r="N699">
        <f>LOG10(G699/C699)-LOG10(34734/47667)</f>
        <v>0.22831582888395596</v>
      </c>
      <c r="O699">
        <f>LOG10(H699/C699)-LOG10(33378/47667)</f>
        <v>0.11576424740688737</v>
      </c>
      <c r="Q699">
        <f>AVERAGE(K699:O699)</f>
        <v>0.20325293643248546</v>
      </c>
      <c r="R699">
        <f>STDEV(K699:O699)</f>
        <v>0.15686678852356661</v>
      </c>
    </row>
    <row r="700" spans="1:18">
      <c r="A700">
        <v>698</v>
      </c>
      <c r="C700">
        <v>2696</v>
      </c>
      <c r="D700">
        <v>1033</v>
      </c>
      <c r="E700">
        <v>1347</v>
      </c>
      <c r="F700">
        <v>1179</v>
      </c>
      <c r="G700">
        <v>1935</v>
      </c>
      <c r="H700">
        <v>1008</v>
      </c>
      <c r="J700" s="1"/>
      <c r="K700">
        <f t="shared" si="10"/>
        <v>-0.47423210187402143</v>
      </c>
      <c r="L700">
        <f>LOG10(E700/C700)-LOG10(37995/47667)</f>
        <v>-0.20286092122739638</v>
      </c>
      <c r="M700">
        <f>LOG10(F700/C700)-LOG10(35167/47667)</f>
        <v>-0.22712358443897665</v>
      </c>
      <c r="N700">
        <f>LOG10(G700/C700)-LOG10(34734/47667)</f>
        <v>-6.5758986996697077E-3</v>
      </c>
      <c r="O700">
        <f>LOG10(H700/C700)-LOG10(33378/47667)</f>
        <v>-0.272501846319118</v>
      </c>
      <c r="Q700">
        <f>AVERAGE(K700:O700)</f>
        <v>-0.23665887051183643</v>
      </c>
      <c r="R700">
        <f>STDEV(K700:O700)</f>
        <v>0.16725516146657091</v>
      </c>
    </row>
    <row r="701" spans="1:18">
      <c r="A701">
        <v>699</v>
      </c>
      <c r="C701">
        <v>2806</v>
      </c>
      <c r="D701">
        <v>6703</v>
      </c>
      <c r="E701">
        <v>4507</v>
      </c>
      <c r="F701">
        <v>6564</v>
      </c>
      <c r="G701">
        <v>3539</v>
      </c>
      <c r="H701">
        <v>9157</v>
      </c>
      <c r="J701" s="1"/>
      <c r="K701">
        <f t="shared" si="10"/>
        <v>0.32056901717102537</v>
      </c>
      <c r="L701">
        <f>LOG10(E701/C701)-LOG10(37995/47667)</f>
        <v>0.30429126229153669</v>
      </c>
      <c r="M701">
        <f>LOG10(F701/C701)-LOG10(35167/47667)</f>
        <v>0.50116340401793091</v>
      </c>
      <c r="N701">
        <f>LOG10(G701/C701)-LOG10(34734/47667)</f>
        <v>0.23825591575385607</v>
      </c>
      <c r="O701">
        <f>LOG10(H701/C701)-LOG10(33378/47667)</f>
        <v>0.66842305692909931</v>
      </c>
      <c r="Q701">
        <f>AVERAGE(K701:O701)</f>
        <v>0.40654053123268968</v>
      </c>
      <c r="R701">
        <f>STDEV(K701:O701)</f>
        <v>0.17585624196710817</v>
      </c>
    </row>
    <row r="702" spans="1:18">
      <c r="A702">
        <v>700</v>
      </c>
      <c r="C702">
        <v>1034</v>
      </c>
      <c r="D702">
        <v>3174</v>
      </c>
      <c r="E702">
        <v>1138</v>
      </c>
      <c r="F702">
        <v>1148</v>
      </c>
      <c r="G702">
        <v>889</v>
      </c>
      <c r="H702">
        <v>988</v>
      </c>
      <c r="J702" s="1"/>
      <c r="K702">
        <f t="shared" si="10"/>
        <v>0.42947384813054595</v>
      </c>
      <c r="L702">
        <f>LOG10(E702/C702)-LOG10(37995/47667)</f>
        <v>0.14011309421402893</v>
      </c>
      <c r="M702">
        <f>LOG10(F702/C702)-LOG10(35167/47667)</f>
        <v>0.17750384763324745</v>
      </c>
      <c r="N702">
        <f>LOG10(G702/C702)-LOG10(34734/47667)</f>
        <v>7.1844242020972296E-2</v>
      </c>
      <c r="O702">
        <f>LOG10(H702/C702)-LOG10(33378/47667)</f>
        <v>0.13499391526436222</v>
      </c>
      <c r="Q702">
        <f>AVERAGE(K702:O702)</f>
        <v>0.19078578945263136</v>
      </c>
      <c r="R702">
        <f>STDEV(K702:O702)</f>
        <v>0.1387226966897871</v>
      </c>
    </row>
    <row r="703" spans="1:18">
      <c r="A703">
        <v>701</v>
      </c>
      <c r="C703">
        <v>1677</v>
      </c>
      <c r="D703">
        <v>255</v>
      </c>
      <c r="E703">
        <v>305</v>
      </c>
      <c r="F703">
        <v>1146</v>
      </c>
      <c r="G703">
        <v>552</v>
      </c>
      <c r="H703">
        <v>250</v>
      </c>
      <c r="J703" s="1"/>
      <c r="K703">
        <f t="shared" si="10"/>
        <v>-0.87560541770249034</v>
      </c>
      <c r="L703">
        <f>LOG10(E703/C703)-LOG10(37995/47667)</f>
        <v>-0.64174185234639958</v>
      </c>
      <c r="M703">
        <f>LOG10(F703/C703)-LOG10(35167/47667)</f>
        <v>-3.326594664549809E-2</v>
      </c>
      <c r="N703">
        <f>LOG10(G703/C703)-LOG10(34734/47667)</f>
        <v>-0.34513096506820451</v>
      </c>
      <c r="O703">
        <f>LOG10(H703/C703)-LOG10(33378/47667)</f>
        <v>-0.67183554449939031</v>
      </c>
      <c r="Q703">
        <f>AVERAGE(K703:O703)</f>
        <v>-0.51351594525239652</v>
      </c>
      <c r="R703">
        <f>STDEV(K703:O703)</f>
        <v>0.32848490358331256</v>
      </c>
    </row>
    <row r="704" spans="1:18">
      <c r="A704">
        <v>702</v>
      </c>
      <c r="C704">
        <v>2148</v>
      </c>
      <c r="D704">
        <v>497</v>
      </c>
      <c r="E704">
        <v>382</v>
      </c>
      <c r="F704">
        <v>412</v>
      </c>
      <c r="G704">
        <v>444</v>
      </c>
      <c r="H704">
        <v>253</v>
      </c>
      <c r="J704" s="1"/>
      <c r="K704">
        <f t="shared" si="10"/>
        <v>-0.69329042382454564</v>
      </c>
      <c r="L704">
        <f>LOG10(E704/C704)-LOG10(37995/47667)</f>
        <v>-0.65147954320290902</v>
      </c>
      <c r="M704">
        <f>LOG10(F704/C704)-LOG10(35167/47667)</f>
        <v>-0.58505456266516698</v>
      </c>
      <c r="N704">
        <f>LOG10(G704/C704)-LOG10(34734/47667)</f>
        <v>-0.54718828710421596</v>
      </c>
      <c r="O704">
        <f>LOG10(H704/C704)-LOG10(33378/47667)</f>
        <v>-0.77415624641704228</v>
      </c>
      <c r="Q704">
        <f>AVERAGE(K704:O704)</f>
        <v>-0.65023381264277602</v>
      </c>
      <c r="R704">
        <f>STDEV(K704:O704)</f>
        <v>8.9552928713674498E-2</v>
      </c>
    </row>
    <row r="705" spans="1:18">
      <c r="A705">
        <v>703</v>
      </c>
      <c r="C705">
        <v>1626</v>
      </c>
      <c r="D705">
        <v>928</v>
      </c>
      <c r="E705">
        <v>386</v>
      </c>
      <c r="F705">
        <v>367</v>
      </c>
      <c r="G705">
        <v>370</v>
      </c>
      <c r="H705">
        <v>506</v>
      </c>
      <c r="J705" s="1"/>
      <c r="K705">
        <f t="shared" si="10"/>
        <v>-0.301185100569547</v>
      </c>
      <c r="L705">
        <f>LOG10(E705/C705)-LOG10(37995/47667)</f>
        <v>-0.52604186567339417</v>
      </c>
      <c r="M705">
        <f>LOG10(F705/C705)-LOG10(35167/47667)</f>
        <v>-0.51437197867674356</v>
      </c>
      <c r="N705">
        <f>LOG10(G705/C705)-LOG10(34734/47667)</f>
        <v>-0.50545579738237212</v>
      </c>
      <c r="O705">
        <f>LOG10(H705/C705)-LOG10(33378/47667)</f>
        <v>-0.35221251498359241</v>
      </c>
      <c r="Q705">
        <f>AVERAGE(K705:O705)</f>
        <v>-0.4398534514571299</v>
      </c>
      <c r="R705">
        <f>STDEV(K705:O705)</f>
        <v>0.10511299481846924</v>
      </c>
    </row>
    <row r="706" spans="1:18">
      <c r="A706">
        <v>704</v>
      </c>
      <c r="C706">
        <v>4872</v>
      </c>
      <c r="D706">
        <v>7308</v>
      </c>
      <c r="E706">
        <v>9625</v>
      </c>
      <c r="F706">
        <v>4551</v>
      </c>
      <c r="G706">
        <v>5745</v>
      </c>
      <c r="H706">
        <v>4947</v>
      </c>
      <c r="J706" s="1"/>
      <c r="K706">
        <f t="shared" si="10"/>
        <v>0.11847872352532149</v>
      </c>
      <c r="L706">
        <f>LOG10(E706/C706)-LOG10(37995/47667)</f>
        <v>0.39418482946861966</v>
      </c>
      <c r="M706">
        <f>LOG10(F706/C706)-LOG10(35167/47667)</f>
        <v>0.10248205421079046</v>
      </c>
      <c r="N706">
        <f>LOG10(G706/C706)-LOG10(34734/47667)</f>
        <v>0.20904577320816733</v>
      </c>
      <c r="O706">
        <f>LOG10(H706/C706)-LOG10(33378/47667)</f>
        <v>0.16139214017402012</v>
      </c>
      <c r="Q706">
        <f>AVERAGE(K706:O706)</f>
        <v>0.19711670411738383</v>
      </c>
      <c r="R706">
        <f>STDEV(K706:O706)</f>
        <v>0.11767969466130045</v>
      </c>
    </row>
    <row r="707" spans="1:18">
      <c r="A707">
        <v>705</v>
      </c>
      <c r="C707">
        <v>928</v>
      </c>
      <c r="D707">
        <v>2799</v>
      </c>
      <c r="E707">
        <v>4498</v>
      </c>
      <c r="F707">
        <v>10128</v>
      </c>
      <c r="G707">
        <v>6123</v>
      </c>
      <c r="H707">
        <v>2626</v>
      </c>
      <c r="J707" s="1"/>
      <c r="K707">
        <f t="shared" ref="K707:K770" si="11">LOG10(D707/C707)-LOG10(54429/47667)</f>
        <v>0.42184238671694058</v>
      </c>
      <c r="L707">
        <f>LOG10(E707/C707)-LOG10(37995/47667)</f>
        <v>0.78396284579365161</v>
      </c>
      <c r="M707">
        <f>LOG10(F707/C707)-LOG10(35167/47667)</f>
        <v>1.1700582147836343</v>
      </c>
      <c r="N707">
        <f>LOG10(G707/C707)-LOG10(34734/47667)</f>
        <v>0.95687930302555313</v>
      </c>
      <c r="O707">
        <f>LOG10(H707/C707)-LOG10(33378/47667)</f>
        <v>0.60650425496925631</v>
      </c>
      <c r="Q707">
        <f>AVERAGE(K707:O707)</f>
        <v>0.78784940105780721</v>
      </c>
      <c r="R707">
        <f>STDEV(K707:O707)</f>
        <v>0.29219727365144282</v>
      </c>
    </row>
    <row r="708" spans="1:18">
      <c r="A708">
        <v>706</v>
      </c>
      <c r="C708">
        <v>1304</v>
      </c>
      <c r="D708">
        <v>583</v>
      </c>
      <c r="E708">
        <v>1456</v>
      </c>
      <c r="F708">
        <v>743</v>
      </c>
      <c r="G708">
        <v>628</v>
      </c>
      <c r="H708">
        <v>598</v>
      </c>
      <c r="J708" s="1"/>
      <c r="K708">
        <f t="shared" si="11"/>
        <v>-0.40722157216724714</v>
      </c>
      <c r="L708">
        <f>LOG10(E708/C708)-LOG10(37995/47667)</f>
        <v>0.14637515449401722</v>
      </c>
      <c r="M708">
        <f>LOG10(F708/C708)-LOG10(35167/47667)</f>
        <v>-0.11220627930610966</v>
      </c>
      <c r="N708">
        <f>LOG10(G708/C708)-LOG10(34734/47667)</f>
        <v>-0.17985492785002297</v>
      </c>
      <c r="O708">
        <f>LOG10(H708/C708)-LOG10(33378/47667)</f>
        <v>-0.18381889797283271</v>
      </c>
      <c r="Q708">
        <f>AVERAGE(K708:O708)</f>
        <v>-0.14734530456043904</v>
      </c>
      <c r="R708">
        <f>STDEV(K708:O708)</f>
        <v>0.1983868268377928</v>
      </c>
    </row>
    <row r="709" spans="1:18">
      <c r="A709">
        <v>707</v>
      </c>
      <c r="C709">
        <v>1689</v>
      </c>
      <c r="D709">
        <v>1288</v>
      </c>
      <c r="E709">
        <v>470</v>
      </c>
      <c r="F709">
        <v>636</v>
      </c>
      <c r="G709">
        <v>678</v>
      </c>
      <c r="H709">
        <v>1460</v>
      </c>
      <c r="J709" s="1"/>
      <c r="K709">
        <f t="shared" si="11"/>
        <v>-0.17532632207757509</v>
      </c>
      <c r="L709">
        <f>LOG10(E709/C709)-LOG10(37995/47667)</f>
        <v>-0.45704042072239093</v>
      </c>
      <c r="M709">
        <f>LOG10(F709/C709)-LOG10(35167/47667)</f>
        <v>-0.29209003559337832</v>
      </c>
      <c r="N709">
        <f>LOG10(G709/C709)-LOG10(34734/47667)</f>
        <v>-0.25893693589526301</v>
      </c>
      <c r="O709">
        <f>LOG10(H709/C709)-LOG10(33378/47667)</f>
        <v>9.1480715648086214E-2</v>
      </c>
      <c r="Q709">
        <f>AVERAGE(K709:O709)</f>
        <v>-0.21838259972810423</v>
      </c>
      <c r="R709">
        <f>STDEV(K709:O709)</f>
        <v>0.20118655090896193</v>
      </c>
    </row>
    <row r="710" spans="1:18">
      <c r="A710">
        <v>708</v>
      </c>
      <c r="C710">
        <v>1875</v>
      </c>
      <c r="D710">
        <v>8434</v>
      </c>
      <c r="E710">
        <v>6833</v>
      </c>
      <c r="F710">
        <v>5057</v>
      </c>
      <c r="G710">
        <v>4734</v>
      </c>
      <c r="H710">
        <v>9157</v>
      </c>
      <c r="J710" s="1"/>
      <c r="K710">
        <f t="shared" si="11"/>
        <v>0.59541978908474735</v>
      </c>
      <c r="L710">
        <f>LOG10(E710/C710)-LOG10(37995/47667)</f>
        <v>0.66010151957184982</v>
      </c>
      <c r="M710">
        <f>LOG10(F710/C710)-LOG10(35167/47667)</f>
        <v>0.56297417989802334</v>
      </c>
      <c r="N710">
        <f>LOG10(G710/C710)-LOG10(34734/47667)</f>
        <v>0.5396900013380086</v>
      </c>
      <c r="O710">
        <f>LOG10(H710/C710)-LOG10(33378/47667)</f>
        <v>0.84350945155770274</v>
      </c>
      <c r="Q710">
        <f>AVERAGE(K710:O710)</f>
        <v>0.6403389882900663</v>
      </c>
      <c r="R710">
        <f>STDEV(K710:O710)</f>
        <v>0.12227230000730922</v>
      </c>
    </row>
    <row r="711" spans="1:18">
      <c r="A711">
        <v>709</v>
      </c>
      <c r="C711">
        <v>2679</v>
      </c>
      <c r="D711">
        <v>2815</v>
      </c>
      <c r="E711">
        <v>2487</v>
      </c>
      <c r="F711">
        <v>2766</v>
      </c>
      <c r="G711">
        <v>2325</v>
      </c>
      <c r="H711">
        <v>9636</v>
      </c>
      <c r="J711" s="1"/>
      <c r="K711">
        <f t="shared" si="11"/>
        <v>-3.6106849951203626E-2</v>
      </c>
      <c r="L711">
        <f>LOG10(E711/C711)-LOG10(37995/47667)</f>
        <v>6.6194442574627393E-2</v>
      </c>
      <c r="M711">
        <f>LOG10(F711/C711)-LOG10(35167/47667)</f>
        <v>0.14596196049429935</v>
      </c>
      <c r="N711">
        <f>LOG10(G711/C711)-LOG10(34734/47667)</f>
        <v>7.5913263426446123E-2</v>
      </c>
      <c r="O711">
        <f>LOG10(H711/C711)-LOG10(33378/47667)</f>
        <v>0.71068158715275476</v>
      </c>
      <c r="Q711">
        <f>AVERAGE(K711:O711)</f>
        <v>0.19252888073938479</v>
      </c>
      <c r="R711">
        <f>STDEV(K711:O711)</f>
        <v>0.29685206544704806</v>
      </c>
    </row>
    <row r="712" spans="1:18">
      <c r="A712">
        <v>710</v>
      </c>
      <c r="C712">
        <v>1877</v>
      </c>
      <c r="D712">
        <v>236</v>
      </c>
      <c r="E712">
        <v>263</v>
      </c>
      <c r="F712">
        <v>260</v>
      </c>
      <c r="G712">
        <v>279</v>
      </c>
      <c r="H712">
        <v>188</v>
      </c>
      <c r="J712" s="1"/>
      <c r="K712">
        <f t="shared" si="11"/>
        <v>-0.95816480518159952</v>
      </c>
      <c r="L712">
        <f>LOG10(E712/C712)-LOG10(37995/47667)</f>
        <v>-0.75501715321868823</v>
      </c>
      <c r="M712">
        <f>LOG10(F712/C712)-LOG10(35167/47667)</f>
        <v>-0.72640842632131186</v>
      </c>
      <c r="N712">
        <f>LOG10(G712/C712)-LOG10(34734/47667)</f>
        <v>-0.69039704953906655</v>
      </c>
      <c r="O712">
        <f>LOG10(H712/C712)-LOG10(33378/47667)</f>
        <v>-0.84454891392300868</v>
      </c>
      <c r="Q712">
        <f>AVERAGE(K712:O712)</f>
        <v>-0.79490726963673486</v>
      </c>
      <c r="R712">
        <f>STDEV(K712:O712)</f>
        <v>0.10761391033213122</v>
      </c>
    </row>
    <row r="713" spans="1:18">
      <c r="A713">
        <v>711</v>
      </c>
      <c r="C713">
        <v>2457</v>
      </c>
      <c r="D713">
        <v>3407</v>
      </c>
      <c r="E713">
        <v>2360</v>
      </c>
      <c r="F713">
        <v>2739</v>
      </c>
      <c r="G713">
        <v>2594</v>
      </c>
      <c r="H713">
        <v>2230</v>
      </c>
      <c r="J713" s="1"/>
      <c r="K713">
        <f t="shared" si="11"/>
        <v>8.4354441557436793E-2</v>
      </c>
      <c r="L713">
        <f>LOG10(E713/C713)-LOG10(37995/47667)</f>
        <v>8.0998217402925898E-2</v>
      </c>
      <c r="M713">
        <f>LOG10(F713/C713)-LOG10(35167/47667)</f>
        <v>0.17926937410309693</v>
      </c>
      <c r="N713">
        <f>LOG10(G713/C713)-LOG10(34734/47667)</f>
        <v>0.16102783507666263</v>
      </c>
      <c r="O713">
        <f>LOG10(H713/C713)-LOG10(33378/47667)</f>
        <v>0.11265721600273754</v>
      </c>
      <c r="Q713">
        <f>AVERAGE(K713:O713)</f>
        <v>0.12366141682857194</v>
      </c>
      <c r="R713">
        <f>STDEV(K713:O713)</f>
        <v>4.4650793528643005E-2</v>
      </c>
    </row>
    <row r="714" spans="1:18">
      <c r="A714">
        <v>712</v>
      </c>
      <c r="C714">
        <v>1808</v>
      </c>
      <c r="D714">
        <v>17915</v>
      </c>
      <c r="E714">
        <v>4516</v>
      </c>
      <c r="F714">
        <v>4461</v>
      </c>
      <c r="G714">
        <v>5316</v>
      </c>
      <c r="H714">
        <v>6828</v>
      </c>
      <c r="J714" s="1"/>
      <c r="K714">
        <f t="shared" si="11"/>
        <v>0.93840585083242523</v>
      </c>
      <c r="L714">
        <f>LOG10(E714/C714)-LOG10(37995/47667)</f>
        <v>0.49604687802648595</v>
      </c>
      <c r="M714">
        <f>LOG10(F714/C714)-LOG10(35167/47667)</f>
        <v>0.52431629543148861</v>
      </c>
      <c r="N714">
        <f>LOG10(G714/C714)-LOG10(34734/47667)</f>
        <v>0.60584956594003214</v>
      </c>
      <c r="O714">
        <f>LOG10(H714/C714)-LOG10(33378/47667)</f>
        <v>0.73185259573800931</v>
      </c>
      <c r="Q714">
        <f>AVERAGE(K714:O714)</f>
        <v>0.65929423719368818</v>
      </c>
      <c r="R714">
        <f>STDEV(K714:O714)</f>
        <v>0.18089574772883873</v>
      </c>
    </row>
    <row r="715" spans="1:18">
      <c r="A715">
        <v>713</v>
      </c>
      <c r="C715">
        <v>2811</v>
      </c>
      <c r="D715">
        <v>4063</v>
      </c>
      <c r="E715">
        <v>1308</v>
      </c>
      <c r="F715">
        <v>1562</v>
      </c>
      <c r="G715">
        <v>1538</v>
      </c>
      <c r="H715">
        <v>2933</v>
      </c>
      <c r="J715" s="1"/>
      <c r="K715">
        <f t="shared" si="11"/>
        <v>0.10237344118861114</v>
      </c>
      <c r="L715">
        <f>LOG10(E715/C715)-LOG10(37995/47667)</f>
        <v>-0.23376173070629194</v>
      </c>
      <c r="M715">
        <f>LOG10(F715/C715)-LOG10(35167/47667)</f>
        <v>-0.12309731773694269</v>
      </c>
      <c r="N715">
        <f>LOG10(G715/C715)-LOG10(34734/47667)</f>
        <v>-0.1244414903333462</v>
      </c>
      <c r="O715">
        <f>LOG10(H715/C715)-LOG10(33378/47667)</f>
        <v>0.17320872680776922</v>
      </c>
      <c r="Q715">
        <f>AVERAGE(K715:O715)</f>
        <v>-4.1143674156040103E-2</v>
      </c>
      <c r="R715">
        <f>STDEV(K715:O715)</f>
        <v>0.17124598957427406</v>
      </c>
    </row>
    <row r="716" spans="1:18">
      <c r="A716">
        <v>714</v>
      </c>
      <c r="C716">
        <v>3955</v>
      </c>
      <c r="D716">
        <v>7398</v>
      </c>
      <c r="E716">
        <v>4920</v>
      </c>
      <c r="F716">
        <v>6543</v>
      </c>
      <c r="G716">
        <v>7888</v>
      </c>
      <c r="H716">
        <v>4544</v>
      </c>
      <c r="J716" s="1"/>
      <c r="K716">
        <f t="shared" si="11"/>
        <v>0.21435530361532015</v>
      </c>
      <c r="L716">
        <f>LOG10(E716/C716)-LOG10(37995/47667)</f>
        <v>0.19330998584656517</v>
      </c>
      <c r="M716">
        <f>LOG10(F716/C716)-LOG10(35167/47667)</f>
        <v>0.35071293079388383</v>
      </c>
      <c r="N716">
        <f>LOG10(G716/C716)-LOG10(34734/47667)</f>
        <v>0.43728343390814173</v>
      </c>
      <c r="O716">
        <f>LOG10(H716/C716)-LOG10(33378/47667)</f>
        <v>0.21504934430392489</v>
      </c>
      <c r="Q716">
        <f>AVERAGE(K716:O716)</f>
        <v>0.28214219969356719</v>
      </c>
      <c r="R716">
        <f>STDEV(K716:O716)</f>
        <v>0.10695609433135565</v>
      </c>
    </row>
    <row r="717" spans="1:18">
      <c r="A717">
        <v>715</v>
      </c>
      <c r="C717">
        <v>2749</v>
      </c>
      <c r="D717">
        <v>2789</v>
      </c>
      <c r="E717">
        <v>3331</v>
      </c>
      <c r="F717">
        <v>2960</v>
      </c>
      <c r="G717">
        <v>4587</v>
      </c>
      <c r="H717">
        <v>2775</v>
      </c>
      <c r="J717" s="1"/>
      <c r="K717">
        <f t="shared" si="11"/>
        <v>-5.1338761107778401E-2</v>
      </c>
      <c r="L717">
        <f>LOG10(E717/C717)-LOG10(37995/47667)</f>
        <v>0.18189126376060855</v>
      </c>
      <c r="M717">
        <f>LOG10(F717/C717)-LOG10(35167/47667)</f>
        <v>0.16419946954468656</v>
      </c>
      <c r="N717">
        <f>LOG10(G717/C717)-LOG10(34734/47667)</f>
        <v>0.35981702009719641</v>
      </c>
      <c r="O717">
        <f>LOG10(H717/C717)-LOG10(33378/47667)</f>
        <v>0.15884575704988432</v>
      </c>
      <c r="Q717">
        <f>AVERAGE(K717:O717)</f>
        <v>0.16268294986891949</v>
      </c>
      <c r="R717">
        <f>STDEV(K717:O717)</f>
        <v>0.14581933823860566</v>
      </c>
    </row>
    <row r="718" spans="1:18">
      <c r="A718">
        <v>716</v>
      </c>
      <c r="C718">
        <v>3428</v>
      </c>
      <c r="D718">
        <v>1440</v>
      </c>
      <c r="E718">
        <v>1932</v>
      </c>
      <c r="F718">
        <v>1867</v>
      </c>
      <c r="G718">
        <v>1985</v>
      </c>
      <c r="H718">
        <v>1451</v>
      </c>
      <c r="J718" s="1"/>
      <c r="K718">
        <f t="shared" si="11"/>
        <v>-0.43429085668627071</v>
      </c>
      <c r="L718">
        <f>LOG10(E718/C718)-LOG10(37995/47667)</f>
        <v>-0.15054232025878575</v>
      </c>
      <c r="M718">
        <f>LOG10(F718/C718)-LOG10(35167/47667)</f>
        <v>-0.1318139969728658</v>
      </c>
      <c r="N718">
        <f>LOG10(G718/C718)-LOG10(34734/47667)</f>
        <v>-9.9817282343344416E-2</v>
      </c>
      <c r="O718">
        <f>LOG10(H718/C718)-LOG10(33378/47667)</f>
        <v>-0.21861589137876689</v>
      </c>
      <c r="Q718">
        <f>AVERAGE(K718:O718)</f>
        <v>-0.20701606952800669</v>
      </c>
      <c r="R718">
        <f>STDEV(K718:O718)</f>
        <v>0.13428011840158771</v>
      </c>
    </row>
    <row r="719" spans="1:18">
      <c r="A719">
        <v>717</v>
      </c>
      <c r="C719">
        <v>3664</v>
      </c>
      <c r="D719">
        <v>5854</v>
      </c>
      <c r="E719">
        <v>4739</v>
      </c>
      <c r="F719">
        <v>4079</v>
      </c>
      <c r="G719">
        <v>3618</v>
      </c>
      <c r="H719">
        <v>7340</v>
      </c>
      <c r="J719" s="1"/>
      <c r="K719">
        <f t="shared" si="11"/>
        <v>0.14588471757160063</v>
      </c>
      <c r="L719">
        <f>LOG10(E719/C719)-LOG10(37995/47667)</f>
        <v>0.21022261461648861</v>
      </c>
      <c r="M719">
        <f>LOG10(F719/C719)-LOG10(35167/47667)</f>
        <v>0.17868073865049824</v>
      </c>
      <c r="N719">
        <f>LOG10(G719/C719)-LOG10(34734/47667)</f>
        <v>0.13197611733666442</v>
      </c>
      <c r="O719">
        <f>LOG10(H719/C719)-LOG10(33378/47667)</f>
        <v>0.45649810435491556</v>
      </c>
      <c r="Q719">
        <f>AVERAGE(K719:O719)</f>
        <v>0.22465245850603352</v>
      </c>
      <c r="R719">
        <f>STDEV(K719:O719)</f>
        <v>0.1331045492692613</v>
      </c>
    </row>
    <row r="720" spans="1:18">
      <c r="A720">
        <v>718</v>
      </c>
      <c r="C720">
        <v>1930</v>
      </c>
      <c r="D720">
        <v>358</v>
      </c>
      <c r="E720">
        <v>996</v>
      </c>
      <c r="F720">
        <v>411</v>
      </c>
      <c r="G720">
        <v>462</v>
      </c>
      <c r="H720">
        <v>502</v>
      </c>
      <c r="J720" s="1"/>
      <c r="K720">
        <f t="shared" si="11"/>
        <v>-0.78928681789425914</v>
      </c>
      <c r="L720">
        <f>LOG10(E720/C720)-LOG10(37995/47667)</f>
        <v>-0.18880659967117483</v>
      </c>
      <c r="M720">
        <f>LOG10(F720/C720)-LOG10(35167/47667)</f>
        <v>-0.53963298880248811</v>
      </c>
      <c r="N720">
        <f>LOG10(G720/C720)-LOG10(34734/47667)</f>
        <v>-0.48345231364296604</v>
      </c>
      <c r="O720">
        <f>LOG10(H720/C720)-LOG10(33378/47667)</f>
        <v>-0.4300960824280966</v>
      </c>
      <c r="Q720">
        <f>AVERAGE(K720:O720)</f>
        <v>-0.48625496048779693</v>
      </c>
      <c r="R720">
        <f>STDEV(K720:O720)</f>
        <v>0.21582094562201959</v>
      </c>
    </row>
    <row r="721" spans="1:18">
      <c r="A721">
        <v>719</v>
      </c>
      <c r="C721">
        <v>2673</v>
      </c>
      <c r="D721">
        <v>1389</v>
      </c>
      <c r="E721">
        <v>1720</v>
      </c>
      <c r="F721">
        <v>1425</v>
      </c>
      <c r="G721">
        <v>1661</v>
      </c>
      <c r="H721">
        <v>971</v>
      </c>
      <c r="J721" s="1"/>
      <c r="K721">
        <f t="shared" si="11"/>
        <v>-0.34190924854928145</v>
      </c>
      <c r="L721">
        <f>LOG10(E721/C721)-LOG10(37995/47667)</f>
        <v>-9.2979140936088084E-2</v>
      </c>
      <c r="M721">
        <f>LOG10(F721/C721)-LOG10(35167/47667)</f>
        <v>-0.14110159608279174</v>
      </c>
      <c r="N721">
        <f>LOG10(G721/C721)-LOG10(34734/47667)</f>
        <v>-6.9166306496460495E-2</v>
      </c>
      <c r="O721">
        <f>LOG10(H721/C721)-LOG10(33378/47667)</f>
        <v>-0.28502221941387451</v>
      </c>
      <c r="Q721">
        <f>AVERAGE(K721:O721)</f>
        <v>-0.18603570229569927</v>
      </c>
      <c r="R721">
        <f>STDEV(K721:O721)</f>
        <v>0.12086350377653454</v>
      </c>
    </row>
    <row r="722" spans="1:18">
      <c r="A722">
        <v>720</v>
      </c>
      <c r="C722">
        <v>2366</v>
      </c>
      <c r="D722">
        <v>2312</v>
      </c>
      <c r="E722">
        <v>1820</v>
      </c>
      <c r="F722">
        <v>1701</v>
      </c>
      <c r="G722">
        <v>2389</v>
      </c>
      <c r="H722">
        <v>2274</v>
      </c>
      <c r="J722" s="1"/>
      <c r="K722">
        <f t="shared" si="11"/>
        <v>-6.7639446073779891E-2</v>
      </c>
      <c r="L722">
        <f>LOG10(E722/C722)-LOG10(37995/47667)</f>
        <v>-1.5451981393936498E-2</v>
      </c>
      <c r="M722">
        <f>LOG10(F722/C722)-LOG10(35167/47667)</f>
        <v>-1.1227928350126093E-2</v>
      </c>
      <c r="N722">
        <f>LOG10(G722/C722)-LOG10(34734/47667)</f>
        <v>0.14166442926664863</v>
      </c>
      <c r="O722">
        <f>LOG10(H722/C722)-LOG10(33378/47667)</f>
        <v>0.1375332294944622</v>
      </c>
      <c r="Q722">
        <f>AVERAGE(K722:O722)</f>
        <v>3.6975660588653668E-2</v>
      </c>
      <c r="R722">
        <f>STDEV(K722:O722)</f>
        <v>9.6291389962949211E-2</v>
      </c>
    </row>
    <row r="723" spans="1:18">
      <c r="A723">
        <v>721</v>
      </c>
      <c r="C723">
        <v>1750</v>
      </c>
      <c r="D723">
        <v>4558</v>
      </c>
      <c r="E723">
        <v>2842</v>
      </c>
      <c r="F723">
        <v>3523</v>
      </c>
      <c r="G723">
        <v>3449</v>
      </c>
      <c r="H723">
        <v>2621</v>
      </c>
      <c r="J723" s="1"/>
      <c r="K723">
        <f t="shared" si="11"/>
        <v>0.35812373662770253</v>
      </c>
      <c r="L723">
        <f>LOG10(E723/C723)-LOG10(37995/47667)</f>
        <v>0.30907739581805682</v>
      </c>
      <c r="M723">
        <f>LOG10(F723/C723)-LOG10(35167/47667)</f>
        <v>0.4359570928241645</v>
      </c>
      <c r="N723">
        <f>LOG10(G723/C723)-LOG10(34734/47667)</f>
        <v>0.43211816548977855</v>
      </c>
      <c r="O723">
        <f>LOG10(H723/C723)-LOG10(33378/47667)</f>
        <v>0.33018648169496384</v>
      </c>
      <c r="Q723">
        <f>AVERAGE(K723:O723)</f>
        <v>0.37309257449093325</v>
      </c>
      <c r="R723">
        <f>STDEV(K723:O723)</f>
        <v>5.8307182371780966E-2</v>
      </c>
    </row>
    <row r="724" spans="1:18">
      <c r="A724">
        <v>722</v>
      </c>
      <c r="C724">
        <v>896</v>
      </c>
      <c r="D724">
        <v>937</v>
      </c>
      <c r="E724">
        <v>986</v>
      </c>
      <c r="F724">
        <v>2479</v>
      </c>
      <c r="G724">
        <v>870</v>
      </c>
      <c r="H724">
        <v>1603</v>
      </c>
      <c r="J724" s="1"/>
      <c r="K724">
        <f t="shared" si="11"/>
        <v>-3.818095430470668E-2</v>
      </c>
      <c r="L724">
        <f>LOG10(E724/C724)-LOG10(37995/47667)</f>
        <v>0.14006027619198627</v>
      </c>
      <c r="M724">
        <f>LOG10(F724/C724)-LOG10(35167/47667)</f>
        <v>0.57405101543491277</v>
      </c>
      <c r="N724">
        <f>LOG10(G724/C724)-LOG10(34734/47667)</f>
        <v>0.12467426276517563</v>
      </c>
      <c r="O724">
        <f>LOG10(H724/C724)-LOG10(33378/47667)</f>
        <v>0.40738302212667743</v>
      </c>
      <c r="Q724">
        <f>AVERAGE(K724:O724)</f>
        <v>0.24159752444280908</v>
      </c>
      <c r="R724">
        <f>STDEV(K724:O724)</f>
        <v>0.24508519640580312</v>
      </c>
    </row>
    <row r="725" spans="1:18">
      <c r="A725">
        <v>723</v>
      </c>
      <c r="C725">
        <v>3368</v>
      </c>
      <c r="D725">
        <v>2613</v>
      </c>
      <c r="E725">
        <v>2788</v>
      </c>
      <c r="F725">
        <v>2878</v>
      </c>
      <c r="G725">
        <v>1966</v>
      </c>
      <c r="H725">
        <v>2269</v>
      </c>
      <c r="J725" s="1"/>
      <c r="K725">
        <f t="shared" si="11"/>
        <v>-0.16784520863064603</v>
      </c>
      <c r="L725">
        <f>LOG10(E725/C725)-LOG10(37995/47667)</f>
        <v>1.6412057511260167E-2</v>
      </c>
      <c r="M725">
        <f>LOG10(F725/C725)-LOG10(35167/47667)</f>
        <v>6.3801205102190964E-2</v>
      </c>
      <c r="N725">
        <f>LOG10(G725/C725)-LOG10(34734/47667)</f>
        <v>-9.6325549522812803E-2</v>
      </c>
      <c r="O725">
        <f>LOG10(H725/C725)-LOG10(33378/47667)</f>
        <v>-1.6780077508018076E-2</v>
      </c>
      <c r="Q725">
        <f>AVERAGE(K725:O725)</f>
        <v>-4.014751460960516E-2</v>
      </c>
      <c r="R725">
        <f>STDEV(K725:O725)</f>
        <v>9.2213110930488756E-2</v>
      </c>
    </row>
    <row r="726" spans="1:18">
      <c r="A726">
        <v>724</v>
      </c>
      <c r="C726">
        <v>1890</v>
      </c>
      <c r="D726">
        <v>685</v>
      </c>
      <c r="E726">
        <v>592</v>
      </c>
      <c r="F726">
        <v>752</v>
      </c>
      <c r="G726">
        <v>577</v>
      </c>
      <c r="H726">
        <v>1148</v>
      </c>
      <c r="J726" s="1"/>
      <c r="K726">
        <f t="shared" si="11"/>
        <v>-0.49838376821117836</v>
      </c>
      <c r="L726">
        <f>LOG10(E726/C726)-LOG10(37995/47667)</f>
        <v>-0.40564872653742412</v>
      </c>
      <c r="M726">
        <f>LOG10(F726/C726)-LOG10(35167/47667)</f>
        <v>-0.26816146525238538</v>
      </c>
      <c r="N726">
        <f>LOG10(G726/C726)-LOG10(34734/47667)</f>
        <v>-0.37782297120883046</v>
      </c>
      <c r="O726">
        <f>LOG10(H726/C726)-LOG10(33378/47667)</f>
        <v>-6.1762406676631632E-2</v>
      </c>
      <c r="Q726">
        <f>AVERAGE(K726:O726)</f>
        <v>-0.32235586757729001</v>
      </c>
      <c r="R726">
        <f>STDEV(K726:O726)</f>
        <v>0.16721700485307667</v>
      </c>
    </row>
    <row r="727" spans="1:18">
      <c r="A727">
        <v>725</v>
      </c>
      <c r="C727">
        <v>2236</v>
      </c>
      <c r="D727">
        <v>1871</v>
      </c>
      <c r="E727">
        <v>1450</v>
      </c>
      <c r="F727">
        <v>1643</v>
      </c>
      <c r="G727">
        <v>1883</v>
      </c>
      <c r="H727">
        <v>1703</v>
      </c>
      <c r="J727" s="1"/>
      <c r="K727">
        <f t="shared" si="11"/>
        <v>-0.13501054724473555</v>
      </c>
      <c r="L727">
        <f>LOG10(E727/C727)-LOG10(37995/47667)</f>
        <v>-8.961242606651057E-2</v>
      </c>
      <c r="M727">
        <f>LOG10(F727/C727)-LOG10(35167/47667)</f>
        <v>-1.7517374501075378E-3</v>
      </c>
      <c r="N727">
        <f>LOG10(G727/C727)-LOG10(34734/47667)</f>
        <v>6.2841540610961394E-2</v>
      </c>
      <c r="O727">
        <f>LOG10(H727/C727)-LOG10(33378/47667)</f>
        <v>3.6500358182873158E-2</v>
      </c>
      <c r="Q727">
        <f>AVERAGE(K727:O727)</f>
        <v>-2.5406562393503817E-2</v>
      </c>
      <c r="R727">
        <f>STDEV(K727:O727)</f>
        <v>8.4135562735838748E-2</v>
      </c>
    </row>
    <row r="728" spans="1:18">
      <c r="A728">
        <v>726</v>
      </c>
      <c r="C728">
        <v>2027</v>
      </c>
      <c r="D728">
        <v>3253</v>
      </c>
      <c r="E728">
        <v>3878</v>
      </c>
      <c r="F728">
        <v>2567</v>
      </c>
      <c r="G728">
        <v>3956</v>
      </c>
      <c r="H728">
        <v>2903</v>
      </c>
      <c r="J728" s="1"/>
      <c r="K728">
        <f t="shared" si="11"/>
        <v>0.14781777905848512</v>
      </c>
      <c r="L728">
        <f>LOG10(E728/C728)-LOG10(37995/47667)</f>
        <v>0.38024542696257813</v>
      </c>
      <c r="M728">
        <f>LOG10(F728/C728)-LOG10(35167/47667)</f>
        <v>0.23465461830765111</v>
      </c>
      <c r="N728">
        <f>LOG10(G728/C728)-LOG10(34734/47667)</f>
        <v>0.42786555404081539</v>
      </c>
      <c r="O728">
        <f>LOG10(H728/C728)-LOG10(33378/47667)</f>
        <v>0.31075079657332283</v>
      </c>
      <c r="Q728">
        <f>AVERAGE(K728:O728)</f>
        <v>0.30026683498857054</v>
      </c>
      <c r="R728">
        <f>STDEV(K728:O728)</f>
        <v>0.11217575424327145</v>
      </c>
    </row>
    <row r="729" spans="1:18">
      <c r="A729">
        <v>727</v>
      </c>
      <c r="C729">
        <v>1989</v>
      </c>
      <c r="D729">
        <v>1888</v>
      </c>
      <c r="E729">
        <v>1100</v>
      </c>
      <c r="F729">
        <v>1454</v>
      </c>
      <c r="G729">
        <v>1672</v>
      </c>
      <c r="H729">
        <v>1126</v>
      </c>
      <c r="J729" s="1"/>
      <c r="K729">
        <f t="shared" si="11"/>
        <v>-8.0245328692745185E-2</v>
      </c>
      <c r="L729">
        <f>LOG10(E729/C729)-LOG10(37995/47667)</f>
        <v>-0.15875072705331025</v>
      </c>
      <c r="M729">
        <f>LOG10(F729/C729)-LOG10(35167/47667)</f>
        <v>-3.9878782722001238E-3</v>
      </c>
      <c r="N729">
        <f>LOG10(G729/C729)-LOG10(34734/47667)</f>
        <v>6.2064509787244301E-2</v>
      </c>
      <c r="O729">
        <f>LOG10(H729/C729)-LOG10(33378/47667)</f>
        <v>-9.2338883174450354E-2</v>
      </c>
      <c r="Q729">
        <f>AVERAGE(K729:O729)</f>
        <v>-5.465166148109233E-2</v>
      </c>
      <c r="R729">
        <f>STDEV(K729:O729)</f>
        <v>8.5295752382359868E-2</v>
      </c>
    </row>
    <row r="730" spans="1:18">
      <c r="A730">
        <v>728</v>
      </c>
      <c r="C730">
        <v>2292</v>
      </c>
      <c r="D730">
        <v>2575</v>
      </c>
      <c r="E730">
        <v>2516</v>
      </c>
      <c r="F730">
        <v>2003</v>
      </c>
      <c r="G730">
        <v>2765</v>
      </c>
      <c r="H730">
        <v>3393</v>
      </c>
      <c r="J730" s="1"/>
      <c r="K730">
        <f t="shared" si="11"/>
        <v>-7.0499154485023086E-3</v>
      </c>
      <c r="L730">
        <f>LOG10(E730/C730)-LOG10(37995/47667)</f>
        <v>0.13898739439077917</v>
      </c>
      <c r="M730">
        <f>LOG10(F730/C730)-LOG10(35167/47667)</f>
        <v>7.3548834327440332E-2</v>
      </c>
      <c r="N730">
        <f>LOG10(G730/C730)-LOG10(34734/47667)</f>
        <v>0.21894354215404699</v>
      </c>
      <c r="O730">
        <f>LOG10(H730/C730)-LOG10(33378/47667)</f>
        <v>0.32512675578442318</v>
      </c>
      <c r="Q730">
        <f>AVERAGE(K730:O730)</f>
        <v>0.14991132224163747</v>
      </c>
      <c r="R730">
        <f>STDEV(K730:O730)</f>
        <v>0.128504170588914</v>
      </c>
    </row>
    <row r="731" spans="1:18">
      <c r="A731">
        <v>729</v>
      </c>
      <c r="C731">
        <v>1844</v>
      </c>
      <c r="D731">
        <v>362</v>
      </c>
      <c r="E731">
        <v>759</v>
      </c>
      <c r="F731">
        <v>336</v>
      </c>
      <c r="G731">
        <v>526</v>
      </c>
      <c r="H731">
        <v>573</v>
      </c>
      <c r="J731" s="1"/>
      <c r="K731">
        <f t="shared" si="11"/>
        <v>-0.76466488171480451</v>
      </c>
      <c r="L731">
        <f>LOG10(E731/C731)-LOG10(37995/47667)</f>
        <v>-0.28702776990922996</v>
      </c>
      <c r="M731">
        <f>LOG10(F731/C731)-LOG10(35167/47667)</f>
        <v>-0.60733914099855002</v>
      </c>
      <c r="N731">
        <f>LOG10(G731/C731)-LOG10(34734/47667)</f>
        <v>-0.40731215275518928</v>
      </c>
      <c r="O731">
        <f>LOG10(H731/C731)-LOG10(33378/47667)</f>
        <v>-0.35284878531556274</v>
      </c>
      <c r="Q731">
        <f>AVERAGE(K731:O731)</f>
        <v>-0.48383854613866728</v>
      </c>
      <c r="R731">
        <f>STDEV(K731:O731)</f>
        <v>0.19739865478814494</v>
      </c>
    </row>
    <row r="732" spans="1:18">
      <c r="A732">
        <v>730</v>
      </c>
      <c r="C732">
        <v>1336</v>
      </c>
      <c r="D732">
        <v>2606</v>
      </c>
      <c r="E732">
        <v>2339</v>
      </c>
      <c r="F732">
        <v>3278</v>
      </c>
      <c r="G732">
        <v>5074</v>
      </c>
      <c r="H732">
        <v>10676</v>
      </c>
      <c r="J732" s="1"/>
      <c r="K732">
        <f t="shared" si="11"/>
        <v>0.23255541770667928</v>
      </c>
      <c r="L732">
        <f>LOG10(E732/C732)-LOG10(37995/47667)</f>
        <v>0.34171513458252645</v>
      </c>
      <c r="M732">
        <f>LOG10(F732/C732)-LOG10(35167/47667)</f>
        <v>0.52188498942416983</v>
      </c>
      <c r="N732">
        <f>LOG10(G732/C732)-LOG10(34734/47667)</f>
        <v>0.71700702455486731</v>
      </c>
      <c r="O732">
        <f>LOG10(H732/C732)-LOG10(33378/47667)</f>
        <v>1.0573596164106009</v>
      </c>
      <c r="Q732">
        <f>AVERAGE(K732:O732)</f>
        <v>0.57410443653576881</v>
      </c>
      <c r="R732">
        <f>STDEV(K732:O732)</f>
        <v>0.32685780896304223</v>
      </c>
    </row>
    <row r="733" spans="1:18">
      <c r="A733">
        <v>731</v>
      </c>
      <c r="C733">
        <v>1788</v>
      </c>
      <c r="D733">
        <v>6973</v>
      </c>
      <c r="E733">
        <v>3405</v>
      </c>
      <c r="F733">
        <v>58546</v>
      </c>
      <c r="G733">
        <v>6055</v>
      </c>
      <c r="H733">
        <v>4538</v>
      </c>
      <c r="J733" s="1"/>
      <c r="K733">
        <f t="shared" si="11"/>
        <v>0.53343961521465977</v>
      </c>
      <c r="L733">
        <f>LOG10(E733/C733)-LOG10(37995/47667)</f>
        <v>0.37824097270180534</v>
      </c>
      <c r="M733">
        <f>LOG10(F733/C733)-LOG10(35167/47667)</f>
        <v>1.647212212273937</v>
      </c>
      <c r="N733">
        <f>LOG10(G733/C733)-LOG10(34734/47667)</f>
        <v>0.66720965282785438</v>
      </c>
      <c r="O733">
        <f>LOG10(H733/C733)-LOG10(33378/47667)</f>
        <v>0.55925448652367615</v>
      </c>
      <c r="Q733">
        <f>AVERAGE(K733:O733)</f>
        <v>0.75707138790838657</v>
      </c>
      <c r="R733">
        <f>STDEV(K733:O733)</f>
        <v>0.5082029610182931</v>
      </c>
    </row>
    <row r="734" spans="1:18">
      <c r="A734">
        <v>732</v>
      </c>
      <c r="C734">
        <v>962</v>
      </c>
      <c r="D734">
        <v>1978</v>
      </c>
      <c r="E734">
        <v>1368</v>
      </c>
      <c r="F734">
        <v>1180</v>
      </c>
      <c r="G734">
        <v>889</v>
      </c>
      <c r="H734">
        <v>3697</v>
      </c>
      <c r="J734" s="1"/>
      <c r="K734">
        <f t="shared" si="11"/>
        <v>0.25543867969298784</v>
      </c>
      <c r="L734">
        <f>LOG10(E734/C734)-LOG10(37995/47667)</f>
        <v>0.2514023962591847</v>
      </c>
      <c r="M734">
        <f>LOG10(F734/C734)-LOG10(35167/47667)</f>
        <v>0.22078943359752887</v>
      </c>
      <c r="N734">
        <f>LOG10(G734/C734)-LOG10(34734/47667)</f>
        <v>0.10318970874108302</v>
      </c>
      <c r="O734">
        <f>LOG10(H734/C734)-LOG10(33378/47667)</f>
        <v>0.73943188796995163</v>
      </c>
      <c r="Q734">
        <f>AVERAGE(K734:O734)</f>
        <v>0.31405042125214722</v>
      </c>
      <c r="R734">
        <f>STDEV(K734:O734)</f>
        <v>0.24569765740137592</v>
      </c>
    </row>
    <row r="735" spans="1:18">
      <c r="A735">
        <v>733</v>
      </c>
      <c r="C735">
        <v>3022</v>
      </c>
      <c r="D735">
        <v>9720</v>
      </c>
      <c r="E735">
        <v>10040</v>
      </c>
      <c r="F735">
        <v>2078</v>
      </c>
      <c r="G735">
        <v>11540</v>
      </c>
      <c r="H735">
        <v>5878</v>
      </c>
      <c r="J735" s="1"/>
      <c r="K735">
        <f t="shared" si="11"/>
        <v>0.44975926939290828</v>
      </c>
      <c r="L735">
        <f>LOG10(E735/C735)-LOG10(37995/47667)</f>
        <v>0.61993062371889418</v>
      </c>
      <c r="M735">
        <f>LOG10(F735/C735)-LOG10(35167/47667)</f>
        <v>-3.0566418452631472E-2</v>
      </c>
      <c r="N735">
        <f>LOG10(G735/C735)-LOG10(34734/47667)</f>
        <v>0.71937436862538828</v>
      </c>
      <c r="O735">
        <f>LOG10(H735/C735)-LOG10(33378/47667)</f>
        <v>0.44369263116824498</v>
      </c>
      <c r="Q735">
        <f>AVERAGE(K735:O735)</f>
        <v>0.44043809489056079</v>
      </c>
      <c r="R735">
        <f>STDEV(K735:O735)</f>
        <v>0.2880823409202673</v>
      </c>
    </row>
    <row r="736" spans="1:18">
      <c r="A736">
        <v>734</v>
      </c>
      <c r="C736">
        <v>1811</v>
      </c>
      <c r="D736">
        <v>553</v>
      </c>
      <c r="E736">
        <v>393</v>
      </c>
      <c r="F736">
        <v>1477</v>
      </c>
      <c r="G736">
        <v>267</v>
      </c>
      <c r="H736">
        <v>451</v>
      </c>
      <c r="J736" s="1"/>
      <c r="K736">
        <f t="shared" si="11"/>
        <v>-0.57280585453971988</v>
      </c>
      <c r="L736">
        <f>LOG10(E736/C736)-LOG10(37995/47667)</f>
        <v>-0.56503452902573137</v>
      </c>
      <c r="M736">
        <f>LOG10(F736/C736)-LOG10(35167/47667)</f>
        <v>4.354454332710754E-2</v>
      </c>
      <c r="N736">
        <f>LOG10(G736/C736)-LOG10(34734/47667)</f>
        <v>-0.69394416914080093</v>
      </c>
      <c r="O736">
        <f>LOG10(H736/C736)-LOG10(33378/47667)</f>
        <v>-0.44898439900144005</v>
      </c>
      <c r="Q736">
        <f>AVERAGE(K736:O736)</f>
        <v>-0.44744488167611696</v>
      </c>
      <c r="R736">
        <f>STDEV(K736:O736)</f>
        <v>0.28782702400065935</v>
      </c>
    </row>
    <row r="737" spans="1:18">
      <c r="A737">
        <v>735</v>
      </c>
      <c r="C737">
        <v>1362</v>
      </c>
      <c r="D737">
        <v>3076</v>
      </c>
      <c r="E737">
        <v>13663</v>
      </c>
      <c r="F737">
        <v>703</v>
      </c>
      <c r="G737">
        <v>1031</v>
      </c>
      <c r="H737">
        <v>1791</v>
      </c>
      <c r="J737" s="1"/>
      <c r="K737">
        <f t="shared" si="11"/>
        <v>0.29619668802226728</v>
      </c>
      <c r="L737">
        <f>LOG10(E737/C737)-LOG10(37995/47667)</f>
        <v>1.0998603316712128</v>
      </c>
      <c r="M737">
        <f>LOG10(F737/C737)-LOG10(35167/47667)</f>
        <v>-0.15513928422772591</v>
      </c>
      <c r="N737">
        <f>LOG10(G737/C737)-LOG10(34734/47667)</f>
        <v>1.6544577515432479E-2</v>
      </c>
      <c r="O737">
        <f>LOG10(H737/C737)-LOG10(33378/47667)</f>
        <v>0.27367598770692292</v>
      </c>
      <c r="Q737">
        <f>AVERAGE(K737:O737)</f>
        <v>0.30622766013762187</v>
      </c>
      <c r="R737">
        <f>STDEV(K737:O737)</f>
        <v>0.4816089686705573</v>
      </c>
    </row>
    <row r="738" spans="1:18">
      <c r="A738">
        <v>736</v>
      </c>
      <c r="C738">
        <v>3736</v>
      </c>
      <c r="D738">
        <v>7836</v>
      </c>
      <c r="E738">
        <v>3420</v>
      </c>
      <c r="F738">
        <v>6230</v>
      </c>
      <c r="G738">
        <v>14224</v>
      </c>
      <c r="H738">
        <v>5512</v>
      </c>
      <c r="J738" s="1"/>
      <c r="K738">
        <f t="shared" si="11"/>
        <v>0.26407502423428325</v>
      </c>
      <c r="L738">
        <f>LOG10(E738/C738)-LOG10(37995/47667)</f>
        <v>6.0110609410979544E-2</v>
      </c>
      <c r="M738">
        <f>LOG10(F738/C738)-LOG10(35167/47667)</f>
        <v>0.35416367743033034</v>
      </c>
      <c r="N738">
        <f>LOG10(G738/C738)-LOG10(34734/47667)</f>
        <v>0.71807789587676496</v>
      </c>
      <c r="O738">
        <f>LOG10(H738/C738)-LOG10(33378/47667)</f>
        <v>0.32365985077617143</v>
      </c>
      <c r="Q738">
        <f>AVERAGE(K738:O738)</f>
        <v>0.34401741154570586</v>
      </c>
      <c r="R738">
        <f>STDEV(K738:O738)</f>
        <v>0.23844940790306521</v>
      </c>
    </row>
    <row r="739" spans="1:18">
      <c r="A739">
        <v>737</v>
      </c>
      <c r="C739">
        <v>1773</v>
      </c>
      <c r="D739">
        <v>1254</v>
      </c>
      <c r="E739">
        <v>1970</v>
      </c>
      <c r="F739">
        <v>1065</v>
      </c>
      <c r="G739">
        <v>2324</v>
      </c>
      <c r="H739">
        <v>3364</v>
      </c>
      <c r="J739" s="1"/>
      <c r="K739">
        <f t="shared" si="11"/>
        <v>-0.20802373463657994</v>
      </c>
      <c r="L739">
        <f>LOG10(E739/C739)-LOG10(37995/47667)</f>
        <v>0.14424886147357541</v>
      </c>
      <c r="M739">
        <f>LOG10(F739/C739)-LOG10(35167/47667)</f>
        <v>-8.9276629496944843E-2</v>
      </c>
      <c r="N739">
        <f>LOG10(G739/C739)-LOG10(34734/47667)</f>
        <v>0.25499040792605765</v>
      </c>
      <c r="O739">
        <f>LOG10(H739/C739)-LOG10(33378/47667)</f>
        <v>0.43290476095961461</v>
      </c>
      <c r="Q739">
        <f>AVERAGE(K739:O739)</f>
        <v>0.10696873324514458</v>
      </c>
      <c r="R739">
        <f>STDEV(K739:O739)</f>
        <v>0.25848936898756186</v>
      </c>
    </row>
    <row r="740" spans="1:18">
      <c r="A740">
        <v>738</v>
      </c>
      <c r="C740">
        <v>1055</v>
      </c>
      <c r="D740">
        <v>340</v>
      </c>
      <c r="E740">
        <v>243</v>
      </c>
      <c r="F740">
        <v>229</v>
      </c>
      <c r="G740">
        <v>183</v>
      </c>
      <c r="H740">
        <v>191</v>
      </c>
      <c r="J740" s="1"/>
      <c r="K740">
        <f t="shared" si="11"/>
        <v>-0.54938607812181606</v>
      </c>
      <c r="L740">
        <f>LOG10(E740/C740)-LOG10(37995/47667)</f>
        <v>-0.53915481512249908</v>
      </c>
      <c r="M740">
        <f>LOG10(F740/C740)-LOG10(35167/47667)</f>
        <v>-0.53133447896460706</v>
      </c>
      <c r="N740">
        <f>LOG10(G740/C740)-LOG10(34734/47667)</f>
        <v>-0.62333835009459981</v>
      </c>
      <c r="O740">
        <f>LOG10(H740/C740)-LOG10(33378/47667)</f>
        <v>-0.58746158295132611</v>
      </c>
      <c r="Q740">
        <f>AVERAGE(K740:O740)</f>
        <v>-0.56613506105096956</v>
      </c>
      <c r="R740">
        <f>STDEV(K740:O740)</f>
        <v>3.8557033816305729E-2</v>
      </c>
    </row>
    <row r="741" spans="1:18">
      <c r="A741">
        <v>739</v>
      </c>
      <c r="C741">
        <v>1615</v>
      </c>
      <c r="D741">
        <v>4528</v>
      </c>
      <c r="E741">
        <v>39904</v>
      </c>
      <c r="F741">
        <v>1835</v>
      </c>
      <c r="G741">
        <v>3956</v>
      </c>
      <c r="H741">
        <v>1821</v>
      </c>
      <c r="J741" s="1"/>
      <c r="K741">
        <f t="shared" si="11"/>
        <v>0.39012135598273356</v>
      </c>
      <c r="L741">
        <f>LOG10(E741/C741)-LOG10(37995/47667)</f>
        <v>1.4913352760442271</v>
      </c>
      <c r="M741">
        <f>LOG10(F741/C741)-LOG10(35167/47667)</f>
        <v>0.18754604025020291</v>
      </c>
      <c r="N741">
        <f>LOG10(G741/C741)-LOG10(34734/47667)</f>
        <v>0.52654677606670242</v>
      </c>
      <c r="O741">
        <f>LOG10(H741/C741)-LOG10(33378/47667)</f>
        <v>0.20689492856245617</v>
      </c>
      <c r="Q741">
        <f>AVERAGE(K741:O741)</f>
        <v>0.56048887538126446</v>
      </c>
      <c r="R741">
        <f>STDEV(K741:O741)</f>
        <v>0.53869453702946923</v>
      </c>
    </row>
    <row r="742" spans="1:18">
      <c r="A742">
        <v>740</v>
      </c>
      <c r="C742">
        <v>2593</v>
      </c>
      <c r="D742">
        <v>1348</v>
      </c>
      <c r="E742">
        <v>1302</v>
      </c>
      <c r="F742">
        <v>1451</v>
      </c>
      <c r="G742">
        <v>1447</v>
      </c>
      <c r="H742">
        <v>1207</v>
      </c>
      <c r="J742" s="1"/>
      <c r="K742">
        <f t="shared" si="11"/>
        <v>-0.34172516010041021</v>
      </c>
      <c r="L742">
        <f>LOG10(E742/C742)-LOG10(37995/47667)</f>
        <v>-0.20070016162427814</v>
      </c>
      <c r="M742">
        <f>LOG10(F742/C742)-LOG10(35167/47667)</f>
        <v>-0.12005260600239911</v>
      </c>
      <c r="N742">
        <f>LOG10(G742/C742)-LOG10(34734/47667)</f>
        <v>-0.11587096584163173</v>
      </c>
      <c r="O742">
        <f>LOG10(H742/C742)-LOG10(33378/47667)</f>
        <v>-0.1773377372373445</v>
      </c>
      <c r="Q742">
        <f>AVERAGE(K742:O742)</f>
        <v>-0.19113732616121273</v>
      </c>
      <c r="R742">
        <f>STDEV(K742:O742)</f>
        <v>9.1755973433442703E-2</v>
      </c>
    </row>
    <row r="743" spans="1:18">
      <c r="A743">
        <v>741</v>
      </c>
      <c r="C743">
        <v>1336</v>
      </c>
      <c r="D743">
        <v>764</v>
      </c>
      <c r="E743">
        <v>1096</v>
      </c>
      <c r="F743">
        <v>953</v>
      </c>
      <c r="G743">
        <v>1162</v>
      </c>
      <c r="H743">
        <v>533</v>
      </c>
      <c r="J743" s="1"/>
      <c r="K743">
        <f t="shared" si="11"/>
        <v>-0.30032563509419669</v>
      </c>
      <c r="L743">
        <f>LOG10(E743/C743)-LOG10(37995/47667)</f>
        <v>1.249546692172375E-2</v>
      </c>
      <c r="M743">
        <f>LOG10(F743/C743)-LOG10(35167/47667)</f>
        <v>-1.463105917198404E-2</v>
      </c>
      <c r="N743">
        <f>LOG10(G743/C743)-LOG10(34734/47667)</f>
        <v>7.6862689723467326E-2</v>
      </c>
      <c r="O743">
        <f>LOG10(H743/C743)-LOG10(33378/47667)</f>
        <v>-0.24432173967829676</v>
      </c>
      <c r="Q743">
        <f>AVERAGE(K743:O743)</f>
        <v>-9.3984055459857288E-2</v>
      </c>
      <c r="R743">
        <f>STDEV(K743:O743)</f>
        <v>0.16733324821173942</v>
      </c>
    </row>
    <row r="744" spans="1:18">
      <c r="A744">
        <v>742</v>
      </c>
      <c r="C744">
        <v>1572</v>
      </c>
      <c r="D744">
        <v>1171</v>
      </c>
      <c r="E744">
        <v>1498</v>
      </c>
      <c r="F744">
        <v>1765</v>
      </c>
      <c r="G744">
        <v>1040</v>
      </c>
      <c r="H744">
        <v>1096</v>
      </c>
      <c r="J744" s="1"/>
      <c r="K744">
        <f t="shared" si="11"/>
        <v>-0.18550818216138573</v>
      </c>
      <c r="L744">
        <f>LOG10(E744/C744)-LOG10(37995/47667)</f>
        <v>7.755064257295885E-2</v>
      </c>
      <c r="M744">
        <f>LOG10(F744/C744)-LOG10(35167/47667)</f>
        <v>0.18237466634966876</v>
      </c>
      <c r="N744">
        <f>LOG10(G744/C744)-LOG10(34734/47667)</f>
        <v>-4.1956182595926428E-2</v>
      </c>
      <c r="O744">
        <f>LOG10(H744/C744)-LOG10(33378/47667)</f>
        <v>-1.8844781203809224E-3</v>
      </c>
      <c r="Q744">
        <f>AVERAGE(K744:O744)</f>
        <v>6.115293208986905E-3</v>
      </c>
      <c r="R744">
        <f>STDEV(K744:O744)</f>
        <v>0.1371721502338423</v>
      </c>
    </row>
    <row r="745" spans="1:18">
      <c r="A745">
        <v>743</v>
      </c>
      <c r="C745">
        <v>2166</v>
      </c>
      <c r="D745">
        <v>2036</v>
      </c>
      <c r="E745">
        <v>1975</v>
      </c>
      <c r="F745">
        <v>1543</v>
      </c>
      <c r="G745">
        <v>1628</v>
      </c>
      <c r="H745">
        <v>1887</v>
      </c>
      <c r="J745" s="1"/>
      <c r="K745">
        <f t="shared" si="11"/>
        <v>-8.4493214154940169E-2</v>
      </c>
      <c r="L745">
        <f>LOG10(E745/C745)-LOG10(37995/47667)</f>
        <v>5.8400018586077712E-2</v>
      </c>
      <c r="M745">
        <f>LOG10(F745/C745)-LOG10(35167/47667)</f>
        <v>-1.5210027896936845E-2</v>
      </c>
      <c r="N745">
        <f>LOG10(G745/C745)-LOG10(34734/47667)</f>
        <v>1.3458968072563179E-2</v>
      </c>
      <c r="O745">
        <f>LOG10(H745/C745)-LOG10(33378/47667)</f>
        <v>9.4870957310287607E-2</v>
      </c>
      <c r="Q745">
        <f>AVERAGE(K745:O745)</f>
        <v>1.3405340383410297E-2</v>
      </c>
      <c r="R745">
        <f>STDEV(K745:O745)</f>
        <v>6.9036470373067371E-2</v>
      </c>
    </row>
    <row r="746" spans="1:18">
      <c r="A746">
        <v>744</v>
      </c>
      <c r="C746">
        <v>2789</v>
      </c>
      <c r="D746">
        <v>16538</v>
      </c>
      <c r="E746">
        <v>4335</v>
      </c>
      <c r="F746">
        <v>13359</v>
      </c>
      <c r="G746">
        <v>5336</v>
      </c>
      <c r="H746">
        <v>4799</v>
      </c>
      <c r="J746" s="1"/>
      <c r="K746">
        <f t="shared" si="11"/>
        <v>0.71542193779723506</v>
      </c>
      <c r="L746">
        <f>LOG10(E746/C746)-LOG10(37995/47667)</f>
        <v>0.29003195845907948</v>
      </c>
      <c r="M746">
        <f>LOG10(F746/C746)-LOG10(35167/47667)</f>
        <v>0.81240793391405197</v>
      </c>
      <c r="N746">
        <f>LOG10(G746/C746)-LOG10(34734/47667)</f>
        <v>0.41923032645112501</v>
      </c>
      <c r="O746">
        <f>LOG10(H746/C746)-LOG10(33378/47667)</f>
        <v>0.39045974510102932</v>
      </c>
      <c r="Q746">
        <f>AVERAGE(K746:O746)</f>
        <v>0.52551038034450415</v>
      </c>
      <c r="R746">
        <f>STDEV(K746:O746)</f>
        <v>0.2254777245135367</v>
      </c>
    </row>
    <row r="747" spans="1:18">
      <c r="A747">
        <v>745</v>
      </c>
      <c r="C747">
        <v>1780</v>
      </c>
      <c r="D747">
        <v>3532</v>
      </c>
      <c r="E747">
        <v>2188</v>
      </c>
      <c r="F747">
        <v>7393</v>
      </c>
      <c r="G747">
        <v>4342</v>
      </c>
      <c r="H747">
        <v>2230</v>
      </c>
      <c r="J747" s="1"/>
      <c r="K747">
        <f t="shared" si="11"/>
        <v>0.23998815706627727</v>
      </c>
      <c r="L747">
        <f>LOG10(E747/C747)-LOG10(37995/47667)</f>
        <v>0.18811868626539946</v>
      </c>
      <c r="M747">
        <f>LOG10(F747/C747)-LOG10(35167/47667)</f>
        <v>0.75048320221783993</v>
      </c>
      <c r="N747">
        <f>LOG10(G747/C747)-LOG10(34734/47667)</f>
        <v>0.52473283661818948</v>
      </c>
      <c r="O747">
        <f>LOG10(H747/C747)-LOG10(33378/47667)</f>
        <v>0.25264237017392455</v>
      </c>
      <c r="Q747">
        <f>AVERAGE(K747:O747)</f>
        <v>0.39119305046832614</v>
      </c>
      <c r="R747">
        <f>STDEV(K747:O747)</f>
        <v>0.23990659423217672</v>
      </c>
    </row>
    <row r="748" spans="1:18">
      <c r="A748">
        <v>746</v>
      </c>
      <c r="C748">
        <v>1731</v>
      </c>
      <c r="D748">
        <v>1823</v>
      </c>
      <c r="E748">
        <v>518</v>
      </c>
      <c r="F748">
        <v>1818</v>
      </c>
      <c r="G748">
        <v>444</v>
      </c>
      <c r="H748">
        <v>1688</v>
      </c>
      <c r="J748" s="1"/>
      <c r="K748">
        <f t="shared" si="11"/>
        <v>-3.5122934750777351E-2</v>
      </c>
      <c r="L748">
        <f>LOG10(E748/C748)-LOG10(37995/47667)</f>
        <v>-0.42547593721726051</v>
      </c>
      <c r="M748">
        <f>LOG10(F748/C748)-LOG10(35167/47667)</f>
        <v>0.15337930933977123</v>
      </c>
      <c r="N748">
        <f>LOG10(G748/C748)-LOG10(34734/47667)</f>
        <v>-0.45345107795209183</v>
      </c>
      <c r="O748">
        <f>LOG10(H748/C748)-LOG10(33378/47667)</f>
        <v>0.14383288384890019</v>
      </c>
      <c r="Q748">
        <f>AVERAGE(K748:O748)</f>
        <v>-0.12336755134629165</v>
      </c>
      <c r="R748">
        <f>STDEV(K748:O748)</f>
        <v>0.29832726206980503</v>
      </c>
    </row>
    <row r="749" spans="1:18">
      <c r="A749">
        <v>747</v>
      </c>
      <c r="C749">
        <v>2269</v>
      </c>
      <c r="D749">
        <v>792</v>
      </c>
      <c r="E749">
        <v>803</v>
      </c>
      <c r="F749">
        <v>929</v>
      </c>
      <c r="G749">
        <v>958</v>
      </c>
      <c r="H749">
        <v>837</v>
      </c>
      <c r="J749" s="1"/>
      <c r="K749">
        <f t="shared" si="11"/>
        <v>-0.51472184982580227</v>
      </c>
      <c r="L749">
        <f>LOG10(E749/C749)-LOG10(37995/47667)</f>
        <v>-0.35262757969335479</v>
      </c>
      <c r="M749">
        <f>LOG10(F749/C749)-LOG10(35167/47667)</f>
        <v>-0.25573628356207778</v>
      </c>
      <c r="N749">
        <f>LOG10(G749/C749)-LOG10(34734/47667)</f>
        <v>-0.23700596699770929</v>
      </c>
      <c r="O749">
        <f>LOG10(H749/C749)-LOG10(33378/47667)</f>
        <v>-0.27835152845701816</v>
      </c>
      <c r="Q749">
        <f>AVERAGE(K749:O749)</f>
        <v>-0.32768864170719247</v>
      </c>
      <c r="R749">
        <f>STDEV(K749:O749)</f>
        <v>0.11339974828674229</v>
      </c>
    </row>
    <row r="750" spans="1:18">
      <c r="A750">
        <v>748</v>
      </c>
      <c r="C750">
        <v>3057</v>
      </c>
      <c r="D750">
        <v>635</v>
      </c>
      <c r="E750">
        <v>717</v>
      </c>
      <c r="F750">
        <v>658</v>
      </c>
      <c r="G750">
        <v>520</v>
      </c>
      <c r="H750">
        <v>764</v>
      </c>
      <c r="J750" s="1"/>
      <c r="K750">
        <f t="shared" si="11"/>
        <v>-0.74013424896447289</v>
      </c>
      <c r="L750">
        <f>LOG10(E750/C750)-LOG10(37995/47667)</f>
        <v>-0.53128491214538842</v>
      </c>
      <c r="M750">
        <f>LOG10(F750/C750)-LOG10(35167/47667)</f>
        <v>-0.53498704678291686</v>
      </c>
      <c r="N750">
        <f>LOG10(G750/C750)-LOG10(34734/47667)</f>
        <v>-0.63182907528260746</v>
      </c>
      <c r="O750">
        <f>LOG10(H750/C750)-LOG10(33378/47667)</f>
        <v>-0.44744457071574106</v>
      </c>
      <c r="Q750">
        <f>AVERAGE(K750:O750)</f>
        <v>-0.57713597077822532</v>
      </c>
      <c r="R750">
        <f>STDEV(K750:O750)</f>
        <v>0.11209202134171983</v>
      </c>
    </row>
    <row r="751" spans="1:18">
      <c r="A751">
        <v>749</v>
      </c>
      <c r="C751">
        <v>1054</v>
      </c>
      <c r="D751">
        <v>1332</v>
      </c>
      <c r="E751">
        <v>1206</v>
      </c>
      <c r="F751">
        <v>1066</v>
      </c>
      <c r="G751">
        <v>1093</v>
      </c>
      <c r="H751">
        <v>1575</v>
      </c>
      <c r="J751" s="1"/>
      <c r="K751">
        <f t="shared" si="11"/>
        <v>4.4051078427394676E-2</v>
      </c>
      <c r="L751">
        <f>LOG10(E751/C751)-LOG10(37995/47667)</f>
        <v>0.15699806784050496</v>
      </c>
      <c r="M751">
        <f>LOG10(F751/C751)-LOG10(35167/47667)</f>
        <v>0.13699909214324213</v>
      </c>
      <c r="N751">
        <f>LOG10(G751/C751)-LOG10(34734/47667)</f>
        <v>0.1532425708818573</v>
      </c>
      <c r="O751">
        <f>LOG10(H751/C751)-LOG10(33378/47667)</f>
        <v>0.32919745668374933</v>
      </c>
      <c r="Q751">
        <f>AVERAGE(K751:O751)</f>
        <v>0.16409765319534969</v>
      </c>
      <c r="R751">
        <f>STDEV(K751:O751)</f>
        <v>0.1031645459457422</v>
      </c>
    </row>
    <row r="752" spans="1:18">
      <c r="A752">
        <v>750</v>
      </c>
      <c r="C752">
        <v>1254</v>
      </c>
      <c r="D752">
        <v>6898</v>
      </c>
      <c r="E752">
        <v>10645</v>
      </c>
      <c r="F752">
        <v>4868</v>
      </c>
      <c r="G752">
        <v>2856</v>
      </c>
      <c r="H752">
        <v>5593</v>
      </c>
      <c r="J752" s="1"/>
      <c r="K752">
        <f t="shared" si="11"/>
        <v>0.68281311800631461</v>
      </c>
      <c r="L752">
        <f>LOG10(E752/C752)-LOG10(37995/47667)</f>
        <v>1.0273395001925441</v>
      </c>
      <c r="M752">
        <f>LOG10(F752/C752)-LOG10(35167/47667)</f>
        <v>0.72113553139254627</v>
      </c>
      <c r="N752">
        <f>LOG10(G752/C752)-LOG10(34734/47667)</f>
        <v>0.49492368641812146</v>
      </c>
      <c r="O752">
        <f>LOG10(H752/C752)-LOG10(33378/47667)</f>
        <v>0.80410479226820841</v>
      </c>
      <c r="Q752">
        <f>AVERAGE(K752:O752)</f>
        <v>0.746063325655547</v>
      </c>
      <c r="R752">
        <f>STDEV(K752:O752)</f>
        <v>0.19376416096605029</v>
      </c>
    </row>
    <row r="753" spans="1:18">
      <c r="A753">
        <v>751</v>
      </c>
      <c r="C753">
        <v>3429</v>
      </c>
      <c r="D753">
        <v>7201</v>
      </c>
      <c r="E753">
        <v>3380</v>
      </c>
      <c r="F753">
        <v>2691</v>
      </c>
      <c r="G753">
        <v>7762</v>
      </c>
      <c r="H753">
        <v>2685</v>
      </c>
      <c r="J753" s="1"/>
      <c r="K753">
        <f t="shared" si="11"/>
        <v>0.26461279027559736</v>
      </c>
      <c r="L753">
        <f>LOG10(E753/C753)-LOG10(37995/47667)</f>
        <v>9.2240586075610809E-2</v>
      </c>
      <c r="M753">
        <f>LOG10(F753/C753)-LOG10(35167/47667)</f>
        <v>2.682871097802679E-2</v>
      </c>
      <c r="N753">
        <f>LOG10(G753/C753)-LOG10(34734/47667)</f>
        <v>0.49226917309773421</v>
      </c>
      <c r="O753">
        <f>LOG10(H753/C753)-LOG10(33378/47667)</f>
        <v>4.8534314355288058E-2</v>
      </c>
      <c r="Q753">
        <f>AVERAGE(K753:O753)</f>
        <v>0.18489711495645147</v>
      </c>
      <c r="R753">
        <f>STDEV(K753:O753)</f>
        <v>0.19557468975171655</v>
      </c>
    </row>
    <row r="754" spans="1:18">
      <c r="A754">
        <v>752</v>
      </c>
      <c r="C754">
        <v>1946</v>
      </c>
      <c r="D754">
        <v>1701</v>
      </c>
      <c r="E754">
        <v>1704</v>
      </c>
      <c r="F754">
        <v>2572</v>
      </c>
      <c r="G754">
        <v>1753</v>
      </c>
      <c r="H754">
        <v>1247</v>
      </c>
      <c r="J754" s="1"/>
      <c r="K754">
        <f t="shared" si="11"/>
        <v>-0.11605105785012385</v>
      </c>
      <c r="L754">
        <f>LOG10(E754/C754)-LOG10(37995/47667)</f>
        <v>4.0818125411248442E-2</v>
      </c>
      <c r="M754">
        <f>LOG10(F754/C754)-LOG10(35167/47667)</f>
        <v>0.25321062664906785</v>
      </c>
      <c r="N754">
        <f>LOG10(G754/C754)-LOG10(34734/47667)</f>
        <v>9.2102099970144125E-2</v>
      </c>
      <c r="O754">
        <f>LOG10(H754/C754)-LOG10(33378/47667)</f>
        <v>-3.8518873019132677E-2</v>
      </c>
      <c r="Q754">
        <f>AVERAGE(K754:O754)</f>
        <v>4.6312184232240775E-2</v>
      </c>
      <c r="R754">
        <f>STDEV(K754:O754)</f>
        <v>0.14008211626935491</v>
      </c>
    </row>
    <row r="755" spans="1:18">
      <c r="A755">
        <v>753</v>
      </c>
      <c r="C755">
        <v>1237</v>
      </c>
      <c r="D755">
        <v>2889</v>
      </c>
      <c r="E755">
        <v>2400</v>
      </c>
      <c r="F755">
        <v>2816</v>
      </c>
      <c r="G755">
        <v>2870</v>
      </c>
      <c r="H755">
        <v>3182</v>
      </c>
      <c r="J755" s="1"/>
      <c r="K755">
        <f t="shared" si="11"/>
        <v>0.31076530668471652</v>
      </c>
      <c r="L755">
        <f>LOG10(E755/C755)-LOG10(37995/47667)</f>
        <v>0.38633291299538564</v>
      </c>
      <c r="M755">
        <f>LOG10(F755/C755)-LOG10(35167/47667)</f>
        <v>0.48934544917017042</v>
      </c>
      <c r="N755">
        <f>LOG10(G755/C755)-LOG10(34734/47667)</f>
        <v>0.50297521691355396</v>
      </c>
      <c r="O755">
        <f>LOG10(H755/C755)-LOG10(33378/47667)</f>
        <v>0.56508798511609981</v>
      </c>
      <c r="Q755">
        <f>AVERAGE(K755:O755)</f>
        <v>0.4509013741759853</v>
      </c>
      <c r="R755">
        <f>STDEV(K755:O755)</f>
        <v>0.10128600311587037</v>
      </c>
    </row>
    <row r="756" spans="1:18">
      <c r="A756">
        <v>754</v>
      </c>
      <c r="C756">
        <v>1192</v>
      </c>
      <c r="D756">
        <v>9180</v>
      </c>
      <c r="E756">
        <v>4613</v>
      </c>
      <c r="F756">
        <v>2878</v>
      </c>
      <c r="G756">
        <v>20105</v>
      </c>
      <c r="H756">
        <v>6952</v>
      </c>
      <c r="J756" s="1"/>
      <c r="K756">
        <f t="shared" si="11"/>
        <v>0.82895389026666511</v>
      </c>
      <c r="L756">
        <f>LOG10(E756/C756)-LOG10(37995/47667)</f>
        <v>0.6861985701169494</v>
      </c>
      <c r="M756">
        <f>LOG10(F756/C756)-LOG10(35167/47667)</f>
        <v>0.51489703252558516</v>
      </c>
      <c r="N756">
        <f>LOG10(G756/C756)-LOG10(34734/47667)</f>
        <v>1.3644908418433948</v>
      </c>
      <c r="O756">
        <f>LOG10(H756/C756)-LOG10(33378/47667)</f>
        <v>0.92059101747105021</v>
      </c>
      <c r="Q756">
        <f>AVERAGE(K756:O756)</f>
        <v>0.86302627044472902</v>
      </c>
      <c r="R756">
        <f>STDEV(K756:O756)</f>
        <v>0.31953221490822487</v>
      </c>
    </row>
    <row r="757" spans="1:18">
      <c r="A757">
        <v>755</v>
      </c>
      <c r="C757">
        <v>2121</v>
      </c>
      <c r="D757">
        <v>863</v>
      </c>
      <c r="E757">
        <v>705</v>
      </c>
      <c r="F757">
        <v>828</v>
      </c>
      <c r="G757">
        <v>763</v>
      </c>
      <c r="H757">
        <v>825</v>
      </c>
      <c r="J757" s="1"/>
      <c r="K757">
        <f t="shared" si="11"/>
        <v>-0.44814240833171198</v>
      </c>
      <c r="L757">
        <f>LOG10(E757/C757)-LOG10(37995/47667)</f>
        <v>-0.3798601806122629</v>
      </c>
      <c r="M757">
        <f>LOG10(F757/C757)-LOG10(35167/47667)</f>
        <v>-0.27642783340246524</v>
      </c>
      <c r="N757">
        <f>LOG10(G757/C757)-LOG10(34734/47667)</f>
        <v>-0.30655311075299907</v>
      </c>
      <c r="O757">
        <f>LOG10(H757/C757)-LOG10(33378/47667)</f>
        <v>-0.25532921053197899</v>
      </c>
      <c r="Q757">
        <f>AVERAGE(K757:O757)</f>
        <v>-0.33326254872628364</v>
      </c>
      <c r="R757">
        <f>STDEV(K757:O757)</f>
        <v>7.9664775128723178E-2</v>
      </c>
    </row>
    <row r="758" spans="1:18">
      <c r="A758">
        <v>756</v>
      </c>
      <c r="C758">
        <v>1512</v>
      </c>
      <c r="D758">
        <v>1216</v>
      </c>
      <c r="E758">
        <v>1368</v>
      </c>
      <c r="F758">
        <v>1438</v>
      </c>
      <c r="G758">
        <v>1229</v>
      </c>
      <c r="H758">
        <v>1100</v>
      </c>
      <c r="J758" s="1"/>
      <c r="K758">
        <f t="shared" si="11"/>
        <v>-0.15223075175883138</v>
      </c>
      <c r="L758">
        <f>LOG10(E758/C758)-LOG10(37995/47667)</f>
        <v>5.5025677131809947E-2</v>
      </c>
      <c r="M758">
        <f>LOG10(F758/C758)-LOG10(35167/47667)</f>
        <v>0.11028959321089252</v>
      </c>
      <c r="N758">
        <f>LOG10(G758/C758)-LOG10(34734/47667)</f>
        <v>4.7463111529948615E-2</v>
      </c>
      <c r="O758">
        <f>LOG10(H758/C758)-LOG10(33378/47667)</f>
        <v>1.6598403427695141E-2</v>
      </c>
      <c r="Q758">
        <f>AVERAGE(K758:O758)</f>
        <v>1.5429206708302967E-2</v>
      </c>
      <c r="R758">
        <f>STDEV(K758:O758)</f>
        <v>9.9629028337267805E-2</v>
      </c>
    </row>
    <row r="759" spans="1:18">
      <c r="A759">
        <v>757</v>
      </c>
      <c r="C759">
        <v>3371</v>
      </c>
      <c r="D759">
        <v>6807</v>
      </c>
      <c r="E759">
        <v>4578</v>
      </c>
      <c r="F759">
        <v>5382</v>
      </c>
      <c r="G759">
        <v>14280</v>
      </c>
      <c r="H759">
        <v>4553</v>
      </c>
      <c r="J759" s="1"/>
      <c r="K759">
        <f t="shared" si="11"/>
        <v>0.24758446255326669</v>
      </c>
      <c r="L759">
        <f>LOG10(E759/C759)-LOG10(37995/47667)</f>
        <v>0.2314084067304524</v>
      </c>
      <c r="M759">
        <f>LOG10(F759/C759)-LOG10(35167/47667)</f>
        <v>0.33526743923598024</v>
      </c>
      <c r="N759">
        <f>LOG10(G759/C759)-LOG10(34734/47667)</f>
        <v>0.76443247472786591</v>
      </c>
      <c r="O759">
        <f>LOG10(H759/C759)-LOG10(33378/47667)</f>
        <v>0.28529640722187577</v>
      </c>
      <c r="Q759">
        <f>AVERAGE(K759:O759)</f>
        <v>0.37279783809388822</v>
      </c>
      <c r="R759">
        <f>STDEV(K759:O759)</f>
        <v>0.22254891629148818</v>
      </c>
    </row>
    <row r="760" spans="1:18">
      <c r="A760">
        <v>758</v>
      </c>
      <c r="C760">
        <v>1735</v>
      </c>
      <c r="D760">
        <v>398</v>
      </c>
      <c r="E760">
        <v>277</v>
      </c>
      <c r="F760">
        <v>396</v>
      </c>
      <c r="G760">
        <v>507</v>
      </c>
      <c r="H760">
        <v>279</v>
      </c>
      <c r="J760" s="1"/>
      <c r="K760">
        <f t="shared" si="11"/>
        <v>-0.6970289425835644</v>
      </c>
      <c r="L760">
        <f>LOG10(E760/C760)-LOG10(37995/47667)</f>
        <v>-0.69832833914954373</v>
      </c>
      <c r="M760">
        <f>LOG10(F760/C760)-LOG10(35167/47667)</f>
        <v>-0.50952179487216376</v>
      </c>
      <c r="N760">
        <f>LOG10(G760/C760)-LOG10(34734/47667)</f>
        <v>-0.39682849998487424</v>
      </c>
      <c r="O760">
        <f>LOG10(H760/C760)-LOG10(33378/47667)</f>
        <v>-0.6389377664186372</v>
      </c>
      <c r="Q760">
        <f>AVERAGE(K760:O760)</f>
        <v>-0.58812906860175673</v>
      </c>
      <c r="R760">
        <f>STDEV(K760:O760)</f>
        <v>0.1316810508318364</v>
      </c>
    </row>
    <row r="761" spans="1:18">
      <c r="A761">
        <v>759</v>
      </c>
      <c r="C761">
        <v>1454</v>
      </c>
      <c r="D761">
        <v>126</v>
      </c>
      <c r="E761">
        <v>106</v>
      </c>
      <c r="F761">
        <v>191</v>
      </c>
      <c r="G761">
        <v>138</v>
      </c>
      <c r="H761">
        <v>100</v>
      </c>
      <c r="J761" s="1"/>
      <c r="K761">
        <f t="shared" si="11"/>
        <v>-1.1198063969358161</v>
      </c>
      <c r="L761">
        <f>LOG10(E761/C761)-LOG10(37995/47667)</f>
        <v>-1.0387671703453485</v>
      </c>
      <c r="M761">
        <f>LOG10(F761/C761)-LOG10(35167/47667)</f>
        <v>-0.74944854094607494</v>
      </c>
      <c r="N761">
        <f>LOG10(G761/C761)-LOG10(34734/47667)</f>
        <v>-0.88522230031310023</v>
      </c>
      <c r="O761">
        <f>LOG10(H761/C761)-LOG10(33378/47667)</f>
        <v>-1.0078068970883611</v>
      </c>
      <c r="Q761">
        <f>AVERAGE(K761:O761)</f>
        <v>-0.96021026112574026</v>
      </c>
      <c r="R761">
        <f>STDEV(K761:O761)</f>
        <v>0.1448717115817757</v>
      </c>
    </row>
    <row r="762" spans="1:18">
      <c r="A762">
        <v>760</v>
      </c>
      <c r="C762">
        <v>865</v>
      </c>
      <c r="D762">
        <v>1895</v>
      </c>
      <c r="E762">
        <v>1373</v>
      </c>
      <c r="F762">
        <v>997</v>
      </c>
      <c r="G762">
        <v>1625</v>
      </c>
      <c r="H762">
        <v>1524</v>
      </c>
      <c r="J762" s="1"/>
      <c r="K762">
        <f t="shared" si="11"/>
        <v>0.28298057130891718</v>
      </c>
      <c r="L762">
        <f>LOG10(E762/C762)-LOG10(37995/47667)</f>
        <v>0.29914580068484109</v>
      </c>
      <c r="M762">
        <f>LOG10(F762/C762)-LOG10(35167/47667)</f>
        <v>0.19376154917605792</v>
      </c>
      <c r="N762">
        <f>LOG10(G762/C762)-LOG10(34734/47667)</f>
        <v>0.4113002776587612</v>
      </c>
      <c r="O762">
        <f>LOG10(H762/C762)-LOG10(33378/47667)</f>
        <v>0.40072636897342528</v>
      </c>
      <c r="Q762">
        <f>AVERAGE(K762:O762)</f>
        <v>0.31758291356040058</v>
      </c>
      <c r="R762">
        <f>STDEV(K762:O762)</f>
        <v>9.0228540398863452E-2</v>
      </c>
    </row>
    <row r="763" spans="1:18">
      <c r="A763">
        <v>761</v>
      </c>
      <c r="C763">
        <v>2438</v>
      </c>
      <c r="D763">
        <v>3481</v>
      </c>
      <c r="E763">
        <v>2180</v>
      </c>
      <c r="F763">
        <v>2833</v>
      </c>
      <c r="G763">
        <v>1721</v>
      </c>
      <c r="H763">
        <v>1566</v>
      </c>
      <c r="J763" s="1"/>
      <c r="K763">
        <f t="shared" si="11"/>
        <v>9.7057786471565488E-2</v>
      </c>
      <c r="L763">
        <f>LOG10(E763/C763)-LOG10(37995/47667)</f>
        <v>4.9914163235141938E-2</v>
      </c>
      <c r="M763">
        <f>LOG10(F763/C763)-LOG10(35167/47667)</f>
        <v>0.19729537156729049</v>
      </c>
      <c r="N763">
        <f>LOG10(G763/C763)-LOG10(34734/47667)</f>
        <v>-1.3789811146120573E-2</v>
      </c>
      <c r="O763">
        <f>LOG10(H763/C763)-LOG10(33378/47667)</f>
        <v>-3.748443412578073E-2</v>
      </c>
      <c r="Q763">
        <f>AVERAGE(K763:O763)</f>
        <v>5.8598615200419334E-2</v>
      </c>
      <c r="R763">
        <f>STDEV(K763:O763)</f>
        <v>9.3892697298886343E-2</v>
      </c>
    </row>
    <row r="764" spans="1:18">
      <c r="A764">
        <v>762</v>
      </c>
      <c r="C764">
        <v>1134</v>
      </c>
      <c r="D764">
        <v>2021</v>
      </c>
      <c r="E764">
        <v>1772</v>
      </c>
      <c r="F764">
        <v>2074</v>
      </c>
      <c r="G764">
        <v>3366</v>
      </c>
      <c r="H764">
        <v>2421</v>
      </c>
      <c r="J764" s="1"/>
      <c r="K764">
        <f t="shared" si="11"/>
        <v>0.19334072342805644</v>
      </c>
      <c r="L764">
        <f>LOG10(E764/C764)-LOG10(37995/47667)</f>
        <v>0.29234203390704444</v>
      </c>
      <c r="M764">
        <f>LOG10(F764/C764)-LOG10(35167/47667)</f>
        <v>0.39427819582535084</v>
      </c>
      <c r="N764">
        <f>LOG10(G764/C764)-LOG10(34734/47667)</f>
        <v>0.60996407689159959</v>
      </c>
      <c r="O764">
        <f>LOG10(H764/C764)-LOG10(33378/47667)</f>
        <v>0.48413924431950284</v>
      </c>
      <c r="Q764">
        <f>AVERAGE(K764:O764)</f>
        <v>0.39481285487431084</v>
      </c>
      <c r="R764">
        <f>STDEV(K764:O764)</f>
        <v>0.16229666274014057</v>
      </c>
    </row>
    <row r="765" spans="1:18">
      <c r="A765">
        <v>763</v>
      </c>
      <c r="C765">
        <v>1621</v>
      </c>
      <c r="D765">
        <v>5972</v>
      </c>
      <c r="E765">
        <v>5989</v>
      </c>
      <c r="F765">
        <v>13941</v>
      </c>
      <c r="G765">
        <v>8064</v>
      </c>
      <c r="H765">
        <v>7831</v>
      </c>
      <c r="J765" s="1"/>
      <c r="K765">
        <f t="shared" si="11"/>
        <v>0.50872424867411314</v>
      </c>
      <c r="L765">
        <f>LOG10(E765/C765)-LOG10(37995/47667)</f>
        <v>0.66606266914859413</v>
      </c>
      <c r="M765">
        <f>LOG10(F765/C765)-LOG10(35167/47667)</f>
        <v>1.0665934106792323</v>
      </c>
      <c r="N765">
        <f>LOG10(G765/C765)-LOG10(34734/47667)</f>
        <v>0.83423052406161735</v>
      </c>
      <c r="O765">
        <f>LOG10(H765/C765)-LOG10(33378/47667)</f>
        <v>0.8387917185536059</v>
      </c>
      <c r="Q765">
        <f>AVERAGE(K765:O765)</f>
        <v>0.78288051422343263</v>
      </c>
      <c r="R765">
        <f>STDEV(K765:O765)</f>
        <v>0.20920322700860058</v>
      </c>
    </row>
    <row r="766" spans="1:18">
      <c r="A766">
        <v>764</v>
      </c>
      <c r="C766">
        <v>1282</v>
      </c>
      <c r="D766">
        <v>1966</v>
      </c>
      <c r="E766">
        <v>1829</v>
      </c>
      <c r="F766">
        <v>1880</v>
      </c>
      <c r="G766">
        <v>2128</v>
      </c>
      <c r="H766">
        <v>2722</v>
      </c>
      <c r="J766" s="1"/>
      <c r="K766">
        <f t="shared" si="11"/>
        <v>0.12808295278295842</v>
      </c>
      <c r="L766">
        <f>LOG10(E766/C766)-LOG10(37995/47667)</f>
        <v>0.25281705120651854</v>
      </c>
      <c r="M766">
        <f>LOG10(F766/C766)-LOG10(35167/47667)</f>
        <v>0.29835232241009768</v>
      </c>
      <c r="N766">
        <f>LOG10(G766/C766)-LOG10(34734/47667)</f>
        <v>0.35754661824889422</v>
      </c>
      <c r="O766">
        <f>LOG10(H766/C766)-LOG10(33378/47667)</f>
        <v>0.48175760511917509</v>
      </c>
      <c r="Q766">
        <f>AVERAGE(K766:O766)</f>
        <v>0.3037113099535288</v>
      </c>
      <c r="R766">
        <f>STDEV(K766:O766)</f>
        <v>0.130444420927843</v>
      </c>
    </row>
    <row r="767" spans="1:18">
      <c r="A767">
        <v>765</v>
      </c>
      <c r="C767">
        <v>3955</v>
      </c>
      <c r="D767">
        <v>7398</v>
      </c>
      <c r="E767">
        <v>4920</v>
      </c>
      <c r="F767">
        <v>6543</v>
      </c>
      <c r="G767">
        <v>7888</v>
      </c>
      <c r="H767">
        <v>4544</v>
      </c>
      <c r="J767" s="1"/>
      <c r="K767">
        <f t="shared" si="11"/>
        <v>0.21435530361532015</v>
      </c>
      <c r="L767">
        <f>LOG10(E767/C767)-LOG10(37995/47667)</f>
        <v>0.19330998584656517</v>
      </c>
      <c r="M767">
        <f>LOG10(F767/C767)-LOG10(35167/47667)</f>
        <v>0.35071293079388383</v>
      </c>
      <c r="N767">
        <f>LOG10(G767/C767)-LOG10(34734/47667)</f>
        <v>0.43728343390814173</v>
      </c>
      <c r="O767">
        <f>LOG10(H767/C767)-LOG10(33378/47667)</f>
        <v>0.21504934430392489</v>
      </c>
      <c r="Q767">
        <f>AVERAGE(K767:O767)</f>
        <v>0.28214219969356719</v>
      </c>
      <c r="R767">
        <f>STDEV(K767:O767)</f>
        <v>0.10695609433135565</v>
      </c>
    </row>
    <row r="768" spans="1:18">
      <c r="A768">
        <v>766</v>
      </c>
      <c r="C768">
        <v>1277</v>
      </c>
      <c r="D768">
        <v>850</v>
      </c>
      <c r="E768">
        <v>891</v>
      </c>
      <c r="F768">
        <v>563</v>
      </c>
      <c r="G768">
        <v>799</v>
      </c>
      <c r="H768">
        <v>615</v>
      </c>
      <c r="J768" s="1"/>
      <c r="K768">
        <f t="shared" si="11"/>
        <v>-0.2343845070794823</v>
      </c>
      <c r="L768">
        <f>LOG10(E768/C768)-LOG10(37995/47667)</f>
        <v>-5.782182231364022E-2</v>
      </c>
      <c r="M768">
        <f>LOG10(F768/C768)-LOG10(35167/47667)</f>
        <v>-0.2236000040828526</v>
      </c>
      <c r="N768">
        <f>LOG10(G768/C768)-LOG10(34734/47667)</f>
        <v>-6.6181098140741634E-2</v>
      </c>
      <c r="O768">
        <f>LOG10(H768/C768)-LOG10(33378/47667)</f>
        <v>-0.16255827205334075</v>
      </c>
      <c r="Q768">
        <f>AVERAGE(K768:O768)</f>
        <v>-0.14890914073401151</v>
      </c>
      <c r="R768">
        <f>STDEV(K768:O768)</f>
        <v>8.3981978295625981E-2</v>
      </c>
    </row>
    <row r="769" spans="1:18">
      <c r="A769">
        <v>767</v>
      </c>
      <c r="C769">
        <v>2445</v>
      </c>
      <c r="D769">
        <v>3128</v>
      </c>
      <c r="E769">
        <v>2358</v>
      </c>
      <c r="F769">
        <v>2830</v>
      </c>
      <c r="G769">
        <v>2384</v>
      </c>
      <c r="H769">
        <v>2229</v>
      </c>
      <c r="J769" s="1"/>
      <c r="K769">
        <f t="shared" si="11"/>
        <v>4.9375345397811597E-2</v>
      </c>
      <c r="L769">
        <f>LOG10(E769/C769)-LOG10(37995/47667)</f>
        <v>8.2756308212331528E-2</v>
      </c>
      <c r="M769">
        <f>LOG10(F769/C769)-LOG10(35167/47667)</f>
        <v>0.19559007039386761</v>
      </c>
      <c r="N769">
        <f>LOG10(G769/C769)-LOG10(34734/47667)</f>
        <v>0.12649040741724205</v>
      </c>
      <c r="O769">
        <f>LOG10(H769/C769)-LOG10(33378/47667)</f>
        <v>0.11458871445525645</v>
      </c>
      <c r="Q769">
        <f>AVERAGE(K769:O769)</f>
        <v>0.11376016917530185</v>
      </c>
      <c r="R769">
        <f>STDEV(K769:O769)</f>
        <v>5.4693516786469748E-2</v>
      </c>
    </row>
    <row r="770" spans="1:18">
      <c r="A770">
        <v>768</v>
      </c>
      <c r="C770">
        <v>1818</v>
      </c>
      <c r="D770">
        <v>3148</v>
      </c>
      <c r="E770">
        <v>2029</v>
      </c>
      <c r="F770">
        <v>2800</v>
      </c>
      <c r="G770">
        <v>17008</v>
      </c>
      <c r="H770">
        <v>2165</v>
      </c>
      <c r="J770" s="1"/>
      <c r="K770">
        <f t="shared" si="11"/>
        <v>0.18082830927071855</v>
      </c>
      <c r="L770">
        <f>LOG10(E770/C770)-LOG10(37995/47667)</f>
        <v>0.14617953906029763</v>
      </c>
      <c r="M770">
        <f>LOG10(F770/C770)-LOG10(35167/47667)</f>
        <v>0.31964665078548704</v>
      </c>
      <c r="N770">
        <f>LOG10(G770/C770)-LOG10(34734/47667)</f>
        <v>1.1085223881019552</v>
      </c>
      <c r="O770">
        <f>LOG10(H770/C770)-LOG10(33378/47667)</f>
        <v>0.2306215312380934</v>
      </c>
      <c r="Q770">
        <f>AVERAGE(K770:O770)</f>
        <v>0.39715968369131038</v>
      </c>
      <c r="R770">
        <f>STDEV(K770:O770)</f>
        <v>0.40297965838145078</v>
      </c>
    </row>
    <row r="771" spans="1:18">
      <c r="A771">
        <v>769</v>
      </c>
      <c r="C771">
        <v>1036</v>
      </c>
      <c r="D771">
        <v>3422</v>
      </c>
      <c r="E771">
        <v>1749</v>
      </c>
      <c r="F771">
        <v>2527</v>
      </c>
      <c r="G771">
        <v>3854</v>
      </c>
      <c r="H771">
        <v>2162</v>
      </c>
      <c r="J771" s="1"/>
      <c r="K771">
        <f t="shared" ref="K771:K834" si="12">LOG10(D771/C771)-LOG10(54429/47667)</f>
        <v>0.46130771426550748</v>
      </c>
      <c r="L771">
        <f>LOG10(E771/C771)-LOG10(37995/47667)</f>
        <v>0.32592142498236254</v>
      </c>
      <c r="M771">
        <f>LOG10(F771/C771)-LOG10(35167/47667)</f>
        <v>0.51932798483991693</v>
      </c>
      <c r="N771">
        <f>LOG10(G771/C771)-LOG10(34734/47667)</f>
        <v>0.70801497471890218</v>
      </c>
      <c r="O771">
        <f>LOG10(H771/C771)-LOG10(33378/47667)</f>
        <v>0.47425344364273514</v>
      </c>
      <c r="Q771">
        <f>AVERAGE(K771:O771)</f>
        <v>0.49776510848988487</v>
      </c>
      <c r="R771">
        <f>STDEV(K771:O771)</f>
        <v>0.13791496965952985</v>
      </c>
    </row>
    <row r="772" spans="1:18">
      <c r="A772">
        <v>770</v>
      </c>
      <c r="C772">
        <v>2634</v>
      </c>
      <c r="D772">
        <v>2863</v>
      </c>
      <c r="E772">
        <v>2691</v>
      </c>
      <c r="F772">
        <v>3872</v>
      </c>
      <c r="G772">
        <v>3680</v>
      </c>
      <c r="H772">
        <v>2636</v>
      </c>
      <c r="J772" s="1"/>
      <c r="K772">
        <f t="shared" si="12"/>
        <v>-2.1406958134526109E-2</v>
      </c>
      <c r="L772">
        <f>LOG10(E772/C772)-LOG10(37995/47667)</f>
        <v>0.10778929805088978</v>
      </c>
      <c r="M772">
        <f>LOG10(F772/C772)-LOG10(35167/47667)</f>
        <v>0.29940207633980753</v>
      </c>
      <c r="N772">
        <f>LOG10(G772/C772)-LOG10(34734/47667)</f>
        <v>0.28269506785643495</v>
      </c>
      <c r="O772">
        <f>LOG10(H772/C772)-LOG10(33378/47667)</f>
        <v>0.15508714473086507</v>
      </c>
      <c r="Q772">
        <f>AVERAGE(K772:O772)</f>
        <v>0.16471332576869424</v>
      </c>
      <c r="R772">
        <f>STDEV(K772:O772)</f>
        <v>0.13232017927140927</v>
      </c>
    </row>
    <row r="773" spans="1:18">
      <c r="A773">
        <v>771</v>
      </c>
      <c r="C773">
        <v>4049</v>
      </c>
      <c r="D773">
        <v>8869</v>
      </c>
      <c r="E773">
        <v>7799</v>
      </c>
      <c r="F773">
        <v>6660</v>
      </c>
      <c r="G773">
        <v>6380</v>
      </c>
      <c r="H773">
        <v>5928</v>
      </c>
      <c r="J773" s="1"/>
      <c r="K773">
        <f t="shared" si="12"/>
        <v>0.28291434259892501</v>
      </c>
      <c r="L773">
        <f>LOG10(E773/C773)-LOG10(37995/47667)</f>
        <v>0.38318251448577845</v>
      </c>
      <c r="M773">
        <f>LOG10(F773/C773)-LOG10(35167/47667)</f>
        <v>0.34820895073110414</v>
      </c>
      <c r="N773">
        <f>LOG10(G773/C773)-LOG10(34734/47667)</f>
        <v>0.33493592176143117</v>
      </c>
      <c r="O773">
        <f>LOG10(H773/C773)-LOG10(33378/47667)</f>
        <v>0.3203179276375161</v>
      </c>
      <c r="Q773">
        <f>AVERAGE(K773:O773)</f>
        <v>0.33391193144295095</v>
      </c>
      <c r="R773">
        <f>STDEV(K773:O773)</f>
        <v>3.6805552154005321E-2</v>
      </c>
    </row>
    <row r="774" spans="1:18">
      <c r="A774">
        <v>772</v>
      </c>
      <c r="C774">
        <v>1682</v>
      </c>
      <c r="D774">
        <v>3721</v>
      </c>
      <c r="E774">
        <v>4844</v>
      </c>
      <c r="F774">
        <v>2866</v>
      </c>
      <c r="G774">
        <v>14656</v>
      </c>
      <c r="H774">
        <v>13322</v>
      </c>
      <c r="J774" s="1"/>
      <c r="K774">
        <f t="shared" si="12"/>
        <v>0.28722114302928092</v>
      </c>
      <c r="L774">
        <f>LOG10(E774/C774)-LOG10(37995/47667)</f>
        <v>0.55786951392202155</v>
      </c>
      <c r="M774">
        <f>LOG10(F774/C774)-LOG10(35167/47667)</f>
        <v>0.36353269292864876</v>
      </c>
      <c r="N774">
        <f>LOG10(G774/C774)-LOG10(34734/47667)</f>
        <v>1.0776524846705642</v>
      </c>
      <c r="O774">
        <f>LOG10(H774/C774)-LOG10(33378/47667)</f>
        <v>1.0535009472936046</v>
      </c>
      <c r="Q774">
        <f>AVERAGE(K774:O774)</f>
        <v>0.66795535636882408</v>
      </c>
      <c r="R774">
        <f>STDEV(K774:O774)</f>
        <v>0.3762471699397697</v>
      </c>
    </row>
    <row r="775" spans="1:18">
      <c r="A775">
        <v>773</v>
      </c>
      <c r="C775">
        <v>835</v>
      </c>
      <c r="D775">
        <v>1731</v>
      </c>
      <c r="E775">
        <v>1877</v>
      </c>
      <c r="F775">
        <v>1153</v>
      </c>
      <c r="G775">
        <v>1382</v>
      </c>
      <c r="H775">
        <v>1555</v>
      </c>
      <c r="J775" s="1"/>
      <c r="K775">
        <f t="shared" si="12"/>
        <v>0.25899805686143201</v>
      </c>
      <c r="L775">
        <f>LOG10(E775/C775)-LOG10(37995/47667)</f>
        <v>0.45026916805064454</v>
      </c>
      <c r="M775">
        <f>LOG10(F775/C775)-LOG10(35167/47667)</f>
        <v>0.27222533014031342</v>
      </c>
      <c r="N775">
        <f>LOG10(G775/C775)-LOG10(34734/47667)</f>
        <v>0.3562845873632598</v>
      </c>
      <c r="O775">
        <f>LOG10(H775/C775)-LOG10(33378/47667)</f>
        <v>0.42480142731391202</v>
      </c>
      <c r="Q775">
        <f>AVERAGE(K775:O775)</f>
        <v>0.35251571394591241</v>
      </c>
      <c r="R775">
        <f>STDEV(K775:O775)</f>
        <v>8.6584156275243684E-2</v>
      </c>
    </row>
    <row r="776" spans="1:18">
      <c r="A776">
        <v>774</v>
      </c>
      <c r="C776">
        <v>3702</v>
      </c>
      <c r="D776">
        <v>7038</v>
      </c>
      <c r="E776">
        <v>3833</v>
      </c>
      <c r="F776">
        <v>5788</v>
      </c>
      <c r="G776">
        <v>6607</v>
      </c>
      <c r="H776">
        <v>3869</v>
      </c>
      <c r="J776" s="1"/>
      <c r="K776">
        <f t="shared" si="12"/>
        <v>0.2214003125519278</v>
      </c>
      <c r="L776">
        <f>LOG10(E776/C776)-LOG10(37995/47667)</f>
        <v>0.11359377575036704</v>
      </c>
      <c r="M776">
        <f>LOG10(F776/C776)-LOG10(35167/47667)</f>
        <v>0.32617460635933104</v>
      </c>
      <c r="N776">
        <f>LOG10(G776/C776)-LOG10(34734/47667)</f>
        <v>0.38903091220011488</v>
      </c>
      <c r="O776">
        <f>LOG10(H776/C776)-LOG10(33378/47667)</f>
        <v>0.17391982473901743</v>
      </c>
      <c r="Q776">
        <f>AVERAGE(K776:O776)</f>
        <v>0.24482388632015165</v>
      </c>
      <c r="R776">
        <f>STDEV(K776:O776)</f>
        <v>0.11203905305848924</v>
      </c>
    </row>
    <row r="777" spans="1:18">
      <c r="A777">
        <v>775</v>
      </c>
      <c r="C777">
        <v>1395</v>
      </c>
      <c r="D777">
        <v>4638</v>
      </c>
      <c r="E777">
        <v>976</v>
      </c>
      <c r="F777">
        <v>480</v>
      </c>
      <c r="G777">
        <v>515</v>
      </c>
      <c r="H777">
        <v>552</v>
      </c>
      <c r="J777" s="1"/>
      <c r="K777">
        <f t="shared" si="12"/>
        <v>0.46414400116199245</v>
      </c>
      <c r="L777">
        <f>LOG10(E777/C777)-LOG10(37995/47667)</f>
        <v>-5.6633019030024295E-2</v>
      </c>
      <c r="M777">
        <f>LOG10(F777/C777)-LOG10(35167/47667)</f>
        <v>-0.3312504719048126</v>
      </c>
      <c r="N777">
        <f>LOG10(G777/C777)-LOG10(34734/47667)</f>
        <v>-0.29530395875974313</v>
      </c>
      <c r="O777">
        <f>LOG10(H777/C777)-LOG10(33378/47667)</f>
        <v>-0.24787762044575964</v>
      </c>
      <c r="Q777">
        <f>AVERAGE(K777:O777)</f>
        <v>-9.3384213795669455E-2</v>
      </c>
      <c r="R777">
        <f>STDEV(K777:O777)</f>
        <v>0.32916884483579678</v>
      </c>
    </row>
    <row r="778" spans="1:18">
      <c r="A778">
        <v>776</v>
      </c>
      <c r="C778">
        <v>966</v>
      </c>
      <c r="D778">
        <v>182</v>
      </c>
      <c r="E778">
        <v>258</v>
      </c>
      <c r="F778">
        <v>118</v>
      </c>
      <c r="G778">
        <v>137</v>
      </c>
      <c r="H778">
        <v>108</v>
      </c>
      <c r="J778" s="1"/>
      <c r="K778">
        <f t="shared" si="12"/>
        <v>-0.78251827396077822</v>
      </c>
      <c r="L778">
        <f>LOG10(E778/C778)-LOG10(37995/47667)</f>
        <v>-0.47486604953936284</v>
      </c>
      <c r="M778">
        <f>LOG10(F778/C778)-LOG10(35167/47667)</f>
        <v>-0.78101262078015143</v>
      </c>
      <c r="N778">
        <f>LOG10(G778/C778)-LOG10(34734/47667)</f>
        <v>-0.71079353945040435</v>
      </c>
      <c r="O778">
        <f>LOG10(H778/C778)-LOG10(33378/47667)</f>
        <v>-0.79679586149388582</v>
      </c>
      <c r="Q778">
        <f>AVERAGE(K778:O778)</f>
        <v>-0.70919726904491653</v>
      </c>
      <c r="R778">
        <f>STDEV(K778:O778)</f>
        <v>0.1352041016573971</v>
      </c>
    </row>
    <row r="779" spans="1:18">
      <c r="A779">
        <v>777</v>
      </c>
      <c r="C779">
        <v>1931</v>
      </c>
      <c r="D779">
        <v>154</v>
      </c>
      <c r="E779">
        <v>135</v>
      </c>
      <c r="F779">
        <v>130</v>
      </c>
      <c r="G779">
        <v>185</v>
      </c>
      <c r="H779">
        <v>112</v>
      </c>
      <c r="J779" s="1"/>
      <c r="K779">
        <f t="shared" si="12"/>
        <v>-1.1558740884732914</v>
      </c>
      <c r="L779">
        <f>LOG10(E779/C779)-LOG10(37995/47667)</f>
        <v>-1.0569571343714883</v>
      </c>
      <c r="M779">
        <f>LOG10(F779/C779)-LOG10(35167/47667)</f>
        <v>-1.0397564231433416</v>
      </c>
      <c r="N779">
        <f>LOG10(G779/C779)-LOG10(34734/47667)</f>
        <v>-0.88114752556769871</v>
      </c>
      <c r="O779">
        <f>LOG10(H779/C779)-LOG10(33378/47667)</f>
        <v>-1.0818067416745554</v>
      </c>
      <c r="Q779">
        <f>AVERAGE(K779:O779)</f>
        <v>-1.043108382646075</v>
      </c>
      <c r="R779">
        <f>STDEV(K779:O779)</f>
        <v>0.10080675843492565</v>
      </c>
    </row>
    <row r="780" spans="1:18">
      <c r="A780">
        <v>778</v>
      </c>
      <c r="C780">
        <v>2890</v>
      </c>
      <c r="D780">
        <v>5361</v>
      </c>
      <c r="E780">
        <v>4066</v>
      </c>
      <c r="F780">
        <v>116346</v>
      </c>
      <c r="G780">
        <v>7470</v>
      </c>
      <c r="H780">
        <v>3041</v>
      </c>
      <c r="J780" s="1"/>
      <c r="K780">
        <f t="shared" si="12"/>
        <v>0.21073542893839911</v>
      </c>
      <c r="L780">
        <f>LOG10(E780/C780)-LOG10(37995/47667)</f>
        <v>0.24676090245837221</v>
      </c>
      <c r="M780">
        <f>LOG10(F780/C780)-LOG10(35167/47667)</f>
        <v>1.7369361123162634</v>
      </c>
      <c r="N780">
        <f>LOG10(G780/C780)-LOG10(34734/47667)</f>
        <v>0.5498857788675332</v>
      </c>
      <c r="O780">
        <f>LOG10(H780/C780)-LOG10(33378/47667)</f>
        <v>0.17687608682224212</v>
      </c>
      <c r="Q780">
        <f>AVERAGE(K780:O780)</f>
        <v>0.58423886188056207</v>
      </c>
      <c r="R780">
        <f>STDEV(K780:O780)</f>
        <v>0.66129261743442413</v>
      </c>
    </row>
    <row r="781" spans="1:18">
      <c r="A781">
        <v>779</v>
      </c>
      <c r="C781">
        <v>1516</v>
      </c>
      <c r="D781">
        <v>4860</v>
      </c>
      <c r="E781">
        <v>1581</v>
      </c>
      <c r="F781">
        <v>2370</v>
      </c>
      <c r="G781">
        <v>1589</v>
      </c>
      <c r="H781">
        <v>1082</v>
      </c>
      <c r="J781" s="1"/>
      <c r="K781">
        <f t="shared" si="12"/>
        <v>0.44832453243589893</v>
      </c>
      <c r="L781">
        <f>LOG10(E781/C781)-LOG10(37995/47667)</f>
        <v>0.11672403954907457</v>
      </c>
      <c r="M781">
        <f>LOG10(F781/C781)-LOG10(35167/47667)</f>
        <v>0.32613164304328557</v>
      </c>
      <c r="N781">
        <f>LOG10(G781/C781)-LOG10(34734/47667)</f>
        <v>0.15788771572002713</v>
      </c>
      <c r="O781">
        <f>LOG10(H781/C781)-LOG10(33378/47667)</f>
        <v>8.2855689091737017E-3</v>
      </c>
      <c r="Q781">
        <f>AVERAGE(K781:O781)</f>
        <v>0.21147069993149198</v>
      </c>
      <c r="R781">
        <f>STDEV(K781:O781)</f>
        <v>0.17491364524137015</v>
      </c>
    </row>
    <row r="782" spans="1:18">
      <c r="A782">
        <v>780</v>
      </c>
      <c r="C782">
        <v>1911</v>
      </c>
      <c r="D782">
        <v>2186</v>
      </c>
      <c r="E782">
        <v>2483</v>
      </c>
      <c r="F782">
        <v>1840</v>
      </c>
      <c r="G782">
        <v>1763</v>
      </c>
      <c r="H782">
        <v>1903</v>
      </c>
      <c r="J782" s="1"/>
      <c r="K782">
        <f t="shared" si="12"/>
        <v>7.7693502831140127E-4</v>
      </c>
      <c r="L782">
        <f>LOG10(E782/C782)-LOG10(37995/47667)</f>
        <v>0.21220740341245173</v>
      </c>
      <c r="M782">
        <f>LOG10(F782/C782)-LOG10(35167/47667)</f>
        <v>0.11563963428374008</v>
      </c>
      <c r="N782">
        <f>LOG10(G782/C782)-LOG10(34734/47667)</f>
        <v>0.10245464505299143</v>
      </c>
      <c r="O782">
        <f>LOG10(H782/C782)-LOG10(33378/47667)</f>
        <v>0.15293561066666542</v>
      </c>
      <c r="Q782">
        <f>AVERAGE(K782:O782)</f>
        <v>0.11680284568883201</v>
      </c>
      <c r="R782">
        <f>STDEV(K782:O782)</f>
        <v>7.7583571402464482E-2</v>
      </c>
    </row>
    <row r="783" spans="1:18">
      <c r="A783">
        <v>781</v>
      </c>
      <c r="C783">
        <v>1656</v>
      </c>
      <c r="D783">
        <v>3249</v>
      </c>
      <c r="E783">
        <v>7543</v>
      </c>
      <c r="F783">
        <v>5332</v>
      </c>
      <c r="G783">
        <v>12311</v>
      </c>
      <c r="H783">
        <v>6393</v>
      </c>
      <c r="J783" s="1"/>
      <c r="K783">
        <f t="shared" si="12"/>
        <v>0.23507684336576171</v>
      </c>
      <c r="L783">
        <f>LOG10(E783/C783)-LOG10(37995/47667)</f>
        <v>0.75697514617998296</v>
      </c>
      <c r="M783">
        <f>LOG10(F783/C783)-LOG10(35167/47667)</f>
        <v>0.6399123066221768</v>
      </c>
      <c r="N783">
        <f>LOG10(G783/C783)-LOG10(34734/47667)</f>
        <v>1.0086960186699312</v>
      </c>
      <c r="O783">
        <f>LOG10(H783/C783)-LOG10(33378/47667)</f>
        <v>0.7414018814196609</v>
      </c>
      <c r="Q783">
        <f>AVERAGE(K783:O783)</f>
        <v>0.67641243925150274</v>
      </c>
      <c r="R783">
        <f>STDEV(K783:O783)</f>
        <v>0.28161841309202229</v>
      </c>
    </row>
    <row r="784" spans="1:18">
      <c r="A784">
        <v>782</v>
      </c>
      <c r="C784">
        <v>817</v>
      </c>
      <c r="D784">
        <v>7120</v>
      </c>
      <c r="E784">
        <v>4037</v>
      </c>
      <c r="F784">
        <v>4783</v>
      </c>
      <c r="G784">
        <v>4449</v>
      </c>
      <c r="H784">
        <v>2378</v>
      </c>
      <c r="J784" s="1"/>
      <c r="K784">
        <f t="shared" si="12"/>
        <v>0.88264540157408111</v>
      </c>
      <c r="L784">
        <f>LOG10(E784/C784)-LOG10(37995/47667)</f>
        <v>0.79232806379079912</v>
      </c>
      <c r="M784">
        <f>LOG10(F784/C784)-LOG10(35167/47667)</f>
        <v>0.89956082266876514</v>
      </c>
      <c r="N784">
        <f>LOG10(G784/C784)-LOG10(34734/47667)</f>
        <v>0.87350336902431125</v>
      </c>
      <c r="O784">
        <f>LOG10(H784/C784)-LOG10(33378/47667)</f>
        <v>0.61874730318491511</v>
      </c>
      <c r="Q784">
        <f>AVERAGE(K784:O784)</f>
        <v>0.81335699204857437</v>
      </c>
      <c r="R784">
        <f>STDEV(K784:O784)</f>
        <v>0.11636657337349567</v>
      </c>
    </row>
    <row r="785" spans="1:18">
      <c r="A785">
        <v>783</v>
      </c>
      <c r="C785">
        <v>1770</v>
      </c>
      <c r="D785">
        <v>4723</v>
      </c>
      <c r="E785">
        <v>3095</v>
      </c>
      <c r="F785">
        <v>2287</v>
      </c>
      <c r="G785">
        <v>1459</v>
      </c>
      <c r="H785">
        <v>3441</v>
      </c>
      <c r="J785" s="1"/>
      <c r="K785">
        <f t="shared" si="12"/>
        <v>0.36863214368453351</v>
      </c>
      <c r="L785">
        <f>LOG10(E785/C785)-LOG10(37995/47667)</f>
        <v>0.3411787579072304</v>
      </c>
      <c r="M785">
        <f>LOG10(F785/C785)-LOG10(35167/47667)</f>
        <v>0.24337539657415835</v>
      </c>
      <c r="N785">
        <f>LOG10(G785/C785)-LOG10(34734/47667)</f>
        <v>5.354504534032728E-2</v>
      </c>
      <c r="O785">
        <f>LOG10(H785/C785)-LOG10(33378/47667)</f>
        <v>0.44346891569378133</v>
      </c>
      <c r="Q785">
        <f>AVERAGE(K785:O785)</f>
        <v>0.2900400518400062</v>
      </c>
      <c r="R785">
        <f>STDEV(K785:O785)</f>
        <v>0.150366035537079</v>
      </c>
    </row>
    <row r="786" spans="1:18">
      <c r="A786">
        <v>784</v>
      </c>
      <c r="C786">
        <v>1700</v>
      </c>
      <c r="D786">
        <v>1508</v>
      </c>
      <c r="E786">
        <v>1891</v>
      </c>
      <c r="F786">
        <v>985</v>
      </c>
      <c r="G786">
        <v>1397</v>
      </c>
      <c r="H786">
        <v>891</v>
      </c>
      <c r="J786" s="1"/>
      <c r="K786">
        <f t="shared" si="12"/>
        <v>-0.10966011537487842</v>
      </c>
      <c r="L786">
        <f>LOG10(E786/C786)-LOG10(37995/47667)</f>
        <v>0.14473397837966601</v>
      </c>
      <c r="M786">
        <f>LOG10(F786/C786)-LOG10(35167/47667)</f>
        <v>-0.1049301925514457</v>
      </c>
      <c r="N786">
        <f>LOG10(G786/C786)-LOG10(34734/47667)</f>
        <v>5.2210504544590267E-2</v>
      </c>
      <c r="O786">
        <f>LOG10(H786/C786)-LOG10(33378/47667)</f>
        <v>-0.12581370790674132</v>
      </c>
      <c r="Q786">
        <f>AVERAGE(K786:O786)</f>
        <v>-2.8691906581761833E-2</v>
      </c>
      <c r="R786">
        <f>STDEV(K786:O786)</f>
        <v>0.12085374329750972</v>
      </c>
    </row>
    <row r="787" spans="1:18">
      <c r="A787">
        <v>785</v>
      </c>
      <c r="C787">
        <v>4891</v>
      </c>
      <c r="D787">
        <v>4597</v>
      </c>
      <c r="E787">
        <v>5450</v>
      </c>
      <c r="F787">
        <v>3862</v>
      </c>
      <c r="G787">
        <v>5287</v>
      </c>
      <c r="H787">
        <v>4048</v>
      </c>
      <c r="J787" s="1"/>
      <c r="K787">
        <f t="shared" si="12"/>
        <v>-8.4535694601332464E-2</v>
      </c>
      <c r="L787">
        <f>LOG10(E787/C787)-LOG10(37995/47667)</f>
        <v>0.14549021036826035</v>
      </c>
      <c r="M787">
        <f>LOG10(F787/C787)-LOG10(35167/47667)</f>
        <v>2.9497104951310027E-2</v>
      </c>
      <c r="N787">
        <f>LOG10(G787/C787)-LOG10(34734/47667)</f>
        <v>0.17127466739251135</v>
      </c>
      <c r="O787">
        <f>LOG10(H787/C787)-LOG10(33378/47667)</f>
        <v>7.2600350445118145E-2</v>
      </c>
      <c r="Q787">
        <f>AVERAGE(K787:O787)</f>
        <v>6.6865327711173483E-2</v>
      </c>
      <c r="R787">
        <f>STDEV(K787:O787)</f>
        <v>0.10177760866319668</v>
      </c>
    </row>
    <row r="788" spans="1:18">
      <c r="A788">
        <v>786</v>
      </c>
      <c r="C788">
        <v>3769</v>
      </c>
      <c r="D788">
        <v>6389</v>
      </c>
      <c r="E788">
        <v>5796</v>
      </c>
      <c r="F788">
        <v>3386</v>
      </c>
      <c r="G788">
        <v>4679</v>
      </c>
      <c r="H788">
        <v>6432</v>
      </c>
      <c r="J788" s="1"/>
      <c r="K788">
        <f t="shared" si="12"/>
        <v>0.17159421515217521</v>
      </c>
      <c r="L788">
        <f>LOG10(E788/C788)-LOG10(37995/47667)</f>
        <v>0.28539361026243226</v>
      </c>
      <c r="M788">
        <f>LOG10(F788/C788)-LOG10(35167/47667)</f>
        <v>8.5543314652527958E-2</v>
      </c>
      <c r="N788">
        <f>LOG10(G788/C788)-LOG10(34734/47667)</f>
        <v>0.23138992755125753</v>
      </c>
      <c r="O788">
        <f>LOG10(H788/C788)-LOG10(33378/47667)</f>
        <v>0.38687740772544771</v>
      </c>
      <c r="Q788">
        <f>AVERAGE(K788:O788)</f>
        <v>0.23215969506876816</v>
      </c>
      <c r="R788">
        <f>STDEV(K788:O788)</f>
        <v>0.11394796317012316</v>
      </c>
    </row>
    <row r="789" spans="1:18">
      <c r="A789">
        <v>787</v>
      </c>
      <c r="C789">
        <v>3283</v>
      </c>
      <c r="D789">
        <v>4225</v>
      </c>
      <c r="E789">
        <v>11479</v>
      </c>
      <c r="F789">
        <v>3020</v>
      </c>
      <c r="G789">
        <v>8411</v>
      </c>
      <c r="H789">
        <v>3890</v>
      </c>
      <c r="J789" s="1"/>
      <c r="K789">
        <f t="shared" si="12"/>
        <v>5.1943295026011284E-2</v>
      </c>
      <c r="L789">
        <f>LOG10(E789/C789)-LOG10(37995/47667)</f>
        <v>0.6421245440679656</v>
      </c>
      <c r="M789">
        <f>LOG10(F789/C789)-LOG10(35167/47667)</f>
        <v>9.5818558557027006E-2</v>
      </c>
      <c r="N789">
        <f>LOG10(G789/C789)-LOG10(34734/47667)</f>
        <v>0.54603977005487936</v>
      </c>
      <c r="O789">
        <f>LOG10(H789/C789)-LOG10(33378/47667)</f>
        <v>0.22843622803102548</v>
      </c>
      <c r="Q789">
        <f>AVERAGE(K789:O789)</f>
        <v>0.3128724791473817</v>
      </c>
      <c r="R789">
        <f>STDEV(K789:O789)</f>
        <v>0.26697370276680932</v>
      </c>
    </row>
    <row r="790" spans="1:18">
      <c r="A790">
        <v>788</v>
      </c>
      <c r="C790">
        <v>950</v>
      </c>
      <c r="D790">
        <v>714</v>
      </c>
      <c r="E790">
        <v>925</v>
      </c>
      <c r="F790">
        <v>773</v>
      </c>
      <c r="G790">
        <v>1047</v>
      </c>
      <c r="H790">
        <v>2118</v>
      </c>
      <c r="J790" s="1"/>
      <c r="K790">
        <f t="shared" si="12"/>
        <v>-0.18163792904303316</v>
      </c>
      <c r="L790">
        <f>LOG10(E790/C790)-LOG10(37995/47667)</f>
        <v>8.6909498363085105E-2</v>
      </c>
      <c r="M790">
        <f>LOG10(F790/C790)-LOG10(35167/47667)</f>
        <v>4.2538386958693594E-2</v>
      </c>
      <c r="N790">
        <f>LOG10(G790/C790)-LOG10(34734/47667)</f>
        <v>0.17968609619867684</v>
      </c>
      <c r="O790">
        <f>LOG10(H790/C790)-LOG10(33378/47667)</f>
        <v>0.50295985991727632</v>
      </c>
      <c r="Q790">
        <f>AVERAGE(K790:O790)</f>
        <v>0.12609118247893975</v>
      </c>
      <c r="R790">
        <f>STDEV(K790:O790)</f>
        <v>0.24905616580314399</v>
      </c>
    </row>
    <row r="791" spans="1:18">
      <c r="A791">
        <v>789</v>
      </c>
      <c r="C791">
        <v>1997</v>
      </c>
      <c r="D791">
        <v>2164</v>
      </c>
      <c r="E791">
        <v>4429</v>
      </c>
      <c r="F791">
        <v>3560</v>
      </c>
      <c r="G791">
        <v>3903</v>
      </c>
      <c r="H791">
        <v>4203</v>
      </c>
      <c r="J791" s="1"/>
      <c r="K791">
        <f t="shared" si="12"/>
        <v>-2.2733343966530484E-2</v>
      </c>
      <c r="L791">
        <f>LOG10(E791/C791)-LOG10(37995/47667)</f>
        <v>0.44441898632695642</v>
      </c>
      <c r="M791">
        <f>LOG10(F791/C791)-LOG10(35167/47667)</f>
        <v>0.38315443143138905</v>
      </c>
      <c r="N791">
        <f>LOG10(G791/C791)-LOG10(34734/47667)</f>
        <v>0.42848350621922837</v>
      </c>
      <c r="O791">
        <f>LOG10(H791/C791)-LOG10(33378/47667)</f>
        <v>0.47793883456939223</v>
      </c>
      <c r="Q791">
        <f>AVERAGE(K791:O791)</f>
        <v>0.34225248291608712</v>
      </c>
      <c r="R791">
        <f>STDEV(K791:O791)</f>
        <v>0.20686480672267027</v>
      </c>
    </row>
    <row r="792" spans="1:18">
      <c r="A792">
        <v>790</v>
      </c>
      <c r="C792">
        <v>1123</v>
      </c>
      <c r="D792">
        <v>366</v>
      </c>
      <c r="E792">
        <v>590</v>
      </c>
      <c r="F792">
        <v>5173</v>
      </c>
      <c r="G792">
        <v>491</v>
      </c>
      <c r="H792">
        <v>470</v>
      </c>
      <c r="J792" s="1"/>
      <c r="K792">
        <f t="shared" si="12"/>
        <v>-0.54451120639740691</v>
      </c>
      <c r="L792">
        <f>LOG10(E792/C792)-LOG10(37995/47667)</f>
        <v>-0.18103637370641337</v>
      </c>
      <c r="M792">
        <f>LOG10(F792/C792)-LOG10(35167/47667)</f>
        <v>0.7954452204768413</v>
      </c>
      <c r="N792">
        <f>LOG10(G792/C792)-LOG10(34734/47667)</f>
        <v>-0.22183524432980703</v>
      </c>
      <c r="O792">
        <f>LOG10(H792/C792)-LOG10(33378/47667)</f>
        <v>-0.22352438889108253</v>
      </c>
      <c r="Q792">
        <f>AVERAGE(K792:O792)</f>
        <v>-7.5092398569573698E-2</v>
      </c>
      <c r="R792">
        <f>STDEV(K792:O792)</f>
        <v>0.50817797269212606</v>
      </c>
    </row>
    <row r="793" spans="1:18">
      <c r="A793">
        <v>791</v>
      </c>
      <c r="C793">
        <v>1325</v>
      </c>
      <c r="D793">
        <v>1429</v>
      </c>
      <c r="E793">
        <v>772</v>
      </c>
      <c r="F793">
        <v>922</v>
      </c>
      <c r="G793">
        <v>787</v>
      </c>
      <c r="H793">
        <v>1152</v>
      </c>
      <c r="J793" s="1"/>
      <c r="K793">
        <f t="shared" si="12"/>
        <v>-2.4796185012216226E-2</v>
      </c>
      <c r="L793">
        <f>LOG10(E793/C793)-LOG10(37995/47667)</f>
        <v>-0.13610720702419021</v>
      </c>
      <c r="M793">
        <f>LOG10(F793/C793)-LOG10(35167/47667)</f>
        <v>-2.5402458889980856E-2</v>
      </c>
      <c r="N793">
        <f>LOG10(G793/C793)-LOG10(34734/47667)</f>
        <v>-8.8778126105079791E-2</v>
      </c>
      <c r="O793">
        <f>LOG10(H793/C793)-LOG10(33378/47667)</f>
        <v>9.3994110249024376E-2</v>
      </c>
      <c r="Q793">
        <f>AVERAGE(K793:O793)</f>
        <v>-3.6217973356488541E-2</v>
      </c>
      <c r="R793">
        <f>STDEV(K793:O793)</f>
        <v>8.6520298165692927E-2</v>
      </c>
    </row>
    <row r="794" spans="1:18">
      <c r="A794">
        <v>792</v>
      </c>
      <c r="C794">
        <v>2450</v>
      </c>
      <c r="D794">
        <v>3670</v>
      </c>
      <c r="E794">
        <v>3458</v>
      </c>
      <c r="F794">
        <v>3337</v>
      </c>
      <c r="G794">
        <v>3745</v>
      </c>
      <c r="H794">
        <v>4246</v>
      </c>
      <c r="J794" s="1"/>
      <c r="K794">
        <f t="shared" si="12"/>
        <v>0.11788744435719711</v>
      </c>
      <c r="L794">
        <f>LOG10(E794/C794)-LOG10(37995/47667)</f>
        <v>0.24815027548627155</v>
      </c>
      <c r="M794">
        <f>LOG10(F794/C794)-LOG10(35167/47667)</f>
        <v>0.26627262061947671</v>
      </c>
      <c r="N794">
        <f>LOG10(G794/C794)-LOG10(34734/47667)</f>
        <v>0.32174875747963505</v>
      </c>
      <c r="O794">
        <f>LOG10(H794/C794)-LOG10(33378/47667)</f>
        <v>0.39357141490010528</v>
      </c>
      <c r="Q794">
        <f>AVERAGE(K794:O794)</f>
        <v>0.26952610256853715</v>
      </c>
      <c r="R794">
        <f>STDEV(K794:O794)</f>
        <v>0.10195126162752879</v>
      </c>
    </row>
    <row r="795" spans="1:18">
      <c r="A795">
        <v>793</v>
      </c>
      <c r="C795">
        <v>3930</v>
      </c>
      <c r="D795">
        <v>12151</v>
      </c>
      <c r="E795">
        <v>6285</v>
      </c>
      <c r="F795">
        <v>6057</v>
      </c>
      <c r="G795">
        <v>11678</v>
      </c>
      <c r="H795">
        <v>8928</v>
      </c>
      <c r="J795" s="1"/>
      <c r="K795">
        <f t="shared" si="12"/>
        <v>0.43260693495946495</v>
      </c>
      <c r="L795">
        <f>LOG10(E795/C795)-LOG10(37995/47667)</f>
        <v>0.30240410255945011</v>
      </c>
      <c r="M795">
        <f>LOG10(F795/C795)-LOG10(35167/47667)</f>
        <v>0.3199475216170915</v>
      </c>
      <c r="N795">
        <f>LOG10(G795/C795)-LOG10(34734/47667)</f>
        <v>0.61043894034852408</v>
      </c>
      <c r="O795">
        <f>LOG10(H795/C795)-LOG10(33378/47667)</f>
        <v>0.51111914065273456</v>
      </c>
      <c r="Q795">
        <f>AVERAGE(K795:O795)</f>
        <v>0.43530332802745308</v>
      </c>
      <c r="R795">
        <f>STDEV(K795:O795)</f>
        <v>0.12980461941439647</v>
      </c>
    </row>
    <row r="796" spans="1:18">
      <c r="A796">
        <v>794</v>
      </c>
      <c r="C796">
        <v>2578</v>
      </c>
      <c r="D796">
        <v>755</v>
      </c>
      <c r="E796">
        <v>917</v>
      </c>
      <c r="F796">
        <v>664</v>
      </c>
      <c r="G796">
        <v>903</v>
      </c>
      <c r="H796">
        <v>661</v>
      </c>
      <c r="J796" s="1"/>
      <c r="K796">
        <f t="shared" si="12"/>
        <v>-0.59094849691855567</v>
      </c>
      <c r="L796">
        <f>LOG10(E796/C796)-LOG10(37995/47667)</f>
        <v>-0.35042220643446287</v>
      </c>
      <c r="M796">
        <f>LOG10(F796/C796)-LOG10(35167/47667)</f>
        <v>-0.4570323353201502</v>
      </c>
      <c r="N796">
        <f>LOG10(G796/C796)-LOG10(34734/47667)</f>
        <v>-0.3181321428951962</v>
      </c>
      <c r="O796">
        <f>LOG10(H796/C796)-LOG10(33378/47667)</f>
        <v>-0.43632394409708619</v>
      </c>
      <c r="Q796">
        <f>AVERAGE(K796:O796)</f>
        <v>-0.43057182513309022</v>
      </c>
      <c r="R796">
        <f>STDEV(K796:O796)</f>
        <v>0.1066777458566361</v>
      </c>
    </row>
    <row r="797" spans="1:18">
      <c r="A797">
        <v>795</v>
      </c>
      <c r="C797">
        <v>3976</v>
      </c>
      <c r="D797">
        <v>14247</v>
      </c>
      <c r="E797">
        <v>4604</v>
      </c>
      <c r="F797">
        <v>10147</v>
      </c>
      <c r="G797">
        <v>6526</v>
      </c>
      <c r="H797">
        <v>4302</v>
      </c>
      <c r="J797" s="1"/>
      <c r="K797">
        <f t="shared" si="12"/>
        <v>0.49666451304604536</v>
      </c>
      <c r="L797">
        <f>LOG10(E797/C797)-LOG10(37995/47667)</f>
        <v>0.16218031014537873</v>
      </c>
      <c r="M797">
        <f>LOG10(F797/C797)-LOG10(35167/47667)</f>
        <v>0.53897378297849174</v>
      </c>
      <c r="N797">
        <f>LOG10(G797/C797)-LOG10(34734/47667)</f>
        <v>0.35266371353526266</v>
      </c>
      <c r="O797">
        <f>LOG10(H797/C797)-LOG10(33378/47667)</f>
        <v>0.18898153976082588</v>
      </c>
      <c r="Q797">
        <f>AVERAGE(K797:O797)</f>
        <v>0.34789277189320089</v>
      </c>
      <c r="R797">
        <f>STDEV(K797:O797)</f>
        <v>0.17205351187453563</v>
      </c>
    </row>
    <row r="798" spans="1:18">
      <c r="A798">
        <v>796</v>
      </c>
      <c r="C798">
        <v>2423</v>
      </c>
      <c r="D798">
        <v>373</v>
      </c>
      <c r="E798">
        <v>457</v>
      </c>
      <c r="F798">
        <v>312</v>
      </c>
      <c r="G798">
        <v>404</v>
      </c>
      <c r="H798">
        <v>343</v>
      </c>
      <c r="J798" s="1"/>
      <c r="K798">
        <f t="shared" si="12"/>
        <v>-0.87025711785917836</v>
      </c>
      <c r="L798">
        <f>LOG10(E798/C798)-LOG10(37995/47667)</f>
        <v>-0.62594584315475565</v>
      </c>
      <c r="M798">
        <f>LOG10(F798/C798)-LOG10(35167/47667)</f>
        <v>-0.758116321789847</v>
      </c>
      <c r="N798">
        <f>LOG10(G798/C798)-LOG10(34734/47667)</f>
        <v>-0.64050902921821895</v>
      </c>
      <c r="O798">
        <f>LOG10(H798/C798)-LOG10(33378/47667)</f>
        <v>-0.69430178466007786</v>
      </c>
      <c r="Q798">
        <f>AVERAGE(K798:O798)</f>
        <v>-0.71782601933641543</v>
      </c>
      <c r="R798">
        <f>STDEV(K798:O798)</f>
        <v>9.978955559308722E-2</v>
      </c>
    </row>
    <row r="799" spans="1:18">
      <c r="A799">
        <v>797</v>
      </c>
      <c r="C799">
        <v>1740</v>
      </c>
      <c r="D799">
        <v>841</v>
      </c>
      <c r="E799">
        <v>1923</v>
      </c>
      <c r="F799">
        <v>1212</v>
      </c>
      <c r="G799">
        <v>1166</v>
      </c>
      <c r="H799">
        <v>1636</v>
      </c>
      <c r="J799" s="1"/>
      <c r="K799">
        <f t="shared" si="12"/>
        <v>-0.37336578801504733</v>
      </c>
      <c r="L799">
        <f>LOG10(E799/C799)-LOG10(37995/47667)</f>
        <v>0.14192140686878035</v>
      </c>
      <c r="M799">
        <f>LOG10(F799/C799)-LOG10(35167/47667)</f>
        <v>-2.4964130123115907E-2</v>
      </c>
      <c r="N799">
        <f>LOG10(G799/C799)-LOG10(34734/47667)</f>
        <v>-3.638767805092219E-2</v>
      </c>
      <c r="O799">
        <f>LOG10(H799/C799)-LOG10(33378/47667)</f>
        <v>0.12799156048736229</v>
      </c>
      <c r="Q799">
        <f>AVERAGE(K799:O799)</f>
        <v>-3.2960925766588559E-2</v>
      </c>
      <c r="R799">
        <f>STDEV(K799:O799)</f>
        <v>0.20762989591668266</v>
      </c>
    </row>
    <row r="800" spans="1:18">
      <c r="A800">
        <v>798</v>
      </c>
      <c r="C800">
        <v>1047</v>
      </c>
      <c r="D800">
        <v>6775</v>
      </c>
      <c r="E800">
        <v>1607</v>
      </c>
      <c r="F800">
        <v>3985</v>
      </c>
      <c r="G800">
        <v>1659</v>
      </c>
      <c r="H800">
        <v>1474</v>
      </c>
      <c r="J800" s="1"/>
      <c r="K800">
        <f t="shared" si="12"/>
        <v>0.75335008233724132</v>
      </c>
      <c r="L800">
        <f>LOG10(E800/C800)-LOG10(37995/47667)</f>
        <v>0.28456056599740243</v>
      </c>
      <c r="M800">
        <f>LOG10(F800/C800)-LOG10(35167/47667)</f>
        <v>0.71256414238250532</v>
      </c>
      <c r="N800">
        <f>LOG10(G800/C800)-LOG10(34734/47667)</f>
        <v>0.33736272415420065</v>
      </c>
      <c r="O800">
        <f>LOG10(H800/C800)-LOG10(33378/47667)</f>
        <v>0.30330831127884816</v>
      </c>
      <c r="Q800">
        <f>AVERAGE(K800:O800)</f>
        <v>0.47822916523003955</v>
      </c>
      <c r="R800">
        <f>STDEV(K800:O800)</f>
        <v>0.2337480407640207</v>
      </c>
    </row>
    <row r="801" spans="1:18">
      <c r="A801">
        <v>799</v>
      </c>
      <c r="C801">
        <v>1286</v>
      </c>
      <c r="D801">
        <v>1781</v>
      </c>
      <c r="E801">
        <v>2231</v>
      </c>
      <c r="F801">
        <v>3304</v>
      </c>
      <c r="G801">
        <v>2490</v>
      </c>
      <c r="H801">
        <v>2134</v>
      </c>
      <c r="J801" s="1"/>
      <c r="K801">
        <f t="shared" si="12"/>
        <v>8.3810415344680506E-2</v>
      </c>
      <c r="L801">
        <f>LOG10(E801/C801)-LOG10(37995/47667)</f>
        <v>0.33774997260853473</v>
      </c>
      <c r="M801">
        <f>LOG10(F801/C801)-LOG10(35167/47667)</f>
        <v>0.54188156838935775</v>
      </c>
      <c r="N801">
        <f>LOG10(G801/C801)-LOG10(34734/47667)</f>
        <v>0.42442139831621539</v>
      </c>
      <c r="O801">
        <f>LOG10(H801/C801)-LOG10(33378/47667)</f>
        <v>0.37471095593490561</v>
      </c>
      <c r="Q801">
        <f>AVERAGE(K801:O801)</f>
        <v>0.35251486211873878</v>
      </c>
      <c r="R801">
        <f>STDEV(K801:O801)</f>
        <v>0.16877725531806648</v>
      </c>
    </row>
    <row r="802" spans="1:18">
      <c r="A802">
        <v>800</v>
      </c>
      <c r="C802">
        <v>2360</v>
      </c>
      <c r="D802">
        <v>2856</v>
      </c>
      <c r="E802">
        <v>1443</v>
      </c>
      <c r="F802">
        <v>1857</v>
      </c>
      <c r="G802">
        <v>1942</v>
      </c>
      <c r="H802">
        <v>1559</v>
      </c>
      <c r="J802" s="1"/>
      <c r="K802">
        <f t="shared" si="12"/>
        <v>2.5233664603670457E-2</v>
      </c>
      <c r="L802">
        <f>LOG10(E802/C802)-LOG10(37995/47667)</f>
        <v>-0.11515430096371213</v>
      </c>
      <c r="M802">
        <f>LOG10(F802/C802)-LOG10(35167/47667)</f>
        <v>2.7982399098890262E-2</v>
      </c>
      <c r="N802">
        <f>LOG10(G802/C802)-LOG10(34734/47667)</f>
        <v>5.2800242410561735E-2</v>
      </c>
      <c r="O802">
        <f>LOG10(H802/C802)-LOG10(33378/47667)</f>
        <v>-2.5308378346607097E-2</v>
      </c>
      <c r="Q802">
        <f>AVERAGE(K802:O802)</f>
        <v>-6.8892746394393521E-3</v>
      </c>
      <c r="R802">
        <f>STDEV(K802:O802)</f>
        <v>6.6841855537833242E-2</v>
      </c>
    </row>
    <row r="803" spans="1:18">
      <c r="A803">
        <v>801</v>
      </c>
      <c r="C803">
        <v>1333</v>
      </c>
      <c r="D803">
        <v>269</v>
      </c>
      <c r="E803">
        <v>183</v>
      </c>
      <c r="F803">
        <v>170</v>
      </c>
      <c r="G803">
        <v>256</v>
      </c>
      <c r="H803">
        <v>224</v>
      </c>
      <c r="J803" s="1"/>
      <c r="K803">
        <f t="shared" si="12"/>
        <v>-0.75269040494181094</v>
      </c>
      <c r="L803">
        <f>LOG10(E803/C803)-LOG10(37995/47667)</f>
        <v>-0.76388768877052948</v>
      </c>
      <c r="M803">
        <f>LOG10(F803/C803)-LOG10(35167/47667)</f>
        <v>-0.76229872970636881</v>
      </c>
      <c r="N803">
        <f>LOG10(G803/C803)-LOG10(34734/47667)</f>
        <v>-0.57912716429332733</v>
      </c>
      <c r="O803">
        <f>LOG10(H803/C803)-LOG10(33378/47667)</f>
        <v>-0.6198246216450386</v>
      </c>
      <c r="Q803">
        <f>AVERAGE(K803:O803)</f>
        <v>-0.69556572187141508</v>
      </c>
      <c r="R803">
        <f>STDEV(K803:O803)</f>
        <v>8.8993071171193386E-2</v>
      </c>
    </row>
    <row r="804" spans="1:18">
      <c r="A804">
        <v>802</v>
      </c>
      <c r="C804">
        <v>2157</v>
      </c>
      <c r="D804">
        <v>4249</v>
      </c>
      <c r="E804">
        <v>2446</v>
      </c>
      <c r="F804">
        <v>3173</v>
      </c>
      <c r="G804">
        <v>3382</v>
      </c>
      <c r="H804">
        <v>4384</v>
      </c>
      <c r="J804" s="1"/>
      <c r="K804">
        <f t="shared" si="12"/>
        <v>0.23682405045660962</v>
      </c>
      <c r="L804">
        <f>LOG10(E804/C804)-LOG10(37995/47667)</f>
        <v>0.15309767851062184</v>
      </c>
      <c r="M804">
        <f>LOG10(F804/C804)-LOG10(35167/47667)</f>
        <v>0.29970242532708363</v>
      </c>
      <c r="N804">
        <f>LOG10(G804/C804)-LOG10(34734/47667)</f>
        <v>0.33278647796786021</v>
      </c>
      <c r="O804">
        <f>LOG10(H804/C804)-LOG10(33378/47667)</f>
        <v>0.46277790980842548</v>
      </c>
      <c r="Q804">
        <f>AVERAGE(K804:O804)</f>
        <v>0.29703770841412014</v>
      </c>
      <c r="R804">
        <f>STDEV(K804:O804)</f>
        <v>0.11521643373701253</v>
      </c>
    </row>
    <row r="805" spans="1:18">
      <c r="A805">
        <v>803</v>
      </c>
      <c r="C805">
        <v>2308</v>
      </c>
      <c r="D805">
        <v>1125</v>
      </c>
      <c r="E805">
        <v>739</v>
      </c>
      <c r="F805">
        <v>602</v>
      </c>
      <c r="G805">
        <v>878</v>
      </c>
      <c r="H805">
        <v>1159</v>
      </c>
      <c r="J805" s="1"/>
      <c r="K805">
        <f t="shared" si="12"/>
        <v>-0.3696958175666723</v>
      </c>
      <c r="L805">
        <f>LOG10(E805/C805)-LOG10(37995/47667)</f>
        <v>-0.39609999517596783</v>
      </c>
      <c r="M805">
        <f>LOG10(F805/C805)-LOG10(35167/47667)</f>
        <v>-0.45155681489665278</v>
      </c>
      <c r="N805">
        <f>LOG10(G805/C805)-LOG10(34734/47667)</f>
        <v>-0.28227826876890894</v>
      </c>
      <c r="O805">
        <f>LOG10(H805/C805)-LOG10(33378/47667)</f>
        <v>-0.14439485908544006</v>
      </c>
      <c r="Q805">
        <f>AVERAGE(K805:O805)</f>
        <v>-0.32880515109872838</v>
      </c>
      <c r="R805">
        <f>STDEV(K805:O805)</f>
        <v>0.11983376004750335</v>
      </c>
    </row>
    <row r="806" spans="1:18">
      <c r="A806">
        <v>804</v>
      </c>
      <c r="C806">
        <v>2150</v>
      </c>
      <c r="D806">
        <v>2146</v>
      </c>
      <c r="E806">
        <v>3626</v>
      </c>
      <c r="F806">
        <v>3207</v>
      </c>
      <c r="G806">
        <v>2828</v>
      </c>
      <c r="H806">
        <v>2480</v>
      </c>
      <c r="J806" s="1"/>
      <c r="K806">
        <f t="shared" si="12"/>
        <v>-5.8421277816032784E-2</v>
      </c>
      <c r="L806">
        <f>LOG10(E806/C806)-LOG10(37995/47667)</f>
        <v>0.32548071075678475</v>
      </c>
      <c r="M806">
        <f>LOG10(F806/C806)-LOG10(35167/47667)</f>
        <v>0.30574299834205154</v>
      </c>
      <c r="N806">
        <f>LOG10(G806/C806)-LOG10(34734/47667)</f>
        <v>0.25650396501793871</v>
      </c>
      <c r="O806">
        <f>LOG10(H806/C806)-LOG10(33378/47667)</f>
        <v>0.21677073034526878</v>
      </c>
      <c r="Q806">
        <f>AVERAGE(K806:O806)</f>
        <v>0.20921542532920218</v>
      </c>
      <c r="R806">
        <f>STDEV(K806:O806)</f>
        <v>0.15552964543579617</v>
      </c>
    </row>
    <row r="807" spans="1:18">
      <c r="A807">
        <v>805</v>
      </c>
      <c r="C807">
        <v>2818</v>
      </c>
      <c r="D807">
        <v>2273</v>
      </c>
      <c r="E807">
        <v>2832</v>
      </c>
      <c r="F807">
        <v>2524</v>
      </c>
      <c r="G807">
        <v>4591</v>
      </c>
      <c r="H807">
        <v>3568</v>
      </c>
      <c r="J807" s="1"/>
      <c r="K807">
        <f t="shared" si="12"/>
        <v>-0.15095408857872655</v>
      </c>
      <c r="L807">
        <f>LOG10(E807/C807)-LOG10(37995/47667)</f>
        <v>0.10064363115729404</v>
      </c>
      <c r="M807">
        <f>LOG10(F807/C807)-LOG10(35167/47667)</f>
        <v>8.4230860127975565E-2</v>
      </c>
      <c r="N807">
        <f>LOG10(G807/C807)-LOG10(34734/47667)</f>
        <v>0.34942932380136543</v>
      </c>
      <c r="O807">
        <f>LOG10(H807/C807)-LOG10(33378/47667)</f>
        <v>0.25724136636540562</v>
      </c>
      <c r="Q807">
        <f>AVERAGE(K807:O807)</f>
        <v>0.12811821857466282</v>
      </c>
      <c r="R807">
        <f>STDEV(K807:O807)</f>
        <v>0.19118949918677086</v>
      </c>
    </row>
    <row r="808" spans="1:18">
      <c r="A808">
        <v>806</v>
      </c>
      <c r="C808">
        <v>2160</v>
      </c>
      <c r="D808">
        <v>201</v>
      </c>
      <c r="E808">
        <v>235</v>
      </c>
      <c r="F808">
        <v>180</v>
      </c>
      <c r="G808">
        <v>119</v>
      </c>
      <c r="H808">
        <v>112</v>
      </c>
      <c r="J808" s="1"/>
      <c r="K808">
        <f t="shared" si="12"/>
        <v>-1.0888702292608019</v>
      </c>
      <c r="L808">
        <f>LOG10(E808/C808)-LOG10(37995/47667)</f>
        <v>-0.86489451796629435</v>
      </c>
      <c r="M808">
        <f>LOG10(F808/C808)-LOG10(35167/47667)</f>
        <v>-0.94709874771840841</v>
      </c>
      <c r="N808">
        <f>LOG10(G808/C808)-LOG10(34734/47667)</f>
        <v>-1.1214437699497177</v>
      </c>
      <c r="O808">
        <f>LOG10(H808/C808)-LOG10(33378/47667)</f>
        <v>-1.1304782190460916</v>
      </c>
      <c r="Q808">
        <f>AVERAGE(K808:O808)</f>
        <v>-1.0305570967882629</v>
      </c>
      <c r="R808">
        <f>STDEV(K808:O808)</f>
        <v>0.11837907912907451</v>
      </c>
    </row>
    <row r="809" spans="1:18">
      <c r="A809">
        <v>807</v>
      </c>
      <c r="C809">
        <v>1740</v>
      </c>
      <c r="D809">
        <v>3718</v>
      </c>
      <c r="E809">
        <v>2313</v>
      </c>
      <c r="F809">
        <v>8426</v>
      </c>
      <c r="G809">
        <v>2031</v>
      </c>
      <c r="H809">
        <v>1639</v>
      </c>
      <c r="J809" s="1"/>
      <c r="K809">
        <f t="shared" si="12"/>
        <v>0.27214760162292023</v>
      </c>
      <c r="L809">
        <f>LOG10(E809/C809)-LOG10(37995/47667)</f>
        <v>0.22211775540091996</v>
      </c>
      <c r="M809">
        <f>LOG10(F809/C809)-LOG10(35167/47667)</f>
        <v>0.81715470483744579</v>
      </c>
      <c r="N809">
        <f>LOG10(G809/C809)-LOG10(34734/47667)</f>
        <v>0.20462369493088933</v>
      </c>
      <c r="O809">
        <f>LOG10(H809/C809)-LOG10(33378/47667)</f>
        <v>0.12878721472255714</v>
      </c>
      <c r="Q809">
        <f>AVERAGE(K809:O809)</f>
        <v>0.32896619430294644</v>
      </c>
      <c r="R809">
        <f>STDEV(K809:O809)</f>
        <v>0.27771642200442881</v>
      </c>
    </row>
    <row r="810" spans="1:18">
      <c r="A810">
        <v>808</v>
      </c>
      <c r="C810">
        <v>1058</v>
      </c>
      <c r="D810">
        <v>849</v>
      </c>
      <c r="E810">
        <v>1523</v>
      </c>
      <c r="F810">
        <v>820</v>
      </c>
      <c r="G810">
        <v>765</v>
      </c>
      <c r="H810">
        <v>23244</v>
      </c>
      <c r="J810" s="1"/>
      <c r="K810">
        <f t="shared" si="12"/>
        <v>-0.15319051298557404</v>
      </c>
      <c r="L810">
        <f>LOG10(E810/C810)-LOG10(37995/47667)</f>
        <v>0.25670560654977592</v>
      </c>
      <c r="M810">
        <f>LOG10(F810/C810)-LOG10(35167/47667)</f>
        <v>2.1410683013766169E-2</v>
      </c>
      <c r="N810">
        <f>LOG10(G810/C810)-LOG10(34734/47667)</f>
        <v>-3.3612127368670419E-3</v>
      </c>
      <c r="O810">
        <f>LOG10(H810/C810)-LOG10(33378/47667)</f>
        <v>1.4965827085022265</v>
      </c>
      <c r="Q810">
        <f>AVERAGE(K810:O810)</f>
        <v>0.32362945446866548</v>
      </c>
      <c r="R810">
        <f>STDEV(K810:O810)</f>
        <v>0.67192159162927645</v>
      </c>
    </row>
    <row r="811" spans="1:18">
      <c r="A811">
        <v>809</v>
      </c>
      <c r="C811">
        <v>1957</v>
      </c>
      <c r="D811">
        <v>53</v>
      </c>
      <c r="E811">
        <v>90</v>
      </c>
      <c r="F811">
        <v>63</v>
      </c>
      <c r="G811">
        <v>83</v>
      </c>
      <c r="H811">
        <v>93</v>
      </c>
      <c r="J811" s="1"/>
      <c r="K811">
        <f t="shared" si="12"/>
        <v>-1.624927491587572</v>
      </c>
      <c r="L811">
        <f>LOG10(E811/C811)-LOG10(37995/47667)</f>
        <v>-1.2388569453057761</v>
      </c>
      <c r="M811">
        <f>LOG10(F811/C811)-LOG10(35167/47667)</f>
        <v>-1.360167777875203</v>
      </c>
      <c r="N811">
        <f>LOG10(G811/C811)-LOG10(34734/47667)</f>
        <v>-1.235049713473245</v>
      </c>
      <c r="O811">
        <f>LOG10(H811/C811)-LOG10(33378/47667)</f>
        <v>-1.1683503676694083</v>
      </c>
      <c r="Q811">
        <f>AVERAGE(K811:O811)</f>
        <v>-1.3254704591822408</v>
      </c>
      <c r="R811">
        <f>STDEV(K811:O811)</f>
        <v>0.18113734663169945</v>
      </c>
    </row>
    <row r="812" spans="1:18">
      <c r="A812">
        <v>810</v>
      </c>
      <c r="C812">
        <v>1780</v>
      </c>
      <c r="D812">
        <v>3532</v>
      </c>
      <c r="E812">
        <v>2188</v>
      </c>
      <c r="F812">
        <v>7393</v>
      </c>
      <c r="G812">
        <v>4342</v>
      </c>
      <c r="H812">
        <v>2230</v>
      </c>
      <c r="J812" s="1"/>
      <c r="K812">
        <f t="shared" si="12"/>
        <v>0.23998815706627727</v>
      </c>
      <c r="L812">
        <f>LOG10(E812/C812)-LOG10(37995/47667)</f>
        <v>0.18811868626539946</v>
      </c>
      <c r="M812">
        <f>LOG10(F812/C812)-LOG10(35167/47667)</f>
        <v>0.75048320221783993</v>
      </c>
      <c r="N812">
        <f>LOG10(G812/C812)-LOG10(34734/47667)</f>
        <v>0.52473283661818948</v>
      </c>
      <c r="O812">
        <f>LOG10(H812/C812)-LOG10(33378/47667)</f>
        <v>0.25264237017392455</v>
      </c>
      <c r="Q812">
        <f>AVERAGE(K812:O812)</f>
        <v>0.39119305046832614</v>
      </c>
      <c r="R812">
        <f>STDEV(K812:O812)</f>
        <v>0.23990659423217672</v>
      </c>
    </row>
    <row r="813" spans="1:18">
      <c r="A813">
        <v>811</v>
      </c>
      <c r="C813">
        <v>1079</v>
      </c>
      <c r="D813">
        <v>271</v>
      </c>
      <c r="E813">
        <v>272</v>
      </c>
      <c r="F813">
        <v>450</v>
      </c>
      <c r="G813">
        <v>275</v>
      </c>
      <c r="H813">
        <v>246</v>
      </c>
      <c r="J813" s="1"/>
      <c r="K813">
        <f t="shared" si="12"/>
        <v>-0.65766468933886468</v>
      </c>
      <c r="L813">
        <f>LOG10(E813/C813)-LOG10(37995/47667)</f>
        <v>-0.49996116973581173</v>
      </c>
      <c r="M813">
        <f>LOG10(F813/C813)-LOG10(35167/47667)</f>
        <v>-0.24772643257835056</v>
      </c>
      <c r="N813">
        <f>LOG10(G813/C813)-LOG10(34734/47667)</f>
        <v>-0.4562257310439658</v>
      </c>
      <c r="O813">
        <f>LOG10(H813/C813)-LOG10(33378/47667)</f>
        <v>-0.48732882814487377</v>
      </c>
      <c r="Q813">
        <f>AVERAGE(K813:O813)</f>
        <v>-0.46978137016837335</v>
      </c>
      <c r="R813">
        <f>STDEV(K813:O813)</f>
        <v>0.14663818215770788</v>
      </c>
    </row>
    <row r="814" spans="1:18">
      <c r="A814">
        <v>812</v>
      </c>
      <c r="C814">
        <v>2644</v>
      </c>
      <c r="D814">
        <v>2767</v>
      </c>
      <c r="E814">
        <v>6821</v>
      </c>
      <c r="F814">
        <v>2727</v>
      </c>
      <c r="G814">
        <v>2829</v>
      </c>
      <c r="H814">
        <v>5859</v>
      </c>
      <c r="J814" s="1"/>
      <c r="K814">
        <f t="shared" si="12"/>
        <v>-3.7864827203010397E-2</v>
      </c>
      <c r="L814">
        <f>LOG10(E814/C814)-LOG10(37995/47667)</f>
        <v>0.51007796963044572</v>
      </c>
      <c r="M814">
        <f>LOG10(F814/C814)-LOG10(35167/47667)</f>
        <v>0.14550618545724375</v>
      </c>
      <c r="N814">
        <f>LOG10(G814/C814)-LOG10(34734/47667)</f>
        <v>0.16683451645207048</v>
      </c>
      <c r="O814">
        <f>LOG10(H814/C814)-LOG10(33378/47667)</f>
        <v>0.50031955662857197</v>
      </c>
      <c r="Q814">
        <f>AVERAGE(K814:O814)</f>
        <v>0.2569746801930643</v>
      </c>
      <c r="R814">
        <f>STDEV(K814:O814)</f>
        <v>0.2401868093645643</v>
      </c>
    </row>
    <row r="815" spans="1:18">
      <c r="A815">
        <v>813</v>
      </c>
      <c r="C815">
        <v>1750</v>
      </c>
      <c r="D815">
        <v>4558</v>
      </c>
      <c r="E815">
        <v>2842</v>
      </c>
      <c r="F815">
        <v>3523</v>
      </c>
      <c r="G815">
        <v>3449</v>
      </c>
      <c r="H815">
        <v>2621</v>
      </c>
      <c r="J815" s="1"/>
      <c r="K815">
        <f t="shared" si="12"/>
        <v>0.35812373662770253</v>
      </c>
      <c r="L815">
        <f>LOG10(E815/C815)-LOG10(37995/47667)</f>
        <v>0.30907739581805682</v>
      </c>
      <c r="M815">
        <f>LOG10(F815/C815)-LOG10(35167/47667)</f>
        <v>0.4359570928241645</v>
      </c>
      <c r="N815">
        <f>LOG10(G815/C815)-LOG10(34734/47667)</f>
        <v>0.43211816548977855</v>
      </c>
      <c r="O815">
        <f>LOG10(H815/C815)-LOG10(33378/47667)</f>
        <v>0.33018648169496384</v>
      </c>
      <c r="Q815">
        <f>AVERAGE(K815:O815)</f>
        <v>0.37309257449093325</v>
      </c>
      <c r="R815">
        <f>STDEV(K815:O815)</f>
        <v>5.8307182371780966E-2</v>
      </c>
    </row>
    <row r="816" spans="1:18">
      <c r="A816">
        <v>814</v>
      </c>
      <c r="C816">
        <v>2063</v>
      </c>
      <c r="D816">
        <v>3899</v>
      </c>
      <c r="E816">
        <v>2124</v>
      </c>
      <c r="F816">
        <v>2096</v>
      </c>
      <c r="G816">
        <v>3441</v>
      </c>
      <c r="H816">
        <v>3085</v>
      </c>
      <c r="J816" s="1"/>
      <c r="K816">
        <f t="shared" si="12"/>
        <v>0.2188414716844744</v>
      </c>
      <c r="L816">
        <f>LOG10(E816/C816)-LOG10(37995/47667)</f>
        <v>0.11114665534918014</v>
      </c>
      <c r="M816">
        <f>LOG10(F816/C816)-LOG10(35167/47667)</f>
        <v>0.13897454866775394</v>
      </c>
      <c r="N816">
        <f>LOG10(G816/C816)-LOG10(34734/47667)</f>
        <v>0.35964846445646081</v>
      </c>
      <c r="O816">
        <f>LOG10(H816/C816)-LOG10(33378/47667)</f>
        <v>0.32951344983076669</v>
      </c>
      <c r="Q816">
        <f>AVERAGE(K816:O816)</f>
        <v>0.23162491799772722</v>
      </c>
      <c r="R816">
        <f>STDEV(K816:O816)</f>
        <v>0.11094448197154283</v>
      </c>
    </row>
    <row r="817" spans="1:18">
      <c r="A817">
        <v>815</v>
      </c>
      <c r="C817">
        <v>3309</v>
      </c>
      <c r="D817">
        <v>7817</v>
      </c>
      <c r="E817">
        <v>2227</v>
      </c>
      <c r="F817">
        <v>2204</v>
      </c>
      <c r="G817">
        <v>1887</v>
      </c>
      <c r="H817">
        <v>6055</v>
      </c>
      <c r="J817" s="1"/>
      <c r="K817">
        <f t="shared" si="12"/>
        <v>0.31573080926690511</v>
      </c>
      <c r="L817">
        <f>LOG10(E817/C817)-LOG10(37995/47667)</f>
        <v>-7.3485179212914586E-2</v>
      </c>
      <c r="M817">
        <f>LOG10(F817/C817)-LOG10(35167/47667)</f>
        <v>-4.4402678650889121E-2</v>
      </c>
      <c r="N817">
        <f>LOG10(G817/C817)-LOG10(34734/47667)</f>
        <v>-0.10646184718623941</v>
      </c>
      <c r="O817">
        <f>LOG10(H817/C817)-LOG10(33378/47667)</f>
        <v>0.41717488975387573</v>
      </c>
      <c r="Q817">
        <f>AVERAGE(K817:O817)</f>
        <v>0.10171119879414754</v>
      </c>
      <c r="R817">
        <f>STDEV(K817:O817)</f>
        <v>0.24530633252242731</v>
      </c>
    </row>
    <row r="818" spans="1:18">
      <c r="A818">
        <v>816</v>
      </c>
      <c r="C818">
        <v>944</v>
      </c>
      <c r="D818">
        <v>190</v>
      </c>
      <c r="E818">
        <v>139</v>
      </c>
      <c r="F818">
        <v>176</v>
      </c>
      <c r="G818">
        <v>146</v>
      </c>
      <c r="H818">
        <v>115</v>
      </c>
      <c r="J818" s="1"/>
      <c r="K818">
        <f t="shared" si="12"/>
        <v>-0.75383092887559977</v>
      </c>
      <c r="L818">
        <f>LOG10(E818/C818)-LOG10(37995/47667)</f>
        <v>-0.73346582313107367</v>
      </c>
      <c r="M818">
        <f>LOG10(F818/C818)-LOG10(35167/47667)</f>
        <v>-0.59737682815470261</v>
      </c>
      <c r="N818">
        <f>LOG10(G818/C818)-LOG10(34734/47667)</f>
        <v>-0.67315611870494962</v>
      </c>
      <c r="O818">
        <f>LOG10(H818/C818)-LOG10(33378/47667)</f>
        <v>-0.7595166445097995</v>
      </c>
      <c r="Q818">
        <f>AVERAGE(K818:O818)</f>
        <v>-0.70346926867522508</v>
      </c>
      <c r="R818">
        <f>STDEV(K818:O818)</f>
        <v>6.846877286767987E-2</v>
      </c>
    </row>
    <row r="819" spans="1:18">
      <c r="A819">
        <v>817</v>
      </c>
      <c r="C819">
        <v>1144</v>
      </c>
      <c r="D819">
        <v>2778</v>
      </c>
      <c r="E819">
        <v>1294</v>
      </c>
      <c r="F819">
        <v>1091</v>
      </c>
      <c r="G819">
        <v>1171</v>
      </c>
      <c r="H819">
        <v>1458</v>
      </c>
      <c r="J819" s="1"/>
      <c r="K819">
        <f t="shared" si="12"/>
        <v>0.32769368141423161</v>
      </c>
      <c r="L819">
        <f>LOG10(E819/C819)-LOG10(37995/47667)</f>
        <v>0.1519996227885764</v>
      </c>
      <c r="M819">
        <f>LOG10(F819/C819)-LOG10(35167/47667)</f>
        <v>0.11148122446055292</v>
      </c>
      <c r="N819">
        <f>LOG10(G819/C819)-LOG10(34734/47667)</f>
        <v>0.14759389042403998</v>
      </c>
      <c r="O819">
        <f>LOG10(H819/C819)-LOG10(33378/47667)</f>
        <v>0.26008900895960818</v>
      </c>
      <c r="Q819">
        <f>AVERAGE(K819:O819)</f>
        <v>0.19977148560940181</v>
      </c>
      <c r="R819">
        <f>STDEV(K819:O819)</f>
        <v>9.0556769947176124E-2</v>
      </c>
    </row>
    <row r="820" spans="1:18">
      <c r="A820">
        <v>818</v>
      </c>
      <c r="C820">
        <v>1406</v>
      </c>
      <c r="D820">
        <v>1776</v>
      </c>
      <c r="E820">
        <v>2129</v>
      </c>
      <c r="F820">
        <v>2352</v>
      </c>
      <c r="G820">
        <v>7020</v>
      </c>
      <c r="H820">
        <v>2545</v>
      </c>
      <c r="J820" s="1"/>
      <c r="K820">
        <f t="shared" si="12"/>
        <v>4.3845105228417287E-2</v>
      </c>
      <c r="L820">
        <f>LOG10(E820/C820)-LOG10(37995/47667)</f>
        <v>0.27868171166741762</v>
      </c>
      <c r="M820">
        <f>LOG10(F820/C820)-LOG10(35167/47667)</f>
        <v>0.35553449504951218</v>
      </c>
      <c r="N820">
        <f>LOG10(G820/C820)-LOG10(34734/47667)</f>
        <v>0.83581481125468238</v>
      </c>
      <c r="O820">
        <f>LOG10(H820/C820)-LOG10(33378/47667)</f>
        <v>0.41245997542363022</v>
      </c>
      <c r="Q820">
        <f>AVERAGE(K820:O820)</f>
        <v>0.38526721972473194</v>
      </c>
      <c r="R820">
        <f>STDEV(K820:O820)</f>
        <v>0.28833407009384177</v>
      </c>
    </row>
    <row r="821" spans="1:18">
      <c r="A821">
        <v>819</v>
      </c>
      <c r="C821">
        <v>1746</v>
      </c>
      <c r="D821">
        <v>1994</v>
      </c>
      <c r="E821">
        <v>1032</v>
      </c>
      <c r="F821">
        <v>1071</v>
      </c>
      <c r="G821">
        <v>1151</v>
      </c>
      <c r="H821">
        <v>1193</v>
      </c>
      <c r="J821" s="1"/>
      <c r="K821">
        <f t="shared" si="12"/>
        <v>6.837907572621732E-5</v>
      </c>
      <c r="L821">
        <f>LOG10(E821/C821)-LOG10(37995/47667)</f>
        <v>-0.12987317116545813</v>
      </c>
      <c r="M821">
        <f>LOG10(F821/C821)-LOG10(35167/47667)</f>
        <v>-8.0172270208478807E-2</v>
      </c>
      <c r="N821">
        <f>LOG10(G821/C821)-LOG10(34734/47667)</f>
        <v>-4.3505895931076843E-2</v>
      </c>
      <c r="O821">
        <f>LOG10(H821/C821)-LOG10(33378/47667)</f>
        <v>-1.0646286264551247E-2</v>
      </c>
      <c r="Q821">
        <f>AVERAGE(K821:O821)</f>
        <v>-5.2825848898767756E-2</v>
      </c>
      <c r="R821">
        <f>STDEV(K821:O821)</f>
        <v>5.3263244848739198E-2</v>
      </c>
    </row>
    <row r="822" spans="1:18">
      <c r="A822">
        <v>820</v>
      </c>
      <c r="C822">
        <v>2593</v>
      </c>
      <c r="D822">
        <v>3645</v>
      </c>
      <c r="E822">
        <v>4428</v>
      </c>
      <c r="F822">
        <v>7567</v>
      </c>
      <c r="G822">
        <v>10339</v>
      </c>
      <c r="H822">
        <v>2437</v>
      </c>
      <c r="J822" s="1"/>
      <c r="K822">
        <f t="shared" si="12"/>
        <v>9.0282480354282185E-2</v>
      </c>
      <c r="L822">
        <f>LOG10(E822/C822)-LOG10(37995/47667)</f>
        <v>0.33089646635023395</v>
      </c>
      <c r="M822">
        <f>LOG10(F822/C822)-LOG10(35167/47667)</f>
        <v>0.59720371552743212</v>
      </c>
      <c r="N822">
        <f>LOG10(G822/C822)-LOG10(34734/47667)</f>
        <v>0.73813903836553707</v>
      </c>
      <c r="O822">
        <f>LOG10(H822/C822)-LOG10(33378/47667)</f>
        <v>0.12781052185003064</v>
      </c>
      <c r="Q822">
        <f>AVERAGE(K822:O822)</f>
        <v>0.37686644448950324</v>
      </c>
      <c r="R822">
        <f>STDEV(K822:O822)</f>
        <v>0.2851924175384668</v>
      </c>
    </row>
    <row r="823" spans="1:18">
      <c r="A823">
        <v>821</v>
      </c>
      <c r="C823">
        <v>1772</v>
      </c>
      <c r="D823">
        <v>5154</v>
      </c>
      <c r="E823">
        <v>1029</v>
      </c>
      <c r="F823">
        <v>959</v>
      </c>
      <c r="G823">
        <v>865</v>
      </c>
      <c r="H823">
        <v>961</v>
      </c>
      <c r="J823" s="1"/>
      <c r="K823">
        <f t="shared" si="12"/>
        <v>0.4060681611334942</v>
      </c>
      <c r="L823">
        <f>LOG10(E823/C823)-LOG10(37995/47667)</f>
        <v>-0.13755697187569879</v>
      </c>
      <c r="M823">
        <f>LOG10(F823/C823)-LOG10(35167/47667)</f>
        <v>-0.13456261205115191</v>
      </c>
      <c r="N823">
        <f>LOG10(G823/C823)-LOG10(34734/47667)</f>
        <v>-0.17398459027753546</v>
      </c>
      <c r="O823">
        <f>LOG10(H823/C823)-LOG10(33378/47667)</f>
        <v>-0.11098282044782878</v>
      </c>
      <c r="Q823">
        <f>AVERAGE(K823:O823)</f>
        <v>-3.0203766703744157E-2</v>
      </c>
      <c r="R823">
        <f>STDEV(K823:O823)</f>
        <v>0.24492185234942998</v>
      </c>
    </row>
    <row r="824" spans="1:18">
      <c r="A824">
        <v>822</v>
      </c>
      <c r="C824">
        <v>2029</v>
      </c>
      <c r="D824">
        <v>3854</v>
      </c>
      <c r="E824">
        <v>2776</v>
      </c>
      <c r="F824">
        <v>2099</v>
      </c>
      <c r="G824">
        <v>2439</v>
      </c>
      <c r="H824">
        <v>2408</v>
      </c>
      <c r="J824" s="1"/>
      <c r="K824">
        <f t="shared" si="12"/>
        <v>0.22101712775572838</v>
      </c>
      <c r="L824">
        <f>LOG10(E824/C824)-LOG10(37995/47667)</f>
        <v>0.23462878566237158</v>
      </c>
      <c r="M824">
        <f>LOG10(F824/C824)-LOG10(35167/47667)</f>
        <v>0.1468128898782709</v>
      </c>
      <c r="N824">
        <f>LOG10(G824/C824)-LOG10(34734/47667)</f>
        <v>0.21739277308906685</v>
      </c>
      <c r="O824">
        <f>LOG10(H824/C824)-LOG10(33378/47667)</f>
        <v>0.22913194498709877</v>
      </c>
      <c r="Q824">
        <f>AVERAGE(K824:O824)</f>
        <v>0.20979670427450731</v>
      </c>
      <c r="R824">
        <f>STDEV(K824:O824)</f>
        <v>3.5850532910615192E-2</v>
      </c>
    </row>
    <row r="825" spans="1:18">
      <c r="A825">
        <v>823</v>
      </c>
      <c r="C825">
        <v>1897</v>
      </c>
      <c r="D825">
        <v>507</v>
      </c>
      <c r="E825">
        <v>637</v>
      </c>
      <c r="F825">
        <v>340</v>
      </c>
      <c r="G825">
        <v>434</v>
      </c>
      <c r="H825">
        <v>522</v>
      </c>
      <c r="J825" s="1"/>
      <c r="K825">
        <f t="shared" si="12"/>
        <v>-0.63067190708568632</v>
      </c>
      <c r="L825">
        <f>LOG10(E825/C825)-LOG10(37995/47667)</f>
        <v>-0.37543652764041191</v>
      </c>
      <c r="M825">
        <f>LOG10(F825/C825)-LOG10(35167/47667)</f>
        <v>-0.61450591551719103</v>
      </c>
      <c r="N825">
        <f>LOG10(G825/C825)-LOG10(34734/47667)</f>
        <v>-0.50311458156746958</v>
      </c>
      <c r="O825">
        <f>LOG10(H825/C825)-LOG10(33378/47667)</f>
        <v>-0.4056393184517425</v>
      </c>
      <c r="Q825">
        <f>AVERAGE(K825:O825)</f>
        <v>-0.50587365005250029</v>
      </c>
      <c r="R825">
        <f>STDEV(K825:O825)</f>
        <v>0.11666613760214826</v>
      </c>
    </row>
    <row r="826" spans="1:18">
      <c r="A826">
        <v>824</v>
      </c>
      <c r="C826">
        <v>1472</v>
      </c>
      <c r="D826">
        <v>1034</v>
      </c>
      <c r="E826">
        <v>1121</v>
      </c>
      <c r="F826">
        <v>2552</v>
      </c>
      <c r="G826">
        <v>1495</v>
      </c>
      <c r="H826">
        <v>1104</v>
      </c>
      <c r="J826" s="1"/>
      <c r="K826">
        <f t="shared" si="12"/>
        <v>-0.21099980677391608</v>
      </c>
      <c r="L826">
        <f>LOG10(E826/C826)-LOG10(37995/47667)</f>
        <v>-1.9810826493606645E-2</v>
      </c>
      <c r="M826">
        <f>LOG10(F826/C826)-LOG10(35167/47667)</f>
        <v>0.3710553583768611</v>
      </c>
      <c r="N826">
        <f>LOG10(G826/C826)-LOG10(34734/47667)</f>
        <v>0.14419640246765067</v>
      </c>
      <c r="O826">
        <f>LOG10(H826/C826)-LOG10(33378/47667)</f>
        <v>2.9818772826357851E-2</v>
      </c>
      <c r="Q826">
        <f>AVERAGE(K826:O826)</f>
        <v>6.2851980080669376E-2</v>
      </c>
      <c r="R826">
        <f>STDEV(K826:O826)</f>
        <v>0.2147820819937902</v>
      </c>
    </row>
    <row r="827" spans="1:18">
      <c r="A827">
        <v>825</v>
      </c>
      <c r="C827">
        <v>2333</v>
      </c>
      <c r="D827">
        <v>2396</v>
      </c>
      <c r="E827">
        <v>2186</v>
      </c>
      <c r="F827">
        <v>2102</v>
      </c>
      <c r="G827">
        <v>3373</v>
      </c>
      <c r="H827">
        <v>2254</v>
      </c>
      <c r="J827" s="1"/>
      <c r="K827">
        <f t="shared" si="12"/>
        <v>-4.6040460606838647E-2</v>
      </c>
      <c r="L827">
        <f>LOG10(E827/C827)-LOG10(37995/47667)</f>
        <v>7.0226789732831585E-2</v>
      </c>
      <c r="M827">
        <f>LOG10(F827/C827)-LOG10(35167/47667)</f>
        <v>8.6800471227687248E-2</v>
      </c>
      <c r="N827">
        <f>LOG10(G827/C827)-LOG10(34734/47667)</f>
        <v>0.29756462220413116</v>
      </c>
      <c r="O827">
        <f>LOG10(H827/C827)-LOG10(33378/47667)</f>
        <v>0.13979668235099291</v>
      </c>
      <c r="Q827">
        <f>AVERAGE(K827:O827)</f>
        <v>0.10966962098176085</v>
      </c>
      <c r="R827">
        <f>STDEV(K827:O827)</f>
        <v>0.12503653042894514</v>
      </c>
    </row>
    <row r="828" spans="1:18">
      <c r="A828">
        <v>826</v>
      </c>
      <c r="C828">
        <v>1724</v>
      </c>
      <c r="D828">
        <v>1192</v>
      </c>
      <c r="E828">
        <v>8046</v>
      </c>
      <c r="F828">
        <v>1424</v>
      </c>
      <c r="G828">
        <v>1465</v>
      </c>
      <c r="H828">
        <v>1989</v>
      </c>
      <c r="J828" s="1"/>
      <c r="K828">
        <f t="shared" si="12"/>
        <v>-0.21787354161483613</v>
      </c>
      <c r="L828">
        <f>LOG10(E828/C828)-LOG10(37995/47667)</f>
        <v>0.76753413765944878</v>
      </c>
      <c r="M828">
        <f>LOG10(F828/C828)-LOG10(35167/47667)</f>
        <v>4.9055226141360042E-2</v>
      </c>
      <c r="N828">
        <f>LOG10(G828/C828)-LOG10(34734/47667)</f>
        <v>6.6763383010116542E-2</v>
      </c>
      <c r="O828">
        <f>LOG10(H828/C828)-LOG10(33378/47667)</f>
        <v>0.21685503107039941</v>
      </c>
      <c r="Q828">
        <f>AVERAGE(K828:O828)</f>
        <v>0.1764668472532977</v>
      </c>
      <c r="R828">
        <f>STDEV(K828:O828)</f>
        <v>0.3656380248053091</v>
      </c>
    </row>
    <row r="829" spans="1:18">
      <c r="A829">
        <v>827</v>
      </c>
      <c r="C829">
        <v>3002</v>
      </c>
      <c r="D829">
        <v>3482</v>
      </c>
      <c r="E829">
        <v>2104</v>
      </c>
      <c r="F829">
        <v>2808</v>
      </c>
      <c r="G829">
        <v>11265</v>
      </c>
      <c r="H829">
        <v>1698</v>
      </c>
      <c r="J829" s="1"/>
      <c r="K829">
        <f t="shared" si="12"/>
        <v>6.8055433437010301E-3</v>
      </c>
      <c r="L829">
        <f>LOG10(E829/C829)-LOG10(37995/47667)</f>
        <v>-5.58735815126499E-2</v>
      </c>
      <c r="M829">
        <f>LOG10(F829/C829)-LOG10(35167/47667)</f>
        <v>0.10306891387973255</v>
      </c>
      <c r="N829">
        <f>LOG10(G829/C829)-LOG10(34734/47667)</f>
        <v>0.7117835279612803</v>
      </c>
      <c r="O829">
        <f>LOG10(H829/C829)-LOG10(33378/47667)</f>
        <v>-9.2715492564659885E-2</v>
      </c>
      <c r="Q829">
        <f>AVERAGE(K829:O829)</f>
        <v>0.13461378222148085</v>
      </c>
      <c r="R829">
        <f>STDEV(K829:O829)</f>
        <v>0.3310660715621031</v>
      </c>
    </row>
    <row r="830" spans="1:18">
      <c r="A830">
        <v>828</v>
      </c>
      <c r="C830">
        <v>3310</v>
      </c>
      <c r="D830">
        <v>507</v>
      </c>
      <c r="E830">
        <v>633</v>
      </c>
      <c r="F830">
        <v>712</v>
      </c>
      <c r="G830">
        <v>744</v>
      </c>
      <c r="H830">
        <v>872</v>
      </c>
      <c r="J830" s="1"/>
      <c r="K830">
        <f t="shared" si="12"/>
        <v>-0.87243256997274243</v>
      </c>
      <c r="L830">
        <f>LOG10(E830/C830)-LOG10(37995/47667)</f>
        <v>-0.61993291284546337</v>
      </c>
      <c r="M830">
        <f>LOG10(F830/C830)-LOG10(35167/47667)</f>
        <v>-0.53526550180964594</v>
      </c>
      <c r="N830">
        <f>LOG10(G830/C830)-LOG10(34734/47667)</f>
        <v>-0.51079203842115772</v>
      </c>
      <c r="O830">
        <f>LOG10(H830/C830)-LOG10(33378/47667)</f>
        <v>-0.4245539994084937</v>
      </c>
      <c r="Q830">
        <f>AVERAGE(K830:O830)</f>
        <v>-0.59259540449150061</v>
      </c>
      <c r="R830">
        <f>STDEV(K830:O830)</f>
        <v>0.17122543678714905</v>
      </c>
    </row>
    <row r="831" spans="1:18">
      <c r="A831">
        <v>829</v>
      </c>
      <c r="C831">
        <v>1693</v>
      </c>
      <c r="D831">
        <v>4167</v>
      </c>
      <c r="E831">
        <v>2845</v>
      </c>
      <c r="F831">
        <v>2417</v>
      </c>
      <c r="G831">
        <v>2349</v>
      </c>
      <c r="H831">
        <v>2175</v>
      </c>
      <c r="J831" s="1"/>
      <c r="K831">
        <f t="shared" si="12"/>
        <v>0.33355400681798297</v>
      </c>
      <c r="L831">
        <f>LOG10(E831/C831)-LOG10(37995/47667)</f>
        <v>0.32391668353505498</v>
      </c>
      <c r="M831">
        <f>LOG10(F831/C831)-LOG10(35167/47667)</f>
        <v>0.28670219062793156</v>
      </c>
      <c r="N831">
        <f>LOG10(G831/C831)-LOG10(34734/47667)</f>
        <v>0.2796890784773528</v>
      </c>
      <c r="O831">
        <f>LOG10(H831/C831)-LOG10(33378/47667)</f>
        <v>0.26355981261637873</v>
      </c>
      <c r="Q831">
        <f>AVERAGE(K831:O831)</f>
        <v>0.29748435441494026</v>
      </c>
      <c r="R831">
        <f>STDEV(K831:O831)</f>
        <v>2.9931126294618027E-2</v>
      </c>
    </row>
    <row r="832" spans="1:18">
      <c r="A832">
        <v>830</v>
      </c>
      <c r="C832">
        <v>2781</v>
      </c>
      <c r="D832">
        <v>3216</v>
      </c>
      <c r="E832">
        <v>1375</v>
      </c>
      <c r="F832">
        <v>1362</v>
      </c>
      <c r="G832">
        <v>1001</v>
      </c>
      <c r="H832">
        <v>1291</v>
      </c>
      <c r="J832" s="1"/>
      <c r="K832">
        <f t="shared" si="12"/>
        <v>5.5025156818943669E-3</v>
      </c>
      <c r="L832">
        <f>LOG10(E832/C832)-LOG10(37995/47667)</f>
        <v>-0.2074069197849778</v>
      </c>
      <c r="M832">
        <f>LOG10(F832/C832)-LOG10(35167/47667)</f>
        <v>-0.17794138295817671</v>
      </c>
      <c r="N832">
        <f>LOG10(G832/C832)-LOG10(34734/47667)</f>
        <v>-0.30630389157615856</v>
      </c>
      <c r="O832">
        <f>LOG10(H832/C832)-LOG10(33378/47667)</f>
        <v>-0.17851723716308146</v>
      </c>
      <c r="Q832">
        <f>AVERAGE(K832:O832)</f>
        <v>-0.17293338316010004</v>
      </c>
      <c r="R832">
        <f>STDEV(K832:O832)</f>
        <v>0.11277382977184838</v>
      </c>
    </row>
    <row r="833" spans="1:18">
      <c r="A833">
        <v>831</v>
      </c>
      <c r="C833">
        <v>3279</v>
      </c>
      <c r="D833">
        <v>8454</v>
      </c>
      <c r="E833">
        <v>52373</v>
      </c>
      <c r="F833">
        <v>5721</v>
      </c>
      <c r="G833">
        <v>6528</v>
      </c>
      <c r="H833">
        <v>5689</v>
      </c>
      <c r="J833" s="1"/>
      <c r="K833">
        <f t="shared" si="12"/>
        <v>0.35370829129327508</v>
      </c>
      <c r="L833">
        <f>LOG10(E833/C833)-LOG10(37995/47667)</f>
        <v>1.3018574058637433</v>
      </c>
      <c r="M833">
        <f>LOG10(F833/C833)-LOG10(35167/47667)</f>
        <v>0.37381302942551931</v>
      </c>
      <c r="N833">
        <f>LOG10(G833/C833)-LOG10(34734/47667)</f>
        <v>0.43650174888512183</v>
      </c>
      <c r="O833">
        <f>LOG10(H833/C833)-LOG10(33378/47667)</f>
        <v>0.39405202653306409</v>
      </c>
      <c r="Q833">
        <f>AVERAGE(K833:O833)</f>
        <v>0.57198650040014465</v>
      </c>
      <c r="R833">
        <f>STDEV(K833:O833)</f>
        <v>0.40915963715117631</v>
      </c>
    </row>
    <row r="834" spans="1:18">
      <c r="A834">
        <v>832</v>
      </c>
      <c r="C834">
        <v>1174</v>
      </c>
      <c r="D834">
        <v>8941</v>
      </c>
      <c r="E834">
        <v>4425</v>
      </c>
      <c r="F834">
        <v>3091</v>
      </c>
      <c r="G834">
        <v>2176</v>
      </c>
      <c r="H834">
        <v>2625</v>
      </c>
      <c r="J834" s="1"/>
      <c r="K834">
        <f t="shared" si="12"/>
        <v>0.82410546243833738</v>
      </c>
      <c r="L834">
        <f>LOG10(E834/C834)-LOG10(37995/47667)</f>
        <v>0.67473654903514879</v>
      </c>
      <c r="M834">
        <f>LOG10(F834/C834)-LOG10(35167/47667)</f>
        <v>0.55251340648092573</v>
      </c>
      <c r="N834">
        <f>LOG10(G834/C834)-LOG10(34734/47667)</f>
        <v>0.40545381392322888</v>
      </c>
      <c r="O834">
        <f>LOG10(H834/C834)-LOG10(33378/47667)</f>
        <v>0.50421872026503778</v>
      </c>
      <c r="Q834">
        <f>AVERAGE(K834:O834)</f>
        <v>0.59220559042853571</v>
      </c>
      <c r="R834">
        <f>STDEV(K834:O834)</f>
        <v>0.1618504669303398</v>
      </c>
    </row>
    <row r="835" spans="1:18">
      <c r="A835">
        <v>833</v>
      </c>
      <c r="C835">
        <v>2031</v>
      </c>
      <c r="D835">
        <v>14477</v>
      </c>
      <c r="E835">
        <v>7183</v>
      </c>
      <c r="F835">
        <v>5483</v>
      </c>
      <c r="G835">
        <v>3923</v>
      </c>
      <c r="H835">
        <v>5800</v>
      </c>
      <c r="J835" s="1"/>
      <c r="K835">
        <f t="shared" ref="K835:K898" si="13">LOG10(D835/C835)-LOG10(54429/47667)</f>
        <v>0.79535611546521834</v>
      </c>
      <c r="L835">
        <f>LOG10(E835/C835)-LOG10(37995/47667)</f>
        <v>0.64708731394139252</v>
      </c>
      <c r="M835">
        <f>LOG10(F835/C835)-LOG10(35167/47667)</f>
        <v>0.5633908208078906</v>
      </c>
      <c r="N835">
        <f>LOG10(G835/C835)-LOG10(34734/47667)</f>
        <v>0.42337140453341149</v>
      </c>
      <c r="O835">
        <f>LOG10(H835/C835)-LOG10(33378/47667)</f>
        <v>0.61047557959278831</v>
      </c>
      <c r="Q835">
        <f>AVERAGE(K835:O835)</f>
        <v>0.6079362468681403</v>
      </c>
      <c r="R835">
        <f>STDEV(K835:O835)</f>
        <v>0.13482760976292926</v>
      </c>
    </row>
    <row r="836" spans="1:18">
      <c r="A836">
        <v>834</v>
      </c>
      <c r="C836">
        <v>2281</v>
      </c>
      <c r="D836">
        <v>2800</v>
      </c>
      <c r="E836">
        <v>11050</v>
      </c>
      <c r="F836">
        <v>7632</v>
      </c>
      <c r="G836">
        <v>5859</v>
      </c>
      <c r="H836">
        <v>6578</v>
      </c>
      <c r="J836" s="1"/>
      <c r="K836">
        <f t="shared" si="13"/>
        <v>3.1420210535210942E-2</v>
      </c>
      <c r="L836">
        <f>LOG10(E836/C836)-LOG10(37995/47667)</f>
        <v>0.78372836365738119</v>
      </c>
      <c r="M836">
        <f>LOG10(F836/C836)-LOG10(35167/47667)</f>
        <v>0.65659557474860664</v>
      </c>
      <c r="N836">
        <f>LOG10(G836/C836)-LOG10(34734/47667)</f>
        <v>0.54716123253955051</v>
      </c>
      <c r="O836">
        <f>LOG10(H836/C836)-LOG10(33378/47667)</f>
        <v>0.61472609330464512</v>
      </c>
      <c r="Q836">
        <f>AVERAGE(K836:O836)</f>
        <v>0.5267262949570789</v>
      </c>
      <c r="R836">
        <f>STDEV(K836:O836)</f>
        <v>0.29000248343692653</v>
      </c>
    </row>
    <row r="837" spans="1:18">
      <c r="A837">
        <v>835</v>
      </c>
      <c r="C837">
        <v>710</v>
      </c>
      <c r="D837">
        <v>118</v>
      </c>
      <c r="E837">
        <v>79</v>
      </c>
      <c r="F837">
        <v>158</v>
      </c>
      <c r="G837">
        <v>65</v>
      </c>
      <c r="H837">
        <v>122</v>
      </c>
      <c r="J837" s="1"/>
      <c r="K837">
        <f t="shared" si="13"/>
        <v>-0.83698887694330959</v>
      </c>
      <c r="L837">
        <f>LOG10(E837/C837)-LOG10(37995/47667)</f>
        <v>-0.85513988651573358</v>
      </c>
      <c r="M837">
        <f>LOG10(F837/C837)-LOG10(35167/47667)</f>
        <v>-0.52051876343543613</v>
      </c>
      <c r="N837">
        <f>LOG10(G837/C837)-LOG10(34734/47667)</f>
        <v>-0.90088197226753752</v>
      </c>
      <c r="O837">
        <f>LOG10(H837/C837)-LOG10(33378/47667)</f>
        <v>-0.61014100860966924</v>
      </c>
      <c r="Q837">
        <f>AVERAGE(K837:O837)</f>
        <v>-0.74473410155433728</v>
      </c>
      <c r="R837">
        <f>STDEV(K837:O837)</f>
        <v>0.1684268067881883</v>
      </c>
    </row>
    <row r="838" spans="1:18">
      <c r="A838">
        <v>836</v>
      </c>
      <c r="C838">
        <v>1238</v>
      </c>
      <c r="D838">
        <v>100</v>
      </c>
      <c r="E838">
        <v>104</v>
      </c>
      <c r="F838">
        <v>80</v>
      </c>
      <c r="G838">
        <v>57</v>
      </c>
      <c r="H838">
        <v>65</v>
      </c>
      <c r="J838" s="1"/>
      <c r="K838">
        <f t="shared" si="13"/>
        <v>-1.150333180214459</v>
      </c>
      <c r="L838">
        <f>LOG10(E838/C838)-LOG10(37995/47667)</f>
        <v>-0.97719593447241859</v>
      </c>
      <c r="M838">
        <f>LOG10(F838/C838)-LOG10(35167/47667)</f>
        <v>-1.0575481593629392</v>
      </c>
      <c r="N838">
        <f>LOG10(G838/C838)-LOG10(34734/47667)</f>
        <v>-1.1993827692029253</v>
      </c>
      <c r="O838">
        <f>LOG10(H838/C838)-LOG10(33378/47667)</f>
        <v>-1.1250497786065858</v>
      </c>
      <c r="Q838">
        <f>AVERAGE(K838:O838)</f>
        <v>-1.1019019643718657</v>
      </c>
      <c r="R838">
        <f>STDEV(K838:O838)</f>
        <v>8.6462080119552656E-2</v>
      </c>
    </row>
    <row r="839" spans="1:18">
      <c r="A839">
        <v>837</v>
      </c>
      <c r="C839">
        <v>3925</v>
      </c>
      <c r="D839">
        <v>4591</v>
      </c>
      <c r="E839">
        <v>5350</v>
      </c>
      <c r="F839">
        <v>4083</v>
      </c>
      <c r="G839">
        <v>10573</v>
      </c>
      <c r="H839">
        <v>4895</v>
      </c>
      <c r="J839" s="1"/>
      <c r="K839">
        <f t="shared" si="13"/>
        <v>1.0455096154389727E-2</v>
      </c>
      <c r="L839">
        <f>LOG10(E839/C839)-LOG10(37995/47667)</f>
        <v>0.23300549185285732</v>
      </c>
      <c r="M839">
        <f>LOG10(F839/C839)-LOG10(35167/47667)</f>
        <v>0.14922221717094222</v>
      </c>
      <c r="N839">
        <f>LOG10(G839/C839)-LOG10(34734/47667)</f>
        <v>0.56782159093427942</v>
      </c>
      <c r="O839">
        <f>LOG10(H839/C839)-LOG10(33378/47667)</f>
        <v>0.25067054449254306</v>
      </c>
      <c r="Q839">
        <f>AVERAGE(K839:O839)</f>
        <v>0.24223498812100233</v>
      </c>
      <c r="R839">
        <f>STDEV(K839:O839)</f>
        <v>0.20526584714950444</v>
      </c>
    </row>
    <row r="840" spans="1:18">
      <c r="A840">
        <v>838</v>
      </c>
      <c r="C840">
        <v>980</v>
      </c>
      <c r="D840">
        <v>4184</v>
      </c>
      <c r="E840">
        <v>2615</v>
      </c>
      <c r="F840">
        <v>2734</v>
      </c>
      <c r="G840">
        <v>2290</v>
      </c>
      <c r="H840">
        <v>5976</v>
      </c>
      <c r="J840" s="1"/>
      <c r="K840">
        <f t="shared" si="13"/>
        <v>0.57275306463636322</v>
      </c>
      <c r="L840">
        <f>LOG10(E840/C840)-LOG10(37995/47667)</f>
        <v>0.52473698842369842</v>
      </c>
      <c r="M840">
        <f>LOG10(F840/C840)-LOG10(35167/47667)</f>
        <v>0.5776549328685251</v>
      </c>
      <c r="N840">
        <f>LOG10(G840/C840)-LOG10(34734/47667)</f>
        <v>0.50607242645607542</v>
      </c>
      <c r="O840">
        <f>LOG10(H840/C840)-LOG10(33378/47667)</f>
        <v>0.93994202254950532</v>
      </c>
      <c r="Q840">
        <f>AVERAGE(K840:O840)</f>
        <v>0.62423188698683352</v>
      </c>
      <c r="R840">
        <f>STDEV(K840:O840)</f>
        <v>0.17913211915757821</v>
      </c>
    </row>
    <row r="841" spans="1:18">
      <c r="A841">
        <v>839</v>
      </c>
      <c r="C841">
        <v>1264</v>
      </c>
      <c r="D841">
        <v>992</v>
      </c>
      <c r="E841">
        <v>403</v>
      </c>
      <c r="F841">
        <v>517</v>
      </c>
      <c r="G841">
        <v>492</v>
      </c>
      <c r="H841">
        <v>382</v>
      </c>
      <c r="J841" s="1"/>
      <c r="K841">
        <f t="shared" si="13"/>
        <v>-0.16284793732254732</v>
      </c>
      <c r="L841">
        <f>LOG10(E841/C841)-LOG10(37995/47667)</f>
        <v>-0.39795065689235654</v>
      </c>
      <c r="M841">
        <f>LOG10(F841/C841)-LOG10(35167/47667)</f>
        <v>-0.25617403252320725</v>
      </c>
      <c r="N841">
        <f>LOG10(G841/C841)-LOG10(34734/47667)</f>
        <v>-0.27231895137032358</v>
      </c>
      <c r="O841">
        <f>LOG10(H841/C841)-LOG10(33378/47667)</f>
        <v>-0.36492620159999967</v>
      </c>
      <c r="Q841">
        <f>AVERAGE(K841:O841)</f>
        <v>-0.29084355594168687</v>
      </c>
      <c r="R841">
        <f>STDEV(K841:O841)</f>
        <v>9.3391895628151506E-2</v>
      </c>
    </row>
    <row r="842" spans="1:18">
      <c r="A842">
        <v>840</v>
      </c>
      <c r="C842">
        <v>424</v>
      </c>
      <c r="D842">
        <v>535</v>
      </c>
      <c r="E842">
        <v>394</v>
      </c>
      <c r="F842">
        <v>1146</v>
      </c>
      <c r="G842">
        <v>637</v>
      </c>
      <c r="H842">
        <v>1036</v>
      </c>
      <c r="J842" s="1"/>
      <c r="K842">
        <f t="shared" si="13"/>
        <v>4.3375389898136073E-2</v>
      </c>
      <c r="L842">
        <f>LOG10(E842/C842)-LOG10(37995/47667)</f>
        <v>6.6621736145741725E-2</v>
      </c>
      <c r="M842">
        <f>LOG10(F842/C842)-LOG10(35167/47667)</f>
        <v>0.56390125936785496</v>
      </c>
      <c r="N842">
        <f>LOG10(G842/C842)-LOG10(34734/47667)</f>
        <v>0.31423659555130001</v>
      </c>
      <c r="O842">
        <f>LOG10(H842/C842)-LOG10(33378/47667)</f>
        <v>0.54275140825113932</v>
      </c>
      <c r="Q842">
        <f>AVERAGE(K842:O842)</f>
        <v>0.30617727784283444</v>
      </c>
      <c r="R842">
        <f>STDEV(K842:O842)</f>
        <v>0.24945220599273421</v>
      </c>
    </row>
    <row r="843" spans="1:18">
      <c r="A843">
        <v>841</v>
      </c>
      <c r="C843">
        <v>3638</v>
      </c>
      <c r="D843">
        <v>3890</v>
      </c>
      <c r="E843">
        <v>2367</v>
      </c>
      <c r="F843">
        <v>3598</v>
      </c>
      <c r="G843">
        <v>2624</v>
      </c>
      <c r="H843">
        <v>3056</v>
      </c>
      <c r="J843" s="1"/>
      <c r="K843">
        <f t="shared" si="13"/>
        <v>-2.8525628932116787E-2</v>
      </c>
      <c r="L843">
        <f>LOG10(E843/C843)-LOG10(37995/47667)</f>
        <v>-8.8173065885481766E-2</v>
      </c>
      <c r="M843">
        <f>LOG10(F843/C843)-LOG10(35167/47667)</f>
        <v>0.12728096261128424</v>
      </c>
      <c r="N843">
        <f>LOG10(G843/C843)-LOG10(34734/47667)</f>
        <v>-4.4358442151598287E-3</v>
      </c>
      <c r="O843">
        <f>LOG10(H843/C843)-LOG10(33378/47667)</f>
        <v>7.9048164610845351E-2</v>
      </c>
      <c r="Q843">
        <f>AVERAGE(K843:O843)</f>
        <v>1.7038917637874244E-2</v>
      </c>
      <c r="R843">
        <f>STDEV(K843:O843)</f>
        <v>8.6030968214600823E-2</v>
      </c>
    </row>
    <row r="844" spans="1:18">
      <c r="A844">
        <v>842</v>
      </c>
      <c r="C844">
        <v>2304</v>
      </c>
      <c r="D844">
        <v>6429</v>
      </c>
      <c r="E844">
        <v>2844</v>
      </c>
      <c r="F844">
        <v>4838</v>
      </c>
      <c r="G844">
        <v>3081</v>
      </c>
      <c r="H844">
        <v>3526</v>
      </c>
      <c r="J844" s="1"/>
      <c r="K844">
        <f t="shared" si="13"/>
        <v>0.38804841547995694</v>
      </c>
      <c r="L844">
        <f>LOG10(E844/C844)-LOG10(37995/47667)</f>
        <v>0.18993848821945453</v>
      </c>
      <c r="M844">
        <f>LOG10(F844/C844)-LOG10(35167/47667)</f>
        <v>0.45426588760390285</v>
      </c>
      <c r="N844">
        <f>LOG10(G844/C844)-LOG10(34734/47667)</f>
        <v>0.26367224337444845</v>
      </c>
      <c r="O844">
        <f>LOG10(H844/C844)-LOG10(33378/47667)</f>
        <v>0.33955734264678661</v>
      </c>
      <c r="Q844">
        <f>AVERAGE(K844:O844)</f>
        <v>0.32709647546490983</v>
      </c>
      <c r="R844">
        <f>STDEV(K844:O844)</f>
        <v>0.10353431589066082</v>
      </c>
    </row>
    <row r="845" spans="1:18">
      <c r="A845">
        <v>843</v>
      </c>
      <c r="C845">
        <v>3325</v>
      </c>
      <c r="D845">
        <v>3669</v>
      </c>
      <c r="E845">
        <v>5047</v>
      </c>
      <c r="F845">
        <v>8402</v>
      </c>
      <c r="G845">
        <v>3158</v>
      </c>
      <c r="H845">
        <v>7445</v>
      </c>
      <c r="J845" s="1"/>
      <c r="K845">
        <f t="shared" si="13"/>
        <v>-1.4856473413535298E-2</v>
      </c>
      <c r="L845">
        <f>LOG10(E845/C845)-LOG10(37995/47667)</f>
        <v>0.27973302600746269</v>
      </c>
      <c r="M845">
        <f>LOG10(F845/C845)-LOG10(35167/47667)</f>
        <v>0.53467352589206629</v>
      </c>
      <c r="N845">
        <f>LOG10(G845/C845)-LOG10(34734/47667)</f>
        <v>0.11508349584183433</v>
      </c>
      <c r="O845">
        <f>LOG10(H845/C845)-LOG10(33378/47667)</f>
        <v>0.50483056188372932</v>
      </c>
      <c r="Q845">
        <f>AVERAGE(K845:O845)</f>
        <v>0.28389282724231146</v>
      </c>
      <c r="R845">
        <f>STDEV(K845:O845)</f>
        <v>0.23951486402741681</v>
      </c>
    </row>
    <row r="846" spans="1:18">
      <c r="A846">
        <v>844</v>
      </c>
      <c r="C846">
        <v>2834</v>
      </c>
      <c r="D846">
        <v>965</v>
      </c>
      <c r="E846">
        <v>1993</v>
      </c>
      <c r="F846">
        <v>508</v>
      </c>
      <c r="G846">
        <v>793</v>
      </c>
      <c r="H846">
        <v>850</v>
      </c>
      <c r="J846" s="1"/>
      <c r="K846">
        <f t="shared" si="13"/>
        <v>-0.52548506809800877</v>
      </c>
      <c r="L846">
        <f>LOG10(E846/C846)-LOG10(37995/47667)</f>
        <v>-5.4401176298053744E-2</v>
      </c>
      <c r="M846">
        <f>LOG10(F846/C846)-LOG10(35167/47667)</f>
        <v>-0.61445363529830588</v>
      </c>
      <c r="N846">
        <f>LOG10(G846/C846)-LOG10(34734/47667)</f>
        <v>-0.41566363878515555</v>
      </c>
      <c r="O846">
        <f>LOG10(H846/C846)-LOG10(33378/47667)</f>
        <v>-0.36822341076249099</v>
      </c>
      <c r="Q846">
        <f>AVERAGE(K846:O846)</f>
        <v>-0.39564538584840292</v>
      </c>
      <c r="R846">
        <f>STDEV(K846:O846)</f>
        <v>0.21350392199787846</v>
      </c>
    </row>
    <row r="847" spans="1:18">
      <c r="A847">
        <v>845</v>
      </c>
      <c r="C847">
        <v>818</v>
      </c>
      <c r="D847">
        <v>616</v>
      </c>
      <c r="E847">
        <v>1126</v>
      </c>
      <c r="F847">
        <v>758</v>
      </c>
      <c r="G847">
        <v>819</v>
      </c>
      <c r="H847">
        <v>625</v>
      </c>
      <c r="J847" s="1"/>
      <c r="K847">
        <f t="shared" si="13"/>
        <v>-0.18078512703725727</v>
      </c>
      <c r="L847">
        <f>LOG10(E847/C847)-LOG10(37995/47667)</f>
        <v>0.2372764577569047</v>
      </c>
      <c r="M847">
        <f>LOG10(F847/C847)-LOG10(35167/47667)</f>
        <v>9.8998400289946997E-2</v>
      </c>
      <c r="N847">
        <f>LOG10(G847/C847)-LOG10(34734/47667)</f>
        <v>0.13799361789777773</v>
      </c>
      <c r="O847">
        <f>LOG10(H847/C847)-LOG10(33378/47667)</f>
        <v>3.788422310741002E-2</v>
      </c>
      <c r="Q847">
        <f>AVERAGE(K847:O847)</f>
        <v>6.6273514402956438E-2</v>
      </c>
      <c r="R847">
        <f>STDEV(K847:O847)</f>
        <v>0.15596523828075085</v>
      </c>
    </row>
    <row r="848" spans="1:18">
      <c r="A848">
        <v>846</v>
      </c>
      <c r="C848">
        <v>1043</v>
      </c>
      <c r="D848">
        <v>1268</v>
      </c>
      <c r="E848">
        <v>1204</v>
      </c>
      <c r="F848">
        <v>665</v>
      </c>
      <c r="G848">
        <v>1882</v>
      </c>
      <c r="H848">
        <v>944</v>
      </c>
      <c r="J848" s="1"/>
      <c r="K848">
        <f t="shared" si="13"/>
        <v>2.7222409588823236E-2</v>
      </c>
      <c r="L848">
        <f>LOG10(E848/C848)-LOG10(37995/47667)</f>
        <v>0.16083354940817518</v>
      </c>
      <c r="M848">
        <f>LOG10(F848/C848)-LOG10(35167/47667)</f>
        <v>-6.3380164794209853E-2</v>
      </c>
      <c r="N848">
        <f>LOG10(G848/C848)-LOG10(34734/47667)</f>
        <v>0.39379833047338952</v>
      </c>
      <c r="O848">
        <f>LOG10(H848/C848)-LOG10(33378/47667)</f>
        <v>0.1114451953061959</v>
      </c>
      <c r="Q848">
        <f>AVERAGE(K848:O848)</f>
        <v>0.12598386399647482</v>
      </c>
      <c r="R848">
        <f>STDEV(K848:O848)</f>
        <v>0.17231005643276348</v>
      </c>
    </row>
    <row r="849" spans="1:18">
      <c r="A849">
        <v>847</v>
      </c>
      <c r="C849">
        <v>1063</v>
      </c>
      <c r="D849">
        <v>449</v>
      </c>
      <c r="E849">
        <v>730</v>
      </c>
      <c r="F849">
        <v>513</v>
      </c>
      <c r="G849">
        <v>543</v>
      </c>
      <c r="H849">
        <v>657</v>
      </c>
      <c r="J849" s="1"/>
      <c r="K849">
        <f t="shared" si="13"/>
        <v>-0.43189945905033339</v>
      </c>
      <c r="L849">
        <f>LOG10(E849/C849)-LOG10(37995/47667)</f>
        <v>-6.4719033489940597E-2</v>
      </c>
      <c r="M849">
        <f>LOG10(F849/C849)-LOG10(35167/47667)</f>
        <v>-0.18433340108226401</v>
      </c>
      <c r="N849">
        <f>LOG10(G849/C849)-LOG10(34734/47667)</f>
        <v>-0.15427041512576747</v>
      </c>
      <c r="O849">
        <f>LOG10(H849/C849)-LOG10(33378/47667)</f>
        <v>-5.4210385528858179E-2</v>
      </c>
      <c r="Q849">
        <f>AVERAGE(K849:O849)</f>
        <v>-0.17788653885543274</v>
      </c>
      <c r="R849">
        <f>STDEV(K849:O849)</f>
        <v>0.15266345513156929</v>
      </c>
    </row>
    <row r="850" spans="1:18">
      <c r="A850">
        <v>848</v>
      </c>
      <c r="C850">
        <v>2705</v>
      </c>
      <c r="D850">
        <v>6008</v>
      </c>
      <c r="E850">
        <v>4626</v>
      </c>
      <c r="F850">
        <v>4760</v>
      </c>
      <c r="G850">
        <v>6124</v>
      </c>
      <c r="H850">
        <v>4326</v>
      </c>
      <c r="J850" s="1"/>
      <c r="K850">
        <f t="shared" si="13"/>
        <v>0.28895011902316398</v>
      </c>
      <c r="L850">
        <f>LOG10(E850/C850)-LOG10(37995/47667)</f>
        <v>0.33152972990491258</v>
      </c>
      <c r="M850">
        <f>LOG10(F850/C850)-LOG10(35167/47667)</f>
        <v>0.37752218160712137</v>
      </c>
      <c r="N850">
        <f>LOG10(G850/C850)-LOG10(34734/47667)</f>
        <v>0.49233093239231751</v>
      </c>
      <c r="O850">
        <f>LOG10(H850/C850)-LOG10(33378/47667)</f>
        <v>0.35867675509514219</v>
      </c>
      <c r="Q850">
        <f>AVERAGE(K850:O850)</f>
        <v>0.36980194360453156</v>
      </c>
      <c r="R850">
        <f>STDEV(K850:O850)</f>
        <v>7.6155277012084049E-2</v>
      </c>
    </row>
    <row r="851" spans="1:18">
      <c r="A851">
        <v>849</v>
      </c>
      <c r="C851">
        <v>2775</v>
      </c>
      <c r="D851">
        <v>5879</v>
      </c>
      <c r="E851">
        <v>3682</v>
      </c>
      <c r="F851">
        <v>3565</v>
      </c>
      <c r="G851">
        <v>3677</v>
      </c>
      <c r="H851">
        <v>2652</v>
      </c>
      <c r="J851" s="1"/>
      <c r="K851">
        <f t="shared" si="13"/>
        <v>0.26842793720002694</v>
      </c>
      <c r="L851">
        <f>LOG10(E851/C851)-LOG10(37995/47667)</f>
        <v>0.2213121676222011</v>
      </c>
      <c r="M851">
        <f>LOG10(F851/C851)-LOG10(35167/47667)</f>
        <v>0.24087904505840577</v>
      </c>
      <c r="N851">
        <f>LOG10(G851/C851)-LOG10(34734/47667)</f>
        <v>0.2596936622188496</v>
      </c>
      <c r="O851">
        <f>LOG10(H851/C851)-LOG10(33378/47667)</f>
        <v>0.13506804170869829</v>
      </c>
      <c r="Q851">
        <f>AVERAGE(K851:O851)</f>
        <v>0.22507617076163636</v>
      </c>
      <c r="R851">
        <f>STDEV(K851:O851)</f>
        <v>5.3486232386013306E-2</v>
      </c>
    </row>
    <row r="852" spans="1:18">
      <c r="A852">
        <v>850</v>
      </c>
      <c r="C852">
        <v>1128</v>
      </c>
      <c r="D852">
        <v>936</v>
      </c>
      <c r="E852">
        <v>867</v>
      </c>
      <c r="F852">
        <v>1565</v>
      </c>
      <c r="G852">
        <v>639</v>
      </c>
      <c r="H852">
        <v>2509</v>
      </c>
      <c r="J852" s="1"/>
      <c r="K852">
        <f t="shared" si="13"/>
        <v>-0.13864578643957803</v>
      </c>
      <c r="L852">
        <f>LOG10(E852/C852)-LOG10(37995/47667)</f>
        <v>-1.5798631258212972E-2</v>
      </c>
      <c r="M852">
        <f>LOG10(F852/C852)-LOG10(35167/47667)</f>
        <v>0.27428774056436023</v>
      </c>
      <c r="N852">
        <f>LOG10(G852/C852)-LOG10(34734/47667)</f>
        <v>-0.10934522168024099</v>
      </c>
      <c r="O852">
        <f>LOG10(H852/C852)-LOG10(33378/47667)</f>
        <v>0.50194907110194487</v>
      </c>
      <c r="Q852">
        <f>AVERAGE(K852:O852)</f>
        <v>0.10248943445765461</v>
      </c>
      <c r="R852">
        <f>STDEV(K852:O852)</f>
        <v>0.27662919318021228</v>
      </c>
    </row>
    <row r="853" spans="1:18">
      <c r="A853">
        <v>851</v>
      </c>
      <c r="C853">
        <v>1272</v>
      </c>
      <c r="D853">
        <v>781</v>
      </c>
      <c r="E853">
        <v>493</v>
      </c>
      <c r="F853">
        <v>589</v>
      </c>
      <c r="G853">
        <v>776</v>
      </c>
      <c r="H853">
        <v>707</v>
      </c>
      <c r="J853" s="1"/>
      <c r="K853">
        <f t="shared" si="13"/>
        <v>-0.26944861296545453</v>
      </c>
      <c r="L853">
        <f>LOG10(E853/C853)-LOG10(37995/47667)</f>
        <v>-0.31314882112226483</v>
      </c>
      <c r="M853">
        <f>LOG10(F853/C853)-LOG10(35167/47667)</f>
        <v>-0.20228931819607701</v>
      </c>
      <c r="N853">
        <f>LOG10(G853/C853)-LOG10(34734/47667)</f>
        <v>-7.7162370245524359E-2</v>
      </c>
      <c r="O853">
        <f>LOG10(H853/C853)-LOG10(33378/47667)</f>
        <v>-0.10031018808083783</v>
      </c>
      <c r="Q853">
        <f>AVERAGE(K853:O853)</f>
        <v>-0.19247186212203171</v>
      </c>
      <c r="R853">
        <f>STDEV(K853:O853)</f>
        <v>0.10292568208009818</v>
      </c>
    </row>
    <row r="854" spans="1:18">
      <c r="A854">
        <v>852</v>
      </c>
      <c r="C854">
        <v>925</v>
      </c>
      <c r="D854">
        <v>2229</v>
      </c>
      <c r="E854">
        <v>1314</v>
      </c>
      <c r="F854">
        <v>1490</v>
      </c>
      <c r="G854">
        <v>3684</v>
      </c>
      <c r="H854">
        <v>1600</v>
      </c>
      <c r="J854" s="1"/>
      <c r="K854">
        <f t="shared" si="13"/>
        <v>0.32435580021084531</v>
      </c>
      <c r="L854">
        <f>LOG10(E854/C854)-LOG10(37995/47667)</f>
        <v>0.2509450033976296</v>
      </c>
      <c r="M854">
        <f>LOG10(F854/C854)-LOG10(35167/47667)</f>
        <v>0.33912703400245792</v>
      </c>
      <c r="N854">
        <f>LOG10(G854/C854)-LOG10(34734/47667)</f>
        <v>0.73764090859446096</v>
      </c>
      <c r="O854">
        <f>LOG10(H854/C854)-LOG10(33378/47667)</f>
        <v>0.39273575935155003</v>
      </c>
      <c r="Q854">
        <f>AVERAGE(K854:O854)</f>
        <v>0.40896090111138877</v>
      </c>
      <c r="R854">
        <f>STDEV(K854:O854)</f>
        <v>0.19058962364742163</v>
      </c>
    </row>
    <row r="855" spans="1:18">
      <c r="A855">
        <v>853</v>
      </c>
      <c r="C855">
        <v>1638</v>
      </c>
      <c r="D855">
        <v>343</v>
      </c>
      <c r="E855">
        <v>436</v>
      </c>
      <c r="F855">
        <v>440</v>
      </c>
      <c r="G855">
        <v>410</v>
      </c>
      <c r="H855">
        <v>389</v>
      </c>
      <c r="J855" s="1"/>
      <c r="K855">
        <f t="shared" si="13"/>
        <v>-0.73663231291198894</v>
      </c>
      <c r="L855">
        <f>LOG10(E855/C855)-LOG10(37995/47667)</f>
        <v>-0.4763360372429134</v>
      </c>
      <c r="M855">
        <f>LOG10(F855/C855)-LOG10(35167/47667)</f>
        <v>-0.43877872260899575</v>
      </c>
      <c r="N855">
        <f>LOG10(G855/C855)-LOG10(34734/47667)</f>
        <v>-0.46406702089598195</v>
      </c>
      <c r="O855">
        <f>LOG10(H855/C855)-LOG10(33378/47667)</f>
        <v>-0.4696067866640341</v>
      </c>
      <c r="Q855">
        <f>AVERAGE(K855:O855)</f>
        <v>-0.51708417606478285</v>
      </c>
      <c r="R855">
        <f>STDEV(K855:O855)</f>
        <v>0.12355005109058574</v>
      </c>
    </row>
    <row r="856" spans="1:18">
      <c r="A856">
        <v>854</v>
      </c>
      <c r="C856">
        <v>2572</v>
      </c>
      <c r="D856">
        <v>4744</v>
      </c>
      <c r="E856">
        <v>5975</v>
      </c>
      <c r="F856">
        <v>7737</v>
      </c>
      <c r="G856">
        <v>5214</v>
      </c>
      <c r="H856">
        <v>5441</v>
      </c>
      <c r="J856" s="1"/>
      <c r="K856">
        <f t="shared" si="13"/>
        <v>0.20826118057366197</v>
      </c>
      <c r="L856">
        <f>LOG10(E856/C856)-LOG10(37995/47667)</f>
        <v>0.46455831628089106</v>
      </c>
      <c r="M856">
        <f>LOG10(F856/C856)-LOG10(35167/47667)</f>
        <v>0.61038413093463195</v>
      </c>
      <c r="N856">
        <f>LOG10(G856/C856)-LOG10(34734/47667)</f>
        <v>0.44436308238880795</v>
      </c>
      <c r="O856">
        <f>LOG10(H856/C856)-LOG10(33378/47667)</f>
        <v>0.48016527108837792</v>
      </c>
      <c r="Q856">
        <f>AVERAGE(K856:O856)</f>
        <v>0.44154639625327413</v>
      </c>
      <c r="R856">
        <f>STDEV(K856:O856)</f>
        <v>0.14573698242440791</v>
      </c>
    </row>
    <row r="857" spans="1:18">
      <c r="A857">
        <v>855</v>
      </c>
      <c r="C857">
        <v>2636</v>
      </c>
      <c r="D857">
        <v>2072</v>
      </c>
      <c r="E857">
        <v>1795</v>
      </c>
      <c r="F857">
        <v>1083</v>
      </c>
      <c r="G857">
        <v>2528</v>
      </c>
      <c r="H857">
        <v>1113</v>
      </c>
      <c r="J857" s="1"/>
      <c r="K857">
        <f t="shared" si="13"/>
        <v>-0.16216819037913657</v>
      </c>
      <c r="L857">
        <f>LOG10(E857/C857)-LOG10(37995/47667)</f>
        <v>-6.8389582094734058E-2</v>
      </c>
      <c r="M857">
        <f>LOG10(F857/C857)-LOG10(35167/47667)</f>
        <v>-0.25423445096743547</v>
      </c>
      <c r="N857">
        <f>LOG10(G857/C857)-LOG10(34734/47667)</f>
        <v>0.11929468349705745</v>
      </c>
      <c r="O857">
        <f>LOG10(H857/C857)-LOG10(33378/47667)</f>
        <v>-0.21969273215260618</v>
      </c>
      <c r="Q857">
        <f>AVERAGE(K857:O857)</f>
        <v>-0.11703805441937096</v>
      </c>
      <c r="R857">
        <f>STDEV(K857:O857)</f>
        <v>0.14968082720294482</v>
      </c>
    </row>
    <row r="858" spans="1:18">
      <c r="A858">
        <v>856</v>
      </c>
      <c r="C858">
        <v>1560</v>
      </c>
      <c r="D858">
        <v>3670</v>
      </c>
      <c r="E858">
        <v>3340</v>
      </c>
      <c r="F858">
        <v>2927</v>
      </c>
      <c r="G858">
        <v>2830</v>
      </c>
      <c r="H858">
        <v>2622</v>
      </c>
      <c r="J858" s="1"/>
      <c r="K858">
        <f t="shared" si="13"/>
        <v>0.31392893036726799</v>
      </c>
      <c r="L858">
        <f>LOG10(E858/C858)-LOG10(37995/47667)</f>
        <v>0.42911323937000312</v>
      </c>
      <c r="M858">
        <f>LOG10(F858/C858)-LOG10(35167/47667)</f>
        <v>0.40538062240854678</v>
      </c>
      <c r="N858">
        <f>LOG10(G858/C858)-LOG10(34734/47667)</f>
        <v>0.39612485697851096</v>
      </c>
      <c r="O858">
        <f>LOG10(H858/C858)-LOG10(33378/47667)</f>
        <v>0.38026559843426166</v>
      </c>
      <c r="Q858">
        <f>AVERAGE(K858:O858)</f>
        <v>0.3849626495117181</v>
      </c>
      <c r="R858">
        <f>STDEV(K858:O858)</f>
        <v>4.3470146715587077E-2</v>
      </c>
    </row>
    <row r="859" spans="1:18">
      <c r="A859">
        <v>857</v>
      </c>
      <c r="C859">
        <v>2466</v>
      </c>
      <c r="D859">
        <v>2332</v>
      </c>
      <c r="E859">
        <v>1318</v>
      </c>
      <c r="F859">
        <v>1186</v>
      </c>
      <c r="G859">
        <v>2898</v>
      </c>
      <c r="H859">
        <v>1460</v>
      </c>
      <c r="J859" s="1"/>
      <c r="K859">
        <f t="shared" si="13"/>
        <v>-8.187706170309611E-2</v>
      </c>
      <c r="L859">
        <f>LOG10(E859/C859)-LOG10(37995/47667)</f>
        <v>-0.17358629108882154</v>
      </c>
      <c r="M859">
        <f>LOG10(F859/C859)-LOG10(35167/47667)</f>
        <v>-0.18582588490225257</v>
      </c>
      <c r="N859">
        <f>LOG10(G859/C859)-LOG10(34734/47667)</f>
        <v>0.20756832868412523</v>
      </c>
      <c r="O859">
        <f>LOG10(H859/C859)-LOG10(33378/47667)</f>
        <v>-7.2882707040617972E-2</v>
      </c>
      <c r="Q859">
        <f>AVERAGE(K859:O859)</f>
        <v>-6.1320723210132599E-2</v>
      </c>
      <c r="R859">
        <f>STDEV(K859:O859)</f>
        <v>0.158873107990333</v>
      </c>
    </row>
    <row r="860" spans="1:18">
      <c r="A860">
        <v>858</v>
      </c>
      <c r="C860">
        <v>1904</v>
      </c>
      <c r="D860">
        <v>10805</v>
      </c>
      <c r="E860">
        <v>3121</v>
      </c>
      <c r="F860">
        <v>14042</v>
      </c>
      <c r="G860">
        <v>8544</v>
      </c>
      <c r="H860">
        <v>5090</v>
      </c>
      <c r="J860" s="1"/>
      <c r="K860">
        <f t="shared" si="13"/>
        <v>0.6963452916404449</v>
      </c>
      <c r="L860">
        <f>LOG10(E860/C860)-LOG10(37995/47667)</f>
        <v>0.31311819552977738</v>
      </c>
      <c r="M860">
        <f>LOG10(F860/C860)-LOG10(35167/47667)</f>
        <v>0.99984452297941706</v>
      </c>
      <c r="N860">
        <f>LOG10(G860/C860)-LOG10(34734/47667)</f>
        <v>0.78945731544470787</v>
      </c>
      <c r="O860">
        <f>LOG10(H860/C860)-LOG10(33378/47667)</f>
        <v>0.58180834772296097</v>
      </c>
      <c r="Q860">
        <f>AVERAGE(K860:O860)</f>
        <v>0.6761147346634615</v>
      </c>
      <c r="R860">
        <f>STDEV(K860:O860)</f>
        <v>0.25432114242510878</v>
      </c>
    </row>
    <row r="861" spans="1:18">
      <c r="A861">
        <v>859</v>
      </c>
      <c r="C861">
        <v>1452</v>
      </c>
      <c r="D861">
        <v>1703</v>
      </c>
      <c r="E861">
        <v>920</v>
      </c>
      <c r="F861">
        <v>2236</v>
      </c>
      <c r="G861">
        <v>628</v>
      </c>
      <c r="H861">
        <v>3588</v>
      </c>
      <c r="J861" s="1"/>
      <c r="K861">
        <f t="shared" si="13"/>
        <v>1.1635496068166405E-2</v>
      </c>
      <c r="L861">
        <f>LOG10(E861/C861)-LOG10(37995/47667)</f>
        <v>-9.9687418105619402E-2</v>
      </c>
      <c r="M861">
        <f>LOG10(F861/C861)-LOG10(35167/47667)</f>
        <v>0.31958768117952718</v>
      </c>
      <c r="N861">
        <f>LOG10(G861/C861)-LOG10(34734/47667)</f>
        <v>-0.22654395281819653</v>
      </c>
      <c r="O861">
        <f>LOG10(H861/C861)-LOG10(33378/47667)</f>
        <v>0.54764332744263733</v>
      </c>
      <c r="Q861">
        <f>AVERAGE(K861:O861)</f>
        <v>0.11052702675330299</v>
      </c>
      <c r="R861">
        <f>STDEV(K861:O861)</f>
        <v>0.31716064955134887</v>
      </c>
    </row>
    <row r="862" spans="1:18">
      <c r="A862">
        <v>860</v>
      </c>
      <c r="C862">
        <v>1198</v>
      </c>
      <c r="D862">
        <v>445</v>
      </c>
      <c r="E862">
        <v>372</v>
      </c>
      <c r="F862">
        <v>428</v>
      </c>
      <c r="G862">
        <v>351</v>
      </c>
      <c r="H862">
        <v>447</v>
      </c>
      <c r="J862" s="1"/>
      <c r="K862">
        <f t="shared" si="13"/>
        <v>-0.48770934260272075</v>
      </c>
      <c r="L862">
        <f>LOG10(E862/C862)-LOG10(37995/47667)</f>
        <v>-0.40942250725849483</v>
      </c>
      <c r="M862">
        <f>LOG10(F862/C862)-LOG10(35167/47667)</f>
        <v>-0.31493055071090403</v>
      </c>
      <c r="N862">
        <f>LOG10(G862/C862)-LOG10(34734/47667)</f>
        <v>-0.3956866817787863</v>
      </c>
      <c r="O862">
        <f>LOG10(H862/C862)-LOG10(33378/47667)</f>
        <v>-0.27339178548669829</v>
      </c>
      <c r="Q862">
        <f>AVERAGE(K862:O862)</f>
        <v>-0.37622817356752081</v>
      </c>
      <c r="R862">
        <f>STDEV(K862:O862)</f>
        <v>8.4025694971586157E-2</v>
      </c>
    </row>
    <row r="863" spans="1:18">
      <c r="A863">
        <v>861</v>
      </c>
      <c r="C863">
        <v>1606</v>
      </c>
      <c r="D863">
        <v>212</v>
      </c>
      <c r="E863">
        <v>232</v>
      </c>
      <c r="F863">
        <v>427</v>
      </c>
      <c r="G863">
        <v>296</v>
      </c>
      <c r="H863">
        <v>255</v>
      </c>
      <c r="J863" s="1"/>
      <c r="K863">
        <f t="shared" si="13"/>
        <v>-0.93702221554427045</v>
      </c>
      <c r="L863">
        <f>LOG10(E863/C863)-LOG10(37995/47667)</f>
        <v>-0.74176618513886217</v>
      </c>
      <c r="M863">
        <f>LOG10(F863/C863)-LOG10(35167/47667)</f>
        <v>-0.44323516758842174</v>
      </c>
      <c r="N863">
        <f>LOG10(G863/C863)-LOG10(34734/47667)</f>
        <v>-0.59699081007504129</v>
      </c>
      <c r="O863">
        <f>LOG10(H863/C863)-LOG10(33378/47667)</f>
        <v>-0.64444785107404912</v>
      </c>
      <c r="Q863">
        <f>AVERAGE(K863:O863)</f>
        <v>-0.67269244588412891</v>
      </c>
      <c r="R863">
        <f>STDEV(K863:O863)</f>
        <v>0.18290745333791458</v>
      </c>
    </row>
    <row r="864" spans="1:18">
      <c r="A864">
        <v>862</v>
      </c>
      <c r="C864">
        <v>1473</v>
      </c>
      <c r="D864">
        <v>5567</v>
      </c>
      <c r="E864">
        <v>4471</v>
      </c>
      <c r="F864">
        <v>5051</v>
      </c>
      <c r="G864">
        <v>5312</v>
      </c>
      <c r="H864">
        <v>12662</v>
      </c>
      <c r="J864" s="1"/>
      <c r="K864">
        <f t="shared" si="13"/>
        <v>0.51980593893394778</v>
      </c>
      <c r="L864">
        <f>LOG10(E864/C864)-LOG10(37995/47667)</f>
        <v>0.58069329393830116</v>
      </c>
      <c r="M864">
        <f>LOG10(F864/C864)-LOG10(35167/47667)</f>
        <v>0.66725711999893511</v>
      </c>
      <c r="N864">
        <f>LOG10(G864/C864)-LOG10(34734/47667)</f>
        <v>0.69451833932601237</v>
      </c>
      <c r="O864">
        <f>LOG10(H864/C864)-LOG10(33378/47667)</f>
        <v>1.0890570717774792</v>
      </c>
      <c r="Q864">
        <f>AVERAGE(K864:O864)</f>
        <v>0.71026635279493511</v>
      </c>
      <c r="R864">
        <f>STDEV(K864:O864)</f>
        <v>0.22284778978643338</v>
      </c>
    </row>
    <row r="865" spans="1:18">
      <c r="A865">
        <v>863</v>
      </c>
      <c r="C865">
        <v>2679</v>
      </c>
      <c r="D865">
        <v>2815</v>
      </c>
      <c r="E865">
        <v>2487</v>
      </c>
      <c r="F865">
        <v>2766</v>
      </c>
      <c r="G865">
        <v>2325</v>
      </c>
      <c r="H865">
        <v>9636</v>
      </c>
      <c r="J865" s="1"/>
      <c r="K865">
        <f t="shared" si="13"/>
        <v>-3.6106849951203626E-2</v>
      </c>
      <c r="L865">
        <f>LOG10(E865/C865)-LOG10(37995/47667)</f>
        <v>6.6194442574627393E-2</v>
      </c>
      <c r="M865">
        <f>LOG10(F865/C865)-LOG10(35167/47667)</f>
        <v>0.14596196049429935</v>
      </c>
      <c r="N865">
        <f>LOG10(G865/C865)-LOG10(34734/47667)</f>
        <v>7.5913263426446123E-2</v>
      </c>
      <c r="O865">
        <f>LOG10(H865/C865)-LOG10(33378/47667)</f>
        <v>0.71068158715275476</v>
      </c>
      <c r="Q865">
        <f>AVERAGE(K865:O865)</f>
        <v>0.19252888073938479</v>
      </c>
      <c r="R865">
        <f>STDEV(K865:O865)</f>
        <v>0.29685206544704806</v>
      </c>
    </row>
    <row r="866" spans="1:18">
      <c r="A866">
        <v>864</v>
      </c>
      <c r="C866">
        <v>618</v>
      </c>
      <c r="D866">
        <v>1088</v>
      </c>
      <c r="E866">
        <v>3897</v>
      </c>
      <c r="F866">
        <v>2395</v>
      </c>
      <c r="G866">
        <v>816</v>
      </c>
      <c r="H866">
        <v>864</v>
      </c>
      <c r="J866" s="1"/>
      <c r="K866">
        <f t="shared" si="13"/>
        <v>0.18802788474298551</v>
      </c>
      <c r="L866">
        <f>LOG10(E866/C866)-LOG10(37995/47667)</f>
        <v>0.89823330161677473</v>
      </c>
      <c r="M866">
        <f>LOG10(F866/C866)-LOG10(35167/47667)</f>
        <v>0.72039954099098269</v>
      </c>
      <c r="N866">
        <f>LOG10(G866/C866)-LOG10(34734/47667)</f>
        <v>0.25816470347372761</v>
      </c>
      <c r="O866">
        <f>LOG10(H866/C866)-LOG10(33378/47667)</f>
        <v>0.30028277682473525</v>
      </c>
      <c r="Q866">
        <f>AVERAGE(K866:O866)</f>
        <v>0.47302164152984122</v>
      </c>
      <c r="R866">
        <f>STDEV(K866:O866)</f>
        <v>0.31592105091052231</v>
      </c>
    </row>
    <row r="867" spans="1:18">
      <c r="A867">
        <v>865</v>
      </c>
      <c r="C867">
        <v>1206</v>
      </c>
      <c r="D867">
        <v>228</v>
      </c>
      <c r="E867">
        <v>231</v>
      </c>
      <c r="F867">
        <v>239</v>
      </c>
      <c r="G867">
        <v>315</v>
      </c>
      <c r="H867">
        <v>380</v>
      </c>
      <c r="J867" s="1"/>
      <c r="K867">
        <f t="shared" si="13"/>
        <v>-0.78102499633403843</v>
      </c>
      <c r="L867">
        <f>LOG10(E867/C867)-LOG10(37995/47667)</f>
        <v>-0.61924395699908796</v>
      </c>
      <c r="M867">
        <f>LOG10(F867/C867)-LOG10(35167/47667)</f>
        <v>-0.57086690852677835</v>
      </c>
      <c r="N867">
        <f>LOG10(G867/C867)-LOG10(34734/47667)</f>
        <v>-0.44557373420584978</v>
      </c>
      <c r="O867">
        <f>LOG10(H867/C867)-LOG10(33378/47667)</f>
        <v>-0.34680620175266452</v>
      </c>
      <c r="Q867">
        <f>AVERAGE(K867:O867)</f>
        <v>-0.55270315956368388</v>
      </c>
      <c r="R867">
        <f>STDEV(K867:O867)</f>
        <v>0.16640217220581452</v>
      </c>
    </row>
    <row r="868" spans="1:18">
      <c r="A868">
        <v>866</v>
      </c>
      <c r="C868">
        <v>2135</v>
      </c>
      <c r="D868">
        <v>1674</v>
      </c>
      <c r="E868">
        <v>1758</v>
      </c>
      <c r="F868">
        <v>1223</v>
      </c>
      <c r="G868">
        <v>1369</v>
      </c>
      <c r="H868">
        <v>1216</v>
      </c>
      <c r="J868" s="1"/>
      <c r="K868">
        <f t="shared" si="13"/>
        <v>-0.16325496123416122</v>
      </c>
      <c r="L868">
        <f>LOG10(E868/C868)-LOG10(37995/47667)</f>
        <v>1.4112362289610644E-2</v>
      </c>
      <c r="M868">
        <f>LOG10(F868/C868)-LOG10(35167/47667)</f>
        <v>-0.10988892399554073</v>
      </c>
      <c r="N868">
        <f>LOG10(G868/C868)-LOG10(34734/47667)</f>
        <v>-5.5531411418370424E-2</v>
      </c>
      <c r="O868">
        <f>LOG10(H868/C868)-LOG10(33378/47667)</f>
        <v>-8.9706794989668687E-2</v>
      </c>
      <c r="Q868">
        <f>AVERAGE(K868:O868)</f>
        <v>-8.085394586962609E-2</v>
      </c>
      <c r="R868">
        <f>STDEV(K868:O868)</f>
        <v>6.5899849510167835E-2</v>
      </c>
    </row>
    <row r="869" spans="1:18">
      <c r="A869">
        <v>867</v>
      </c>
      <c r="C869">
        <v>1702</v>
      </c>
      <c r="D869">
        <v>8623</v>
      </c>
      <c r="E869">
        <v>6352</v>
      </c>
      <c r="F869">
        <v>21787</v>
      </c>
      <c r="G869">
        <v>5509</v>
      </c>
      <c r="H869">
        <v>4967</v>
      </c>
      <c r="J869" s="1"/>
      <c r="K869">
        <f t="shared" si="13"/>
        <v>0.64708629482170543</v>
      </c>
      <c r="L869">
        <f>LOG10(E869/C869)-LOG10(37995/47667)</f>
        <v>0.67044230458337106</v>
      </c>
      <c r="M869">
        <f>LOG10(F869/C869)-LOG10(35167/47667)</f>
        <v>1.2393203759869291</v>
      </c>
      <c r="N869">
        <f>LOG10(G869/C869)-LOG10(34734/47667)</f>
        <v>0.64757623643343454</v>
      </c>
      <c r="O869">
        <f>LOG10(H869/C869)-LOG10(33378/47667)</f>
        <v>0.61989211368131214</v>
      </c>
      <c r="Q869">
        <f>AVERAGE(K869:O869)</f>
        <v>0.7648634651013505</v>
      </c>
      <c r="R869">
        <f>STDEV(K869:O869)</f>
        <v>0.26583320166077862</v>
      </c>
    </row>
    <row r="870" spans="1:18">
      <c r="A870">
        <v>868</v>
      </c>
      <c r="C870">
        <v>3344</v>
      </c>
      <c r="D870">
        <v>4068</v>
      </c>
      <c r="E870">
        <v>4768</v>
      </c>
      <c r="F870">
        <v>4887</v>
      </c>
      <c r="G870">
        <v>2222</v>
      </c>
      <c r="H870">
        <v>1980</v>
      </c>
      <c r="J870" s="1"/>
      <c r="K870">
        <f t="shared" si="13"/>
        <v>2.7502139953368428E-2</v>
      </c>
      <c r="L870">
        <f>LOG10(E870/C870)-LOG10(37995/47667)</f>
        <v>0.25256134887810144</v>
      </c>
      <c r="M870">
        <f>LOG10(F870/C870)-LOG10(35167/47667)</f>
        <v>0.29685856859040949</v>
      </c>
      <c r="N870">
        <f>LOG10(G870/C870)-LOG10(34734/47667)</f>
        <v>-4.005919435344768E-2</v>
      </c>
      <c r="O870">
        <f>LOG10(H870/C870)-LOG10(33378/47667)</f>
        <v>-7.2843569070789899E-2</v>
      </c>
      <c r="Q870">
        <f>AVERAGE(K870:O870)</f>
        <v>9.2803858799528377E-2</v>
      </c>
      <c r="R870">
        <f>STDEV(K870:O870)</f>
        <v>0.17067275409500182</v>
      </c>
    </row>
    <row r="871" spans="1:18">
      <c r="A871">
        <v>869</v>
      </c>
      <c r="C871">
        <v>4294</v>
      </c>
      <c r="D871">
        <v>4575</v>
      </c>
      <c r="E871">
        <v>31575</v>
      </c>
      <c r="F871">
        <v>5803</v>
      </c>
      <c r="G871">
        <v>3864</v>
      </c>
      <c r="H871">
        <v>3979</v>
      </c>
      <c r="J871" s="1"/>
      <c r="K871">
        <f t="shared" si="13"/>
        <v>-3.0083477228122581E-2</v>
      </c>
      <c r="L871">
        <f>LOG10(E871/C871)-LOG10(37995/47667)</f>
        <v>0.96497269004003872</v>
      </c>
      <c r="M871">
        <f>LOG10(F871/C871)-LOG10(35167/47667)</f>
        <v>0.26287302879351698</v>
      </c>
      <c r="N871">
        <f>LOG10(G871/C871)-LOG10(34734/47667)</f>
        <v>9.1638097451908124E-2</v>
      </c>
      <c r="O871">
        <f>LOG10(H871/C871)-LOG10(33378/47667)</f>
        <v>0.12166940848081621</v>
      </c>
      <c r="Q871">
        <f>AVERAGE(K871:O871)</f>
        <v>0.28221394950763157</v>
      </c>
      <c r="R871">
        <f>STDEV(K871:O871)</f>
        <v>0.39565040021890474</v>
      </c>
    </row>
    <row r="872" spans="1:18">
      <c r="A872">
        <v>870</v>
      </c>
      <c r="C872">
        <v>1395</v>
      </c>
      <c r="D872">
        <v>425</v>
      </c>
      <c r="E872">
        <v>319</v>
      </c>
      <c r="F872">
        <v>285</v>
      </c>
      <c r="G872">
        <v>366</v>
      </c>
      <c r="H872">
        <v>377</v>
      </c>
      <c r="J872" s="1"/>
      <c r="K872">
        <f t="shared" si="13"/>
        <v>-0.5737978130896646</v>
      </c>
      <c r="L872">
        <f>LOG10(E872/C872)-LOG10(37995/47667)</f>
        <v>-0.54229215363953498</v>
      </c>
      <c r="M872">
        <f>LOG10(F872/C872)-LOG10(35167/47667)</f>
        <v>-0.55764684927188968</v>
      </c>
      <c r="N872">
        <f>LOG10(G872/C872)-LOG10(34734/47667)</f>
        <v>-0.44363010240652345</v>
      </c>
      <c r="O872">
        <f>LOG10(H872/C872)-LOG10(33378/47667)</f>
        <v>-0.41347534796916574</v>
      </c>
      <c r="Q872">
        <f>AVERAGE(K872:O872)</f>
        <v>-0.50616845327535565</v>
      </c>
      <c r="R872">
        <f>STDEV(K872:O872)</f>
        <v>7.2511610091019474E-2</v>
      </c>
    </row>
    <row r="873" spans="1:18">
      <c r="A873">
        <v>871</v>
      </c>
      <c r="C873">
        <v>2021</v>
      </c>
      <c r="D873">
        <v>1579</v>
      </c>
      <c r="E873">
        <v>8495</v>
      </c>
      <c r="F873">
        <v>1643</v>
      </c>
      <c r="G873">
        <v>2161</v>
      </c>
      <c r="H873">
        <v>1890</v>
      </c>
      <c r="J873" s="1"/>
      <c r="K873">
        <f t="shared" si="13"/>
        <v>-0.1647967190373695</v>
      </c>
      <c r="L873">
        <f>LOG10(E873/C873)-LOG10(37995/47667)</f>
        <v>0.72208844060266075</v>
      </c>
      <c r="M873">
        <f>LOG10(F873/C873)-LOG10(35167/47667)</f>
        <v>4.2153748248974221E-2</v>
      </c>
      <c r="N873">
        <f>LOG10(G873/C873)-LOG10(34734/47667)</f>
        <v>0.16655147317661964</v>
      </c>
      <c r="O873">
        <f>LOG10(H873/C873)-LOG10(33378/47667)</f>
        <v>0.12565300009259794</v>
      </c>
      <c r="Q873">
        <f>AVERAGE(K873:O873)</f>
        <v>0.17832998861669663</v>
      </c>
      <c r="R873">
        <f>STDEV(K873:O873)</f>
        <v>0.32972214006581319</v>
      </c>
    </row>
    <row r="874" spans="1:18">
      <c r="A874">
        <v>872</v>
      </c>
      <c r="C874">
        <v>896</v>
      </c>
      <c r="D874">
        <v>937</v>
      </c>
      <c r="E874">
        <v>986</v>
      </c>
      <c r="F874">
        <v>2479</v>
      </c>
      <c r="G874">
        <v>870</v>
      </c>
      <c r="H874">
        <v>1603</v>
      </c>
      <c r="J874" s="1"/>
      <c r="K874">
        <f t="shared" si="13"/>
        <v>-3.818095430470668E-2</v>
      </c>
      <c r="L874">
        <f>LOG10(E874/C874)-LOG10(37995/47667)</f>
        <v>0.14006027619198627</v>
      </c>
      <c r="M874">
        <f>LOG10(F874/C874)-LOG10(35167/47667)</f>
        <v>0.57405101543491277</v>
      </c>
      <c r="N874">
        <f>LOG10(G874/C874)-LOG10(34734/47667)</f>
        <v>0.12467426276517563</v>
      </c>
      <c r="O874">
        <f>LOG10(H874/C874)-LOG10(33378/47667)</f>
        <v>0.40738302212667743</v>
      </c>
      <c r="Q874">
        <f>AVERAGE(K874:O874)</f>
        <v>0.24159752444280908</v>
      </c>
      <c r="R874">
        <f>STDEV(K874:O874)</f>
        <v>0.24508519640580312</v>
      </c>
    </row>
    <row r="875" spans="1:18">
      <c r="A875">
        <v>873</v>
      </c>
      <c r="C875">
        <v>3131</v>
      </c>
      <c r="D875">
        <v>2018</v>
      </c>
      <c r="E875">
        <v>2268</v>
      </c>
      <c r="F875">
        <v>2205</v>
      </c>
      <c r="G875">
        <v>1817</v>
      </c>
      <c r="H875">
        <v>3455</v>
      </c>
      <c r="J875" s="1"/>
      <c r="K875">
        <f t="shared" si="13"/>
        <v>-0.24837444124638328</v>
      </c>
      <c r="L875">
        <f>LOG10(E875/C875)-LOG10(37995/47667)</f>
        <v>-4.154864648314599E-2</v>
      </c>
      <c r="M875">
        <f>LOG10(F875/C875)-LOG10(35167/47667)</f>
        <v>-2.019197548384144E-2</v>
      </c>
      <c r="N875">
        <f>LOG10(G875/C875)-LOG10(34734/47667)</f>
        <v>-9.8865120500198633E-2</v>
      </c>
      <c r="O875">
        <f>LOG10(H875/C875)-LOG10(33378/47667)</f>
        <v>0.19752249352795975</v>
      </c>
      <c r="Q875">
        <f>AVERAGE(K875:O875)</f>
        <v>-4.2291538037121913E-2</v>
      </c>
      <c r="R875">
        <f>STDEV(K875:O875)</f>
        <v>0.16098947598854843</v>
      </c>
    </row>
    <row r="876" spans="1:18">
      <c r="A876">
        <v>874</v>
      </c>
      <c r="C876">
        <v>3097</v>
      </c>
      <c r="D876">
        <v>4639</v>
      </c>
      <c r="E876">
        <v>4253</v>
      </c>
      <c r="F876">
        <v>3029</v>
      </c>
      <c r="G876">
        <v>3378</v>
      </c>
      <c r="H876">
        <v>3200</v>
      </c>
      <c r="J876" s="1"/>
      <c r="K876">
        <f t="shared" si="13"/>
        <v>0.1178706316316131</v>
      </c>
      <c r="L876">
        <f>LOG10(E876/C876)-LOG10(37995/47667)</f>
        <v>0.2362455482701368</v>
      </c>
      <c r="M876">
        <f>LOG10(F876/C876)-LOG10(35167/47667)</f>
        <v>0.12244056630528542</v>
      </c>
      <c r="N876">
        <f>LOG10(G876/C876)-LOG10(34734/47667)</f>
        <v>0.17518145968688534</v>
      </c>
      <c r="O876">
        <f>LOG10(H876/C876)-LOG10(33378/47667)</f>
        <v>0.168966282397777</v>
      </c>
      <c r="Q876">
        <f>AVERAGE(K876:O876)</f>
        <v>0.16414089765833956</v>
      </c>
      <c r="R876">
        <f>STDEV(K876:O876)</f>
        <v>4.8021125925934008E-2</v>
      </c>
    </row>
    <row r="877" spans="1:18">
      <c r="A877">
        <v>875</v>
      </c>
      <c r="C877">
        <v>2179</v>
      </c>
      <c r="D877">
        <v>4543</v>
      </c>
      <c r="E877">
        <v>4018</v>
      </c>
      <c r="F877">
        <v>2333</v>
      </c>
      <c r="G877">
        <v>2858</v>
      </c>
      <c r="H877">
        <v>3156</v>
      </c>
      <c r="J877" s="1"/>
      <c r="K877">
        <f t="shared" si="13"/>
        <v>0.2614729710380107</v>
      </c>
      <c r="L877">
        <f>LOG10(E877/C877)-LOG10(37995/47667)</f>
        <v>0.36424407307887496</v>
      </c>
      <c r="M877">
        <f>LOG10(F877/C877)-LOG10(35167/47667)</f>
        <v>0.16174000687671344</v>
      </c>
      <c r="N877">
        <f>LOG10(G877/C877)-LOG10(34734/47667)</f>
        <v>0.25526801401737809</v>
      </c>
      <c r="O877">
        <f>LOG10(H877/C877)-LOG10(33378/47667)</f>
        <v>0.31563727372578487</v>
      </c>
      <c r="Q877">
        <f>AVERAGE(K877:O877)</f>
        <v>0.27167246774735243</v>
      </c>
      <c r="R877">
        <f>STDEV(K877:O877)</f>
        <v>7.5763922923040461E-2</v>
      </c>
    </row>
    <row r="878" spans="1:18">
      <c r="A878">
        <v>876</v>
      </c>
      <c r="C878">
        <v>3788</v>
      </c>
      <c r="D878">
        <v>9858</v>
      </c>
      <c r="E878">
        <v>5197</v>
      </c>
      <c r="F878">
        <v>6101</v>
      </c>
      <c r="G878">
        <v>5160</v>
      </c>
      <c r="H878">
        <v>6283</v>
      </c>
      <c r="J878" s="1"/>
      <c r="K878">
        <f t="shared" si="13"/>
        <v>0.35776630795710973</v>
      </c>
      <c r="L878">
        <f>LOG10(E878/C878)-LOG10(37995/47667)</f>
        <v>0.23583411740452398</v>
      </c>
      <c r="M878">
        <f>LOG10(F878/C878)-LOG10(35167/47667)</f>
        <v>0.33907355299036818</v>
      </c>
      <c r="N878">
        <f>LOG10(G878/C878)-LOG10(34734/47667)</f>
        <v>0.2717027511046578</v>
      </c>
      <c r="O878">
        <f>LOG10(H878/C878)-LOG10(33378/47667)</f>
        <v>0.37451459881936122</v>
      </c>
      <c r="Q878">
        <f>AVERAGE(K878:O878)</f>
        <v>0.31577826565520423</v>
      </c>
      <c r="R878">
        <f>STDEV(K878:O878)</f>
        <v>5.9349264452829169E-2</v>
      </c>
    </row>
    <row r="879" spans="1:18">
      <c r="A879">
        <v>877</v>
      </c>
      <c r="C879">
        <v>2052</v>
      </c>
      <c r="D879">
        <v>3770</v>
      </c>
      <c r="E879">
        <v>3411</v>
      </c>
      <c r="F879">
        <v>2403</v>
      </c>
      <c r="G879">
        <v>6405</v>
      </c>
      <c r="H879">
        <v>2703</v>
      </c>
      <c r="J879" s="1"/>
      <c r="K879">
        <f t="shared" si="13"/>
        <v>0.20655145823565443</v>
      </c>
      <c r="L879">
        <f>LOG10(E879/C879)-LOG10(37995/47667)</f>
        <v>0.31919573388051881</v>
      </c>
      <c r="M879">
        <f>LOG10(F879/C879)-LOG10(35167/47667)</f>
        <v>0.20065891269333788</v>
      </c>
      <c r="N879">
        <f>LOG10(G879/C879)-LOG10(34734/47667)</f>
        <v>0.63180479744960871</v>
      </c>
      <c r="O879">
        <f>LOG10(H879/C879)-LOG10(33378/47667)</f>
        <v>0.27442619869360452</v>
      </c>
      <c r="Q879">
        <f>AVERAGE(K879:O879)</f>
        <v>0.32652742019054493</v>
      </c>
      <c r="R879">
        <f>STDEV(K879:O879)</f>
        <v>0.17762297190845719</v>
      </c>
    </row>
    <row r="880" spans="1:18">
      <c r="A880">
        <v>878</v>
      </c>
      <c r="C880">
        <v>944</v>
      </c>
      <c r="D880">
        <v>2085</v>
      </c>
      <c r="E880">
        <v>1331</v>
      </c>
      <c r="F880">
        <v>2818</v>
      </c>
      <c r="G880">
        <v>3170</v>
      </c>
      <c r="H880">
        <v>1788</v>
      </c>
      <c r="J880" s="1"/>
      <c r="K880">
        <f t="shared" si="13"/>
        <v>0.28652152948134763</v>
      </c>
      <c r="L880">
        <f>LOG10(E880/C880)-LOG10(37995/47667)</f>
        <v>0.2476974320895064</v>
      </c>
      <c r="M880">
        <f>LOG10(F880/C880)-LOG10(35167/47667)</f>
        <v>0.60705149280448512</v>
      </c>
      <c r="N880">
        <f>LOG10(G880/C880)-LOG10(34734/47667)</f>
        <v>0.66355028772836477</v>
      </c>
      <c r="O880">
        <f>LOG10(H880/C880)-LOG10(33378/47667)</f>
        <v>0.43215302959648771</v>
      </c>
      <c r="Q880">
        <f>AVERAGE(K880:O880)</f>
        <v>0.44739475434003834</v>
      </c>
      <c r="R880">
        <f>STDEV(K880:O880)</f>
        <v>0.18587967473282449</v>
      </c>
    </row>
    <row r="881" spans="1:18">
      <c r="A881">
        <v>879</v>
      </c>
      <c r="C881">
        <v>908</v>
      </c>
      <c r="D881">
        <v>2836</v>
      </c>
      <c r="E881">
        <v>6797</v>
      </c>
      <c r="F881">
        <v>4792</v>
      </c>
      <c r="G881">
        <v>5235</v>
      </c>
      <c r="H881">
        <v>3324</v>
      </c>
      <c r="J881" s="1"/>
      <c r="K881">
        <f t="shared" si="13"/>
        <v>0.43700784245958407</v>
      </c>
      <c r="L881">
        <f>LOG10(E881/C881)-LOG10(37995/47667)</f>
        <v>0.97272279231407688</v>
      </c>
      <c r="M881">
        <f>LOG10(F881/C881)-LOG10(35167/47667)</f>
        <v>0.85451345918938626</v>
      </c>
      <c r="N881">
        <f>LOG10(G881/C881)-LOG10(34734/47667)</f>
        <v>0.89829385730245825</v>
      </c>
      <c r="O881">
        <f>LOG10(H881/C881)-LOG10(33378/47667)</f>
        <v>0.7183326760256461</v>
      </c>
      <c r="Q881">
        <f>AVERAGE(K881:O881)</f>
        <v>0.77617412545823028</v>
      </c>
      <c r="R881">
        <f>STDEV(K881:O881)</f>
        <v>0.2109864091319264</v>
      </c>
    </row>
    <row r="882" spans="1:18">
      <c r="A882">
        <v>880</v>
      </c>
      <c r="C882">
        <v>1387</v>
      </c>
      <c r="D882">
        <v>641</v>
      </c>
      <c r="E882">
        <v>483</v>
      </c>
      <c r="F882">
        <v>491</v>
      </c>
      <c r="G882">
        <v>522</v>
      </c>
      <c r="H882">
        <v>498</v>
      </c>
      <c r="J882" s="1"/>
      <c r="K882">
        <f t="shared" si="13"/>
        <v>-0.39283096708482723</v>
      </c>
      <c r="L882">
        <f>LOG10(E882/C882)-LOG10(37995/47667)</f>
        <v>-0.35963795940887244</v>
      </c>
      <c r="M882">
        <f>LOG10(F882/C882)-LOG10(35167/47667)</f>
        <v>-0.31891247062109995</v>
      </c>
      <c r="N882">
        <f>LOG10(G882/C882)-LOG10(34734/47667)</f>
        <v>-0.28694293826234041</v>
      </c>
      <c r="O882">
        <f>LOG10(H882/C882)-LOG10(33378/47667)</f>
        <v>-0.29008960887890956</v>
      </c>
      <c r="Q882">
        <f>AVERAGE(K882:O882)</f>
        <v>-0.32968278885120988</v>
      </c>
      <c r="R882">
        <f>STDEV(K882:O882)</f>
        <v>4.581298708013716E-2</v>
      </c>
    </row>
    <row r="883" spans="1:18">
      <c r="A883">
        <v>881</v>
      </c>
      <c r="C883">
        <v>2672</v>
      </c>
      <c r="D883">
        <v>4138</v>
      </c>
      <c r="E883">
        <v>1346</v>
      </c>
      <c r="F883">
        <v>1985</v>
      </c>
      <c r="G883">
        <v>2105</v>
      </c>
      <c r="H883">
        <v>2142</v>
      </c>
      <c r="J883" s="1"/>
      <c r="K883">
        <f t="shared" si="13"/>
        <v>0.13234149699584796</v>
      </c>
      <c r="L883">
        <f>LOG10(E883/C883)-LOG10(37995/47667)</f>
        <v>-0.19930002300264979</v>
      </c>
      <c r="M883">
        <f>LOG10(F883/C883)-LOG10(35167/47667)</f>
        <v>3.0065556248422276E-3</v>
      </c>
      <c r="N883">
        <f>LOG10(G883/C883)-LOG10(34734/47667)</f>
        <v>3.3878666176861361E-2</v>
      </c>
      <c r="O883">
        <f>LOG10(H883/C883)-LOG10(33378/47667)</f>
        <v>5.8740522126986564E-2</v>
      </c>
      <c r="Q883">
        <f>AVERAGE(K883:O883)</f>
        <v>5.7334435843776647E-3</v>
      </c>
      <c r="R883">
        <f>STDEV(K883:O883)</f>
        <v>0.12417493855211087</v>
      </c>
    </row>
    <row r="884" spans="1:18">
      <c r="A884">
        <v>882</v>
      </c>
      <c r="C884">
        <v>1191</v>
      </c>
      <c r="D884">
        <v>1893</v>
      </c>
      <c r="E884">
        <v>1557</v>
      </c>
      <c r="F884">
        <v>2046</v>
      </c>
      <c r="G884">
        <v>1955</v>
      </c>
      <c r="H884">
        <v>1390</v>
      </c>
      <c r="J884" s="1"/>
      <c r="K884">
        <f t="shared" si="13"/>
        <v>0.1436263169506595</v>
      </c>
      <c r="L884">
        <f>LOG10(E884/C884)-LOG10(37995/47667)</f>
        <v>0.21486822199824307</v>
      </c>
      <c r="M884">
        <f>LOG10(F884/C884)-LOG10(35167/47667)</f>
        <v>0.36707636622258033</v>
      </c>
      <c r="N884">
        <f>LOG10(G884/C884)-LOG10(34734/47667)</f>
        <v>0.35269802005779038</v>
      </c>
      <c r="O884">
        <f>LOG10(H884/C884)-LOG10(33378/47667)</f>
        <v>0.22186054820597539</v>
      </c>
      <c r="Q884">
        <f>AVERAGE(K884:O884)</f>
        <v>0.26002589468704973</v>
      </c>
      <c r="R884">
        <f>STDEV(K884:O884)</f>
        <v>9.6297192389769928E-2</v>
      </c>
    </row>
    <row r="885" spans="1:18">
      <c r="A885">
        <v>883</v>
      </c>
      <c r="C885">
        <v>1399</v>
      </c>
      <c r="D885">
        <v>5307</v>
      </c>
      <c r="E885">
        <v>1183</v>
      </c>
      <c r="F885">
        <v>1021</v>
      </c>
      <c r="G885">
        <v>1061</v>
      </c>
      <c r="H885">
        <v>851</v>
      </c>
      <c r="J885" s="1"/>
      <c r="K885">
        <f t="shared" si="13"/>
        <v>0.5214188376071982</v>
      </c>
      <c r="L885">
        <f>LOG10(E885/C885)-LOG10(37995/47667)</f>
        <v>2.5658401049002993E-2</v>
      </c>
      <c r="M885">
        <f>LOG10(F885/C885)-LOG10(35167/47667)</f>
        <v>-4.7094740757009368E-3</v>
      </c>
      <c r="N885">
        <f>LOG10(G885/C885)-LOG10(34734/47667)</f>
        <v>1.7360689218195294E-2</v>
      </c>
      <c r="O885">
        <f>LOG10(H885/C885)-LOG10(33378/47667)</f>
        <v>-6.1130644972581971E-2</v>
      </c>
      <c r="Q885">
        <f>AVERAGE(K885:O885)</f>
        <v>9.9719561765222731E-2</v>
      </c>
      <c r="R885">
        <f>STDEV(K885:O885)</f>
        <v>0.23815778970766271</v>
      </c>
    </row>
    <row r="886" spans="1:18">
      <c r="A886">
        <v>884</v>
      </c>
      <c r="C886">
        <v>2310</v>
      </c>
      <c r="D886">
        <v>1063</v>
      </c>
      <c r="E886">
        <v>530</v>
      </c>
      <c r="F886">
        <v>538</v>
      </c>
      <c r="G886">
        <v>607</v>
      </c>
      <c r="H886">
        <v>778</v>
      </c>
      <c r="J886" s="1"/>
      <c r="K886">
        <f t="shared" si="13"/>
        <v>-0.39469125089920731</v>
      </c>
      <c r="L886">
        <f>LOG10(E886/C886)-LOG10(37995/47667)</f>
        <v>-0.54084473937845501</v>
      </c>
      <c r="M886">
        <f>LOG10(F886/C886)-LOG10(35167/47667)</f>
        <v>-0.50074720589653865</v>
      </c>
      <c r="N886">
        <f>LOG10(G886/C886)-LOG10(34734/47667)</f>
        <v>-0.44296026900820451</v>
      </c>
      <c r="O886">
        <f>LOG10(H886/C886)-LOG10(33378/47667)</f>
        <v>-0.31787487346779753</v>
      </c>
      <c r="Q886">
        <f>AVERAGE(K886:O886)</f>
        <v>-0.43942366773004055</v>
      </c>
      <c r="R886">
        <f>STDEV(K886:O886)</f>
        <v>8.7798656251539778E-2</v>
      </c>
    </row>
    <row r="887" spans="1:18">
      <c r="A887">
        <v>885</v>
      </c>
      <c r="C887">
        <v>1055</v>
      </c>
      <c r="D887">
        <v>340</v>
      </c>
      <c r="E887">
        <v>243</v>
      </c>
      <c r="F887">
        <v>229</v>
      </c>
      <c r="G887">
        <v>183</v>
      </c>
      <c r="H887">
        <v>191</v>
      </c>
      <c r="J887" s="1"/>
      <c r="K887">
        <f t="shared" si="13"/>
        <v>-0.54938607812181606</v>
      </c>
      <c r="L887">
        <f>LOG10(E887/C887)-LOG10(37995/47667)</f>
        <v>-0.53915481512249908</v>
      </c>
      <c r="M887">
        <f>LOG10(F887/C887)-LOG10(35167/47667)</f>
        <v>-0.53133447896460706</v>
      </c>
      <c r="N887">
        <f>LOG10(G887/C887)-LOG10(34734/47667)</f>
        <v>-0.62333835009459981</v>
      </c>
      <c r="O887">
        <f>LOG10(H887/C887)-LOG10(33378/47667)</f>
        <v>-0.58746158295132611</v>
      </c>
      <c r="Q887">
        <f>AVERAGE(K887:O887)</f>
        <v>-0.56613506105096956</v>
      </c>
      <c r="R887">
        <f>STDEV(K887:O887)</f>
        <v>3.8557033816305729E-2</v>
      </c>
    </row>
    <row r="888" spans="1:18">
      <c r="A888">
        <v>886</v>
      </c>
      <c r="C888">
        <v>964</v>
      </c>
      <c r="D888">
        <v>586</v>
      </c>
      <c r="E888">
        <v>498</v>
      </c>
      <c r="F888">
        <v>452</v>
      </c>
      <c r="G888">
        <v>361</v>
      </c>
      <c r="H888">
        <v>439</v>
      </c>
      <c r="J888" s="1"/>
      <c r="K888">
        <f t="shared" si="13"/>
        <v>-0.27379195341509993</v>
      </c>
      <c r="L888">
        <f>LOG10(E888/C888)-LOG10(37995/47667)</f>
        <v>-0.18835632023021295</v>
      </c>
      <c r="M888">
        <f>LOG10(F888/C888)-LOG10(35167/47667)</f>
        <v>-0.19685610076223223</v>
      </c>
      <c r="N888">
        <f>LOG10(G888/C888)-LOG10(34734/47667)</f>
        <v>-0.28910681218849055</v>
      </c>
      <c r="O888">
        <f>LOG10(H888/C888)-LOG10(33378/47667)</f>
        <v>-0.18685500422605164</v>
      </c>
      <c r="Q888">
        <f>AVERAGE(K888:O888)</f>
        <v>-0.22699323816441747</v>
      </c>
      <c r="R888">
        <f>STDEV(K888:O888)</f>
        <v>5.0150653358411276E-2</v>
      </c>
    </row>
    <row r="889" spans="1:18">
      <c r="A889">
        <v>887</v>
      </c>
      <c r="C889">
        <v>2035</v>
      </c>
      <c r="D889">
        <v>24512</v>
      </c>
      <c r="E889">
        <v>2715</v>
      </c>
      <c r="F889">
        <v>1591</v>
      </c>
      <c r="G889">
        <v>1866</v>
      </c>
      <c r="H889">
        <v>5960</v>
      </c>
      <c r="J889" s="1"/>
      <c r="K889">
        <f t="shared" si="13"/>
        <v>1.0232017988609112</v>
      </c>
      <c r="L889">
        <f>LOG10(E889/C889)-LOG10(37995/47667)</f>
        <v>0.2236967912765272</v>
      </c>
      <c r="M889">
        <f>LOG10(F889/C889)-LOG10(35167/47667)</f>
        <v>2.5188264414559153E-2</v>
      </c>
      <c r="N889">
        <f>LOG10(G889/C889)-LOG10(34734/47667)</f>
        <v>9.9810245657924568E-2</v>
      </c>
      <c r="O889">
        <f>LOG10(H889/C889)-LOG10(33378/47667)</f>
        <v>0.62143935561365538</v>
      </c>
      <c r="Q889">
        <f>AVERAGE(K889:O889)</f>
        <v>0.39866729116471544</v>
      </c>
      <c r="R889">
        <f>STDEV(K889:O889)</f>
        <v>0.41805727385867453</v>
      </c>
    </row>
    <row r="890" spans="1:18">
      <c r="A890">
        <v>888</v>
      </c>
      <c r="C890">
        <v>2380</v>
      </c>
      <c r="D890">
        <v>1307</v>
      </c>
      <c r="E890">
        <v>1877</v>
      </c>
      <c r="F890">
        <v>1557</v>
      </c>
      <c r="G890">
        <v>1272</v>
      </c>
      <c r="H890">
        <v>1184</v>
      </c>
      <c r="J890" s="1"/>
      <c r="K890">
        <f t="shared" si="13"/>
        <v>-0.31791390500632738</v>
      </c>
      <c r="L890">
        <f>LOG10(E890/C890)-LOG10(37995/47667)</f>
        <v>-4.6213135222653995E-3</v>
      </c>
      <c r="M890">
        <f>LOG10(F890/C890)-LOG10(35167/47667)</f>
        <v>-5.2205846159175201E-2</v>
      </c>
      <c r="N890">
        <f>LOG10(G890/C890)-LOG10(34734/47667)</f>
        <v>-0.1346268259354346</v>
      </c>
      <c r="O890">
        <f>LOG10(H890/C890)-LOG10(33378/47667)</f>
        <v>-0.14846774523495318</v>
      </c>
      <c r="Q890">
        <f>AVERAGE(K890:O890)</f>
        <v>-0.13156712717163116</v>
      </c>
      <c r="R890">
        <f>STDEV(K890:O890)</f>
        <v>0.11982650665009245</v>
      </c>
    </row>
    <row r="891" spans="1:18">
      <c r="A891">
        <v>889</v>
      </c>
      <c r="C891">
        <v>1082</v>
      </c>
      <c r="D891">
        <v>1470</v>
      </c>
      <c r="E891">
        <v>1211</v>
      </c>
      <c r="F891">
        <v>11506</v>
      </c>
      <c r="G891">
        <v>2018</v>
      </c>
      <c r="H891">
        <v>1327</v>
      </c>
      <c r="J891" s="1"/>
      <c r="K891">
        <f t="shared" si="13"/>
        <v>7.5477538447265763E-2</v>
      </c>
      <c r="L891">
        <f>LOG10(E891/C891)-LOG10(37995/47667)</f>
        <v>0.14740825328540189</v>
      </c>
      <c r="M891">
        <f>LOG10(F891/C891)-LOG10(35167/47667)</f>
        <v>1.1587796072481462</v>
      </c>
      <c r="N891">
        <f>LOG10(G891/C891)-LOG10(34734/47667)</f>
        <v>0.40815692093902334</v>
      </c>
      <c r="O891">
        <f>LOG10(H891/C891)-LOG10(33378/47667)</f>
        <v>0.24340117152854271</v>
      </c>
      <c r="Q891">
        <f>AVERAGE(K891:O891)</f>
        <v>0.40664469828967603</v>
      </c>
      <c r="R891">
        <f>STDEV(K891:O891)</f>
        <v>0.43852961111459243</v>
      </c>
    </row>
    <row r="892" spans="1:18">
      <c r="A892">
        <v>890</v>
      </c>
      <c r="C892">
        <v>2054</v>
      </c>
      <c r="D892">
        <v>401</v>
      </c>
      <c r="E892">
        <v>470</v>
      </c>
      <c r="F892">
        <v>417</v>
      </c>
      <c r="G892">
        <v>359</v>
      </c>
      <c r="H892">
        <v>343</v>
      </c>
      <c r="J892" s="1"/>
      <c r="K892">
        <f t="shared" si="13"/>
        <v>-0.7670686021714368</v>
      </c>
      <c r="L892">
        <f>LOG10(E892/C892)-LOG10(37995/47667)</f>
        <v>-0.54201121041264166</v>
      </c>
      <c r="M892">
        <f>LOG10(F892/C892)-LOG10(35167/47667)</f>
        <v>-0.56038188595828542</v>
      </c>
      <c r="N892">
        <f>LOG10(G892/C892)-LOG10(34734/47667)</f>
        <v>-0.62004297087425797</v>
      </c>
      <c r="O892">
        <f>LOG10(H892/C892)-LOG10(33378/47667)</f>
        <v>-0.62254880978383109</v>
      </c>
      <c r="Q892">
        <f>AVERAGE(K892:O892)</f>
        <v>-0.62241069584009057</v>
      </c>
      <c r="R892">
        <f>STDEV(K892:O892)</f>
        <v>8.8378710068510835E-2</v>
      </c>
    </row>
    <row r="893" spans="1:18">
      <c r="A893">
        <v>891</v>
      </c>
      <c r="C893">
        <v>1900</v>
      </c>
      <c r="D893">
        <v>2984</v>
      </c>
      <c r="E893">
        <v>2237</v>
      </c>
      <c r="F893">
        <v>1971</v>
      </c>
      <c r="G893">
        <v>3175</v>
      </c>
      <c r="H893">
        <v>17351</v>
      </c>
      <c r="J893" s="1"/>
      <c r="K893">
        <f t="shared" si="13"/>
        <v>0.13843268231744252</v>
      </c>
      <c r="L893">
        <f>LOG10(E893/C893)-LOG10(37995/47667)</f>
        <v>0.16940375405670099</v>
      </c>
      <c r="M893">
        <f>LOG10(F893/C893)-LOG10(35167/47667)</f>
        <v>0.14801552165583068</v>
      </c>
      <c r="N893">
        <f>LOG10(G893/C893)-LOG10(34734/47667)</f>
        <v>0.3604531484838478</v>
      </c>
      <c r="O893">
        <f>LOG10(H893/C893)-LOG10(33378/47667)</f>
        <v>1.1153284182696259</v>
      </c>
      <c r="Q893">
        <f>AVERAGE(K893:O893)</f>
        <v>0.38632670495668958</v>
      </c>
      <c r="R893">
        <f>STDEV(K893:O893)</f>
        <v>0.41755603579382966</v>
      </c>
    </row>
    <row r="894" spans="1:18">
      <c r="A894">
        <v>892</v>
      </c>
      <c r="C894">
        <v>1138</v>
      </c>
      <c r="D894">
        <v>528</v>
      </c>
      <c r="E894">
        <v>798</v>
      </c>
      <c r="F894">
        <v>4995</v>
      </c>
      <c r="G894">
        <v>394</v>
      </c>
      <c r="H894">
        <v>553</v>
      </c>
      <c r="J894" s="1"/>
      <c r="K894">
        <f t="shared" si="13"/>
        <v>-0.39112087505559989</v>
      </c>
      <c r="L894">
        <f>LOG10(E894/C894)-LOG10(37995/47667)</f>
        <v>-5.5647999795422676E-2</v>
      </c>
      <c r="M894">
        <f>LOG10(F894/C894)-LOG10(35167/47667)</f>
        <v>0.7744757288321652</v>
      </c>
      <c r="N894">
        <f>LOG10(G894/C894)-LOG10(34734/47667)</f>
        <v>-0.32318302042479596</v>
      </c>
      <c r="O894">
        <f>LOG10(H894/C894)-LOG10(33378/47667)</f>
        <v>-0.15865962131969633</v>
      </c>
      <c r="Q894">
        <f>AVERAGE(K894:O894)</f>
        <v>-3.0827157552669932E-2</v>
      </c>
      <c r="R894">
        <f>STDEV(K894:O894)</f>
        <v>0.46924233218293532</v>
      </c>
    </row>
    <row r="895" spans="1:18">
      <c r="A895">
        <v>893</v>
      </c>
      <c r="C895">
        <v>2457</v>
      </c>
      <c r="D895">
        <v>3407</v>
      </c>
      <c r="E895">
        <v>2360</v>
      </c>
      <c r="F895">
        <v>2739</v>
      </c>
      <c r="G895">
        <v>2594</v>
      </c>
      <c r="H895">
        <v>2230</v>
      </c>
      <c r="J895" s="1"/>
      <c r="K895">
        <f t="shared" si="13"/>
        <v>8.4354441557436793E-2</v>
      </c>
      <c r="L895">
        <f>LOG10(E895/C895)-LOG10(37995/47667)</f>
        <v>8.0998217402925898E-2</v>
      </c>
      <c r="M895">
        <f>LOG10(F895/C895)-LOG10(35167/47667)</f>
        <v>0.17926937410309693</v>
      </c>
      <c r="N895">
        <f>LOG10(G895/C895)-LOG10(34734/47667)</f>
        <v>0.16102783507666263</v>
      </c>
      <c r="O895">
        <f>LOG10(H895/C895)-LOG10(33378/47667)</f>
        <v>0.11265721600273754</v>
      </c>
      <c r="Q895">
        <f>AVERAGE(K895:O895)</f>
        <v>0.12366141682857194</v>
      </c>
      <c r="R895">
        <f>STDEV(K895:O895)</f>
        <v>4.4650793528643005E-2</v>
      </c>
    </row>
    <row r="896" spans="1:18">
      <c r="A896">
        <v>894</v>
      </c>
      <c r="C896">
        <v>2238</v>
      </c>
      <c r="D896">
        <v>7496</v>
      </c>
      <c r="E896">
        <v>4822</v>
      </c>
      <c r="F896">
        <v>5079</v>
      </c>
      <c r="G896">
        <v>3978</v>
      </c>
      <c r="H896">
        <v>4826</v>
      </c>
      <c r="J896" s="1"/>
      <c r="K896">
        <f t="shared" si="13"/>
        <v>0.46735696015703082</v>
      </c>
      <c r="L896">
        <f>LOG10(E896/C896)-LOG10(37995/47667)</f>
        <v>0.43185849476200389</v>
      </c>
      <c r="M896">
        <f>LOG10(F896/C896)-LOG10(35167/47667)</f>
        <v>0.48800062896548291</v>
      </c>
      <c r="N896">
        <f>LOG10(G896/C896)-LOG10(34734/47667)</f>
        <v>0.38726771640476781</v>
      </c>
      <c r="O896">
        <f>LOG10(H896/C896)-LOG10(33378/47667)</f>
        <v>0.48848474481509363</v>
      </c>
      <c r="Q896">
        <f>AVERAGE(K896:O896)</f>
        <v>0.45259370902087576</v>
      </c>
      <c r="R896">
        <f>STDEV(K896:O896)</f>
        <v>4.3177553300574899E-2</v>
      </c>
    </row>
    <row r="897" spans="1:18">
      <c r="A897">
        <v>895</v>
      </c>
      <c r="C897">
        <v>2518</v>
      </c>
      <c r="D897">
        <v>3751</v>
      </c>
      <c r="E897">
        <v>3617</v>
      </c>
      <c r="F897">
        <v>3241</v>
      </c>
      <c r="G897">
        <v>3497</v>
      </c>
      <c r="H897">
        <v>3660</v>
      </c>
      <c r="J897" s="1"/>
      <c r="K897">
        <f t="shared" si="13"/>
        <v>0.11547880284851925</v>
      </c>
      <c r="L897">
        <f>LOG10(E897/C897)-LOG10(37995/47667)</f>
        <v>0.25578415390267617</v>
      </c>
      <c r="M897">
        <f>LOG10(F897/C897)-LOG10(35167/47667)</f>
        <v>0.2417058035895826</v>
      </c>
      <c r="N897">
        <f>LOG10(G897/C897)-LOG10(34734/47667)</f>
        <v>0.28010292634608325</v>
      </c>
      <c r="O897">
        <f>LOG10(H897/C897)-LOG10(33378/47667)</f>
        <v>0.31718286905722465</v>
      </c>
      <c r="Q897">
        <f>AVERAGE(K897:O897)</f>
        <v>0.24205091114881722</v>
      </c>
      <c r="R897">
        <f>STDEV(K897:O897)</f>
        <v>7.6324941230029489E-2</v>
      </c>
    </row>
    <row r="898" spans="1:18">
      <c r="A898">
        <v>896</v>
      </c>
      <c r="C898">
        <v>2920</v>
      </c>
      <c r="D898">
        <v>1561</v>
      </c>
      <c r="E898">
        <v>2331</v>
      </c>
      <c r="F898">
        <v>1892</v>
      </c>
      <c r="G898">
        <v>7781</v>
      </c>
      <c r="H898">
        <v>1645</v>
      </c>
      <c r="J898" s="1"/>
      <c r="K898">
        <f t="shared" si="13"/>
        <v>-0.32959248391636053</v>
      </c>
      <c r="L898">
        <f>LOG10(E898/C898)-LOG10(37995/47667)</f>
        <v>6.507929850586569E-4</v>
      </c>
      <c r="M898">
        <f>LOG10(F898/C898)-LOG10(35167/47667)</f>
        <v>-5.6379221053427908E-2</v>
      </c>
      <c r="N898">
        <f>LOG10(G898/C898)-LOG10(34734/47667)</f>
        <v>0.56311558367557479</v>
      </c>
      <c r="O898">
        <f>LOG10(H898/C898)-LOG10(33378/47667)</f>
        <v>-9.4459439727767408E-2</v>
      </c>
      <c r="Q898">
        <f>AVERAGE(K898:O898)</f>
        <v>1.6667046392615521E-2</v>
      </c>
      <c r="R898">
        <f>STDEV(K898:O898)</f>
        <v>0.33031917886604617</v>
      </c>
    </row>
    <row r="899" spans="1:18">
      <c r="A899">
        <v>897</v>
      </c>
      <c r="C899">
        <v>1368</v>
      </c>
      <c r="D899">
        <v>19538</v>
      </c>
      <c r="E899">
        <v>1842</v>
      </c>
      <c r="F899">
        <v>933</v>
      </c>
      <c r="G899">
        <v>753</v>
      </c>
      <c r="H899">
        <v>944</v>
      </c>
      <c r="J899" s="1"/>
      <c r="K899">
        <f t="shared" ref="K899:K909" si="14">LOG10(D899/C899)-LOG10(54429/47667)</f>
        <v>1.0971814723527042</v>
      </c>
      <c r="L899">
        <f>LOG10(E899/C899)-LOG10(37995/47667)</f>
        <v>0.22769489938963297</v>
      </c>
      <c r="M899">
        <f>LOG10(F899/C899)-LOG10(35167/47667)</f>
        <v>-3.4121955308381052E-2</v>
      </c>
      <c r="N899">
        <f>LOG10(G899/C899)-LOG10(34734/47667)</f>
        <v>-0.12182810137471459</v>
      </c>
      <c r="O899">
        <f>LOG10(H899/C899)-LOG10(33378/47667)</f>
        <v>-6.3565936513706733E-3</v>
      </c>
      <c r="Q899">
        <f>AVERAGE(K899:O899)</f>
        <v>0.23251394428157415</v>
      </c>
      <c r="R899">
        <f>STDEV(K899:O899)</f>
        <v>0.50034620000973118</v>
      </c>
    </row>
    <row r="900" spans="1:18">
      <c r="A900">
        <v>898</v>
      </c>
      <c r="C900">
        <v>2235</v>
      </c>
      <c r="D900">
        <v>580</v>
      </c>
      <c r="E900">
        <v>481</v>
      </c>
      <c r="F900">
        <v>520</v>
      </c>
      <c r="G900">
        <v>1698</v>
      </c>
      <c r="H900">
        <v>601</v>
      </c>
      <c r="J900" s="1"/>
      <c r="K900">
        <f t="shared" si="14"/>
        <v>-0.64346206943537776</v>
      </c>
      <c r="L900">
        <f>LOG10(E900/C900)-LOG10(37995/47667)</f>
        <v>-0.56864108018122328</v>
      </c>
      <c r="M900">
        <f>LOG10(F900/C900)-LOG10(35167/47667)</f>
        <v>-0.50119168550393967</v>
      </c>
      <c r="N900">
        <f>LOG10(G900/C900)-LOG10(34734/47667)</f>
        <v>1.8123178248660859E-2</v>
      </c>
      <c r="O900">
        <f>LOG10(H900/C900)-LOG10(33378/47667)</f>
        <v>-0.41564554603055792</v>
      </c>
      <c r="Q900">
        <f>AVERAGE(K900:O900)</f>
        <v>-0.4221634405804876</v>
      </c>
      <c r="R900">
        <f>STDEV(K900:O900)</f>
        <v>0.26008125422697526</v>
      </c>
    </row>
    <row r="901" spans="1:18">
      <c r="A901">
        <v>899</v>
      </c>
      <c r="C901">
        <v>2082</v>
      </c>
      <c r="D901">
        <v>272</v>
      </c>
      <c r="E901">
        <v>311</v>
      </c>
      <c r="F901">
        <v>244</v>
      </c>
      <c r="G901">
        <v>241</v>
      </c>
      <c r="H901">
        <v>220</v>
      </c>
      <c r="J901" s="1"/>
      <c r="K901">
        <f t="shared" si="14"/>
        <v>-0.94152435667067835</v>
      </c>
      <c r="L901">
        <f>LOG10(E901/C901)-LOG10(37995/47667)</f>
        <v>-0.72722896523477953</v>
      </c>
      <c r="M901">
        <f>LOG10(F901/C901)-LOG10(35167/47667)</f>
        <v>-0.7990084005065714</v>
      </c>
      <c r="N901">
        <f>LOG10(G901/C901)-LOG10(34734/47667)</f>
        <v>-0.79900066279096671</v>
      </c>
      <c r="O901">
        <f>LOG10(H901/C901)-LOG10(33378/47667)</f>
        <v>-0.82130053491765331</v>
      </c>
      <c r="Q901">
        <f>AVERAGE(K901:O901)</f>
        <v>-0.81761258402412973</v>
      </c>
      <c r="R901">
        <f>STDEV(K901:O901)</f>
        <v>7.7829053354139588E-2</v>
      </c>
    </row>
    <row r="902" spans="1:18">
      <c r="A902">
        <v>900</v>
      </c>
      <c r="C902">
        <v>3915</v>
      </c>
      <c r="D902">
        <v>16140</v>
      </c>
      <c r="E902">
        <v>4755</v>
      </c>
      <c r="F902">
        <v>3833</v>
      </c>
      <c r="G902">
        <v>2703</v>
      </c>
      <c r="H902">
        <v>2630</v>
      </c>
      <c r="J902" s="1"/>
      <c r="K902">
        <f t="shared" si="14"/>
        <v>0.55755922846172967</v>
      </c>
      <c r="L902">
        <f>LOG10(E902/C902)-LOG10(37995/47667)</f>
        <v>0.18291012579237081</v>
      </c>
      <c r="M902">
        <f>LOG10(F902/C902)-LOG10(35167/47667)</f>
        <v>0.1228895511896064</v>
      </c>
      <c r="N902">
        <f>LOG10(G902/C902)-LOG10(34734/47667)</f>
        <v>-2.3422700886554515E-2</v>
      </c>
      <c r="O902">
        <f>LOG10(H902/C902)-LOG10(33378/47667)</f>
        <v>-1.8018508469546501E-2</v>
      </c>
      <c r="Q902">
        <f>AVERAGE(K902:O902)</f>
        <v>0.16438353921752119</v>
      </c>
      <c r="R902">
        <f>STDEV(K902:O902)</f>
        <v>0.23727294351005321</v>
      </c>
    </row>
    <row r="903" spans="1:18">
      <c r="A903">
        <v>901</v>
      </c>
      <c r="C903">
        <v>645</v>
      </c>
      <c r="D903">
        <v>1225</v>
      </c>
      <c r="E903">
        <v>1285</v>
      </c>
      <c r="F903">
        <v>1528</v>
      </c>
      <c r="G903">
        <v>2089</v>
      </c>
      <c r="H903">
        <v>719</v>
      </c>
      <c r="J903" s="1"/>
      <c r="K903">
        <f t="shared" si="14"/>
        <v>0.22096383853492377</v>
      </c>
      <c r="L903">
        <f>LOG10(E903/C903)-LOG10(37995/47667)</f>
        <v>0.39783478394494587</v>
      </c>
      <c r="M903">
        <f>LOG10(F903/C903)-LOG10(35167/47667)</f>
        <v>0.50664613793361979</v>
      </c>
      <c r="N903">
        <f>LOG10(G903/C903)-LOG10(34734/47667)</f>
        <v>0.64784174515372306</v>
      </c>
      <c r="O903">
        <f>LOG10(H903/C903)-LOG10(33378/47667)</f>
        <v>0.20192668518227264</v>
      </c>
      <c r="Q903">
        <f>AVERAGE(K903:O903)</f>
        <v>0.39504263814989704</v>
      </c>
      <c r="R903">
        <f>STDEV(K903:O903)</f>
        <v>0.18971539573136373</v>
      </c>
    </row>
    <row r="904" spans="1:18">
      <c r="A904">
        <v>902</v>
      </c>
      <c r="C904">
        <v>724</v>
      </c>
      <c r="D904">
        <v>8001</v>
      </c>
      <c r="E904">
        <v>1409</v>
      </c>
      <c r="F904">
        <v>878</v>
      </c>
      <c r="G904">
        <v>1210</v>
      </c>
      <c r="H904">
        <v>2334</v>
      </c>
      <c r="J904" s="1"/>
      <c r="K904">
        <f t="shared" si="14"/>
        <v>0.98579316868203193</v>
      </c>
      <c r="L904">
        <f>LOG10(E904/C904)-LOG10(37995/47667)</f>
        <v>0.38766379782510973</v>
      </c>
      <c r="M904">
        <f>LOG10(F904/C904)-LOG10(35167/47667)</f>
        <v>0.21583844803817215</v>
      </c>
      <c r="N904">
        <f>LOG10(G904/C904)-LOG10(34734/47667)</f>
        <v>0.36050982392798547</v>
      </c>
      <c r="O904">
        <f>LOG10(H904/C904)-LOG10(33378/47667)</f>
        <v>0.66311979494686235</v>
      </c>
      <c r="Q904">
        <f>AVERAGE(K904:O904)</f>
        <v>0.52258500668403229</v>
      </c>
      <c r="R904">
        <f>STDEV(K904:O904)</f>
        <v>0.30531843080629806</v>
      </c>
    </row>
    <row r="905" spans="1:18">
      <c r="A905">
        <v>903</v>
      </c>
      <c r="C905">
        <v>1055</v>
      </c>
      <c r="D905">
        <v>1992</v>
      </c>
      <c r="E905">
        <v>6580</v>
      </c>
      <c r="F905">
        <v>1563</v>
      </c>
      <c r="G905">
        <v>1427</v>
      </c>
      <c r="H905">
        <v>1630</v>
      </c>
      <c r="J905" s="1"/>
      <c r="K905">
        <f t="shared" si="14"/>
        <v>0.21842433892360871</v>
      </c>
      <c r="L905">
        <f>LOG10(E905/C905)-LOG10(37995/47667)</f>
        <v>0.89346480489314428</v>
      </c>
      <c r="M905">
        <f>LOG10(F905/C905)-LOG10(35167/47667)</f>
        <v>0.30278901671469194</v>
      </c>
      <c r="N905">
        <f>LOG10(G905/C905)-LOG10(34734/47667)</f>
        <v>0.26863453328961778</v>
      </c>
      <c r="O905">
        <f>LOG10(H905/C905)-LOG10(33378/47667)</f>
        <v>0.34369265420490414</v>
      </c>
      <c r="Q905">
        <f>AVERAGE(K905:O905)</f>
        <v>0.4054010696051934</v>
      </c>
      <c r="R905">
        <f>STDEV(K905:O905)</f>
        <v>0.27668066200268598</v>
      </c>
    </row>
    <row r="906" spans="1:18">
      <c r="A906">
        <v>904</v>
      </c>
      <c r="C906">
        <v>2575</v>
      </c>
      <c r="D906">
        <v>5429</v>
      </c>
      <c r="E906">
        <v>8394</v>
      </c>
      <c r="F906">
        <v>4093</v>
      </c>
      <c r="G906">
        <v>5601</v>
      </c>
      <c r="H906">
        <v>5051</v>
      </c>
      <c r="J906" s="1"/>
      <c r="K906">
        <f t="shared" si="14"/>
        <v>0.26633007274811021</v>
      </c>
      <c r="L906">
        <f>LOG10(E906/C906)-LOG10(37995/47667)</f>
        <v>0.61168310241116175</v>
      </c>
      <c r="M906">
        <f>LOG10(F906/C906)-LOG10(35167/47667)</f>
        <v>0.3333470095972762</v>
      </c>
      <c r="N906">
        <f>LOG10(G906/C906)-LOG10(34734/47667)</f>
        <v>0.47495135910021324</v>
      </c>
      <c r="O906">
        <f>LOG10(H906/C906)-LOG10(33378/47667)</f>
        <v>0.44735764456979754</v>
      </c>
      <c r="Q906">
        <f>AVERAGE(K906:O906)</f>
        <v>0.42673383768531181</v>
      </c>
      <c r="R906">
        <f>STDEV(K906:O906)</f>
        <v>0.13361041199211504</v>
      </c>
    </row>
    <row r="907" spans="1:18">
      <c r="A907">
        <v>905</v>
      </c>
      <c r="C907">
        <v>1320</v>
      </c>
      <c r="D907">
        <v>147</v>
      </c>
      <c r="E907">
        <v>170</v>
      </c>
      <c r="F907">
        <v>165</v>
      </c>
      <c r="G907">
        <v>204</v>
      </c>
      <c r="H907">
        <v>181</v>
      </c>
      <c r="J907" s="1"/>
      <c r="K907">
        <f t="shared" si="14"/>
        <v>-1.0108691319880336</v>
      </c>
      <c r="L907">
        <f>LOG10(E907/C907)-LOG10(37995/47667)</f>
        <v>-0.79163363891467564</v>
      </c>
      <c r="M907">
        <f>LOG10(F907/C907)-LOG10(35167/47667)</f>
        <v>-0.77100748866272706</v>
      </c>
      <c r="N907">
        <f>LOG10(G907/C907)-LOG10(34734/47667)</f>
        <v>-0.67348074397126889</v>
      </c>
      <c r="O907">
        <f>LOG10(H907/C907)-LOG10(33378/47667)</f>
        <v>-0.70813784690200754</v>
      </c>
      <c r="Q907">
        <f>AVERAGE(K907:O907)</f>
        <v>-0.79102577008774255</v>
      </c>
      <c r="R907">
        <f>STDEV(K907:O907)</f>
        <v>0.13173785128249083</v>
      </c>
    </row>
    <row r="908" spans="1:18">
      <c r="A908">
        <v>906</v>
      </c>
      <c r="C908">
        <v>684</v>
      </c>
      <c r="D908">
        <v>528</v>
      </c>
      <c r="E908">
        <v>697</v>
      </c>
      <c r="F908">
        <v>408</v>
      </c>
      <c r="G908">
        <v>866</v>
      </c>
      <c r="H908">
        <v>1954</v>
      </c>
      <c r="J908" s="1"/>
      <c r="K908">
        <f t="shared" si="14"/>
        <v>-0.17003471471666376</v>
      </c>
      <c r="L908">
        <f>LOG10(E908/C908)-LOG10(37995/47667)</f>
        <v>0.10666804729079349</v>
      </c>
      <c r="M908">
        <f>LOG10(F908/C908)-LOG10(35167/47667)</f>
        <v>-9.2313440301019845E-2</v>
      </c>
      <c r="N908">
        <f>LOG10(G908/C908)-LOG10(34734/47667)</f>
        <v>0.23992481010591271</v>
      </c>
      <c r="O908">
        <f>LOG10(H908/C908)-LOG10(33378/47667)</f>
        <v>0.61062596709729577</v>
      </c>
      <c r="Q908">
        <f>AVERAGE(K908:O908)</f>
        <v>0.13897413389526367</v>
      </c>
      <c r="R908">
        <f>STDEV(K908:O908)</f>
        <v>0.30930186894035688</v>
      </c>
    </row>
    <row r="909" spans="1:18">
      <c r="A909">
        <v>907</v>
      </c>
      <c r="C909">
        <v>2022</v>
      </c>
      <c r="D909">
        <v>3953</v>
      </c>
      <c r="E909">
        <v>1656</v>
      </c>
      <c r="F909">
        <v>31697</v>
      </c>
      <c r="G909">
        <v>2063</v>
      </c>
      <c r="H909">
        <v>1395</v>
      </c>
      <c r="K909">
        <f t="shared" si="14"/>
        <v>0.23353312755762864</v>
      </c>
      <c r="L909">
        <f>LOG10(E909/C909)-LOG10(37995/47667)</f>
        <v>1.1770552106779311E-2</v>
      </c>
      <c r="M909">
        <f>LOG10(F909/C909)-LOG10(35167/47667)</f>
        <v>1.3273195069228929</v>
      </c>
      <c r="N909">
        <f>LOG10(G909/C909)-LOG10(34734/47667)</f>
        <v>0.1461810965268516</v>
      </c>
      <c r="O909">
        <f>LOG10(H909/C909)-LOG10(33378/47667)</f>
        <v>-6.4494342107080938E-3</v>
      </c>
      <c r="Q909">
        <f>AVERAGE(K909:O909)</f>
        <v>0.34247096978068886</v>
      </c>
      <c r="R909">
        <f>STDEV(K909:O909)</f>
        <v>0.55933711290521859</v>
      </c>
    </row>
  </sheetData>
  <phoneticPr fontId="1" type="noConversion"/>
  <conditionalFormatting sqref="Q1:Q1048576">
    <cfRule type="colorScale" priority="5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K1:K1048576">
    <cfRule type="colorScale" priority="4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L1:L1048576">
    <cfRule type="colorScale" priority="3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M1:O1048576">
    <cfRule type="colorScale" priority="2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W1:W1048576">
    <cfRule type="colorScale" priority="1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4A41-F5DF-B44B-892F-B4DDDF864EEB}">
  <dimension ref="A1"/>
  <sheetViews>
    <sheetView workbookViewId="0">
      <selection activeCell="G34" sqref="G34"/>
    </sheetView>
  </sheetViews>
  <sheetFormatPr baseColWidth="10" defaultRowHeight="1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Wt156_167</vt:lpstr>
      <vt:lpstr>D110C156-167</vt:lpstr>
      <vt:lpstr>D110C_repeat</vt:lpstr>
      <vt:lpstr>QD110C_rep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Nimkar, Siddharth</dc:creator>
  <cp:lastModifiedBy>Siddharth Nimkar</cp:lastModifiedBy>
  <dcterms:created xsi:type="dcterms:W3CDTF">2025-03-17T18:13:19Z</dcterms:created>
  <dcterms:modified xsi:type="dcterms:W3CDTF">2026-04-13T21:08:37Z</dcterms:modified>
</cp:coreProperties>
</file>